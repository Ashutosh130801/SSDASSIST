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D:\SRAVANI OFFICE\sravani 12-08-2024\sravani updated\ICICI\CC\ICICI DR\2026\NOV''26\"/>
    </mc:Choice>
  </mc:AlternateContent>
  <xr:revisionPtr revIDLastSave="0" documentId="13_ncr:1_{FB7139DA-30C0-41E8-BEC0-6F998618F690}" xr6:coauthVersionLast="47" xr6:coauthVersionMax="47" xr10:uidLastSave="{00000000-0000-0000-0000-000000000000}"/>
  <bookViews>
    <workbookView xWindow="-120" yWindow="-120" windowWidth="20730" windowHeight="11160" xr2:uid="{00000000-000D-0000-FFFF-FFFF00000000}"/>
  </bookViews>
  <sheets>
    <sheet name="MIS" sheetId="4" r:id="rId1"/>
    <sheet name="MAIN" sheetId="1" r:id="rId2"/>
    <sheet name="RE" sheetId="9" r:id="rId3"/>
    <sheet name="Sheet2" sheetId="8" r:id="rId4"/>
    <sheet name="file" sheetId="5" r:id="rId5"/>
  </sheets>
  <externalReferences>
    <externalReference r:id="rId6"/>
  </externalReferences>
  <definedNames>
    <definedName name="_xlnm._FilterDatabase" localSheetId="4" hidden="1">file!$E$2:$F$32</definedName>
    <definedName name="_xlnm._FilterDatabase" localSheetId="0" hidden="1">MIS!$AT$3:$BD$17</definedName>
    <definedName name="Slicer_AREA">#N/A</definedName>
    <definedName name="Slicer_CALLER">#N/A</definedName>
    <definedName name="Slicer_CYC">#N/A</definedName>
    <definedName name="Slicer_DATE">#N/A</definedName>
    <definedName name="Slicer_FOS_NAME">#N/A</definedName>
    <definedName name="Slicer_V_DATE">#N/A</definedName>
  </definedNames>
  <calcPr calcId="191029" refMode="R1C1" iterateCount="0" calcOnSave="0" concurrentCalc="0"/>
  <pivotCaches>
    <pivotCache cacheId="682"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<sst xmlns="http://schemas.openxmlformats.org/spreadsheetml/2006/main" count="7982" uniqueCount="2127">
  <si>
    <t>ACC.NO</t>
  </si>
  <si>
    <t>NAMES</t>
  </si>
  <si>
    <t>O/N</t>
  </si>
  <si>
    <t>CYC</t>
  </si>
  <si>
    <t>MOBILE</t>
  </si>
  <si>
    <t>BLOCK</t>
  </si>
  <si>
    <t>EXCESS LIMIT</t>
  </si>
  <si>
    <t>CREDIT</t>
  </si>
  <si>
    <t>ENR</t>
  </si>
  <si>
    <t>EMI 0/S</t>
  </si>
  <si>
    <t>CURR_BAL</t>
  </si>
  <si>
    <t>PRI</t>
  </si>
  <si>
    <t>NORM</t>
  </si>
  <si>
    <t>STAB</t>
  </si>
  <si>
    <t>PAID/UNPAID</t>
  </si>
  <si>
    <t>STATUS</t>
  </si>
  <si>
    <t>AMOUNT</t>
  </si>
  <si>
    <t>PENDING</t>
  </si>
  <si>
    <t>DATE</t>
  </si>
  <si>
    <t>DONE BY</t>
  </si>
  <si>
    <t>MODE</t>
  </si>
  <si>
    <t>CALLER</t>
  </si>
  <si>
    <t>CAT ALLO</t>
  </si>
  <si>
    <t>ADD 1</t>
  </si>
  <si>
    <t>ADD 2</t>
  </si>
  <si>
    <t>LOCATION</t>
  </si>
  <si>
    <t>AREA</t>
  </si>
  <si>
    <t>FOS NAME</t>
  </si>
  <si>
    <t>MARC</t>
  </si>
  <si>
    <t>MARC ID</t>
  </si>
  <si>
    <t>MARC PW</t>
  </si>
  <si>
    <t>TC DISPO</t>
  </si>
  <si>
    <t>TC REMARK</t>
  </si>
  <si>
    <t>VISITS</t>
  </si>
  <si>
    <t>FOS DISPO</t>
  </si>
  <si>
    <t>REMARKS</t>
  </si>
  <si>
    <t>V DATE</t>
  </si>
  <si>
    <t>LAST PAYMENT DATE</t>
  </si>
  <si>
    <t>LAST PAYMENT AMOUNT</t>
  </si>
  <si>
    <t>CARD TYPE</t>
  </si>
  <si>
    <t>ALLOC DATE</t>
  </si>
  <si>
    <t>UNPAID</t>
  </si>
  <si>
    <t>RF</t>
  </si>
  <si>
    <t>NOT VISITED</t>
  </si>
  <si>
    <t>Row Labels</t>
  </si>
  <si>
    <t>Grand Total</t>
  </si>
  <si>
    <t>Sum of AMOUNT</t>
  </si>
  <si>
    <t>N</t>
  </si>
  <si>
    <t>SUDHAKAR/VJW , 7893124290</t>
  </si>
  <si>
    <t>PAID</t>
  </si>
  <si>
    <t>PRASHANTH/TS , 9652386391</t>
  </si>
  <si>
    <t>SAGAR/WARANGAL , 7396297747</t>
  </si>
  <si>
    <t>%</t>
  </si>
  <si>
    <t>Total %</t>
  </si>
  <si>
    <t>MIS</t>
  </si>
  <si>
    <t>COUNT.</t>
  </si>
  <si>
    <t>Total COUNT.</t>
  </si>
  <si>
    <t>ENR.</t>
  </si>
  <si>
    <t>Total ENR.</t>
  </si>
  <si>
    <t>AMT.</t>
  </si>
  <si>
    <t>Total AMT.</t>
  </si>
  <si>
    <t>EMP NAME</t>
  </si>
  <si>
    <t>COUNT</t>
  </si>
  <si>
    <t>TARGET %</t>
  </si>
  <si>
    <t>TARGET ENR</t>
  </si>
  <si>
    <t>ACHIEVED %</t>
  </si>
  <si>
    <t>ACHIEVED ENR</t>
  </si>
  <si>
    <t>PENDING VISIT</t>
  </si>
  <si>
    <t>CASH COLL</t>
  </si>
  <si>
    <t>DueDate</t>
  </si>
  <si>
    <t>WARANGAL</t>
  </si>
  <si>
    <t>KAKINADA</t>
  </si>
  <si>
    <t>KHAMMAM</t>
  </si>
  <si>
    <t>KRISHNA/EAST , 8985743534</t>
  </si>
  <si>
    <t>NAYAB/PRODDATUR , 6305351203</t>
  </si>
  <si>
    <t>TULASI/NELLORE , 8897907043</t>
  </si>
  <si>
    <t>LIKITH/KHAMMAM , 7981063429</t>
  </si>
  <si>
    <t>X</t>
  </si>
  <si>
    <t/>
  </si>
  <si>
    <t>NA</t>
  </si>
  <si>
    <t>ADILABAD</t>
  </si>
  <si>
    <t>ICICI Bank Coral RuPay Credit Card</t>
  </si>
  <si>
    <t>ICICI Bank HPCL Super Saver Visa Credit Card</t>
  </si>
  <si>
    <t>O</t>
  </si>
  <si>
    <t>AJEES/OOGOLE , 7093700713</t>
  </si>
  <si>
    <t>UNPAID Total</t>
  </si>
  <si>
    <t>SANTHOSH/KARIMNAGAR , 9963176593</t>
  </si>
  <si>
    <t>ICICI Bank Expressions Credit Card</t>
  </si>
  <si>
    <t>ICICI Bank Rubyx Visa Credit Card</t>
  </si>
  <si>
    <t>Amazon Pay ICICI Bank Credit Card</t>
  </si>
  <si>
    <t>(All)</t>
  </si>
  <si>
    <t>TS</t>
  </si>
  <si>
    <t>EG&amp;WG</t>
  </si>
  <si>
    <t>KDP</t>
  </si>
  <si>
    <t>SRINIU/WEST , 9154934446</t>
  </si>
  <si>
    <t>UDAY/KAKINADA , 9032220101</t>
  </si>
  <si>
    <t>TUNI</t>
  </si>
  <si>
    <t>PRUDHVI/GTR , 8185079989</t>
  </si>
  <si>
    <t>SRIKANTH/ANANTHAPUR , 9182336153</t>
  </si>
  <si>
    <t>PRAVEEN/ADILABAD , 8639562425</t>
  </si>
  <si>
    <t>SUBBU ,  9985844576</t>
  </si>
  <si>
    <t>UCIC DODE</t>
  </si>
  <si>
    <t>SEKAR/TIRUPATI , 8500444601</t>
  </si>
  <si>
    <t>TIRUPATHI</t>
  </si>
  <si>
    <t>VIJAYAWADA</t>
  </si>
  <si>
    <t>SURYAPET</t>
  </si>
  <si>
    <t>ICICI Bank Coral Credit Card</t>
  </si>
  <si>
    <t>SAMEERA</t>
  </si>
  <si>
    <t>RABBANI/KURNOOL , 9052323785</t>
  </si>
  <si>
    <t>SAI</t>
  </si>
  <si>
    <t>RAJKUMAR/MEDAK , 7670935091</t>
  </si>
  <si>
    <t>SWAGATH/ADILABAD , 9666210999</t>
  </si>
  <si>
    <t>ICICI Sapphiro Master PLT Chip Card</t>
  </si>
  <si>
    <t>RANJITH/TS , 7794980652</t>
  </si>
  <si>
    <t>LOHITH/ELLURU , 9705411758</t>
  </si>
  <si>
    <t>MADHU/NANDYAL , 9550812050</t>
  </si>
  <si>
    <t>TRISHANTH/KDP , 7780707644</t>
  </si>
  <si>
    <t>KARTHIK/BADRACHALAM , 8688997363</t>
  </si>
  <si>
    <t>SIVAKUMAR/NALGONDA , 9100418645</t>
  </si>
  <si>
    <t>SATISH/PEDDAPALLI , 9866940714</t>
  </si>
  <si>
    <t>MUJEEB/CHITTOOR , 6281127494</t>
  </si>
  <si>
    <t>ARAVIND/GTR , 9154094854</t>
  </si>
  <si>
    <t>MAHESH/NIZAMABAD , 9177861515</t>
  </si>
  <si>
    <t>SHIVA/MAHBOOBNAGAR , 8523001416</t>
  </si>
  <si>
    <t xml:space="preserve">FOS </t>
  </si>
  <si>
    <t>ICICI Bank MasterCard  Platinum chip Credit Card</t>
  </si>
  <si>
    <t>4748469568153007</t>
  </si>
  <si>
    <t>MR VASUPALLI RAJU</t>
  </si>
  <si>
    <t>9182694090</t>
  </si>
  <si>
    <t>0000000026779836</t>
  </si>
  <si>
    <t>Ssd@9290</t>
  </si>
  <si>
    <t>Ssde@9290</t>
  </si>
  <si>
    <t>Sgr@9290</t>
  </si>
  <si>
    <t>SUDHAKAR</t>
  </si>
  <si>
    <t>UDAY</t>
  </si>
  <si>
    <t>INAMUL</t>
  </si>
  <si>
    <t>AKHIL</t>
  </si>
  <si>
    <t>S SEKHAR</t>
  </si>
  <si>
    <t>CUDDAPAH</t>
  </si>
  <si>
    <t>VAMSI/KDP , 9573098703</t>
  </si>
  <si>
    <t>MANIKANTA</t>
  </si>
  <si>
    <t>4501721844723004</t>
  </si>
  <si>
    <t>4501721457331004</t>
  </si>
  <si>
    <t>MS SOUJANY A BOKKETI</t>
  </si>
  <si>
    <t>MR KASARAPU THIRUPATHI</t>
  </si>
  <si>
    <t xml:space="preserve">BDI MIG 162 RAMACHANDRAPURAM SANGAREDDY  MORE SUPER MARKET HYDERABAD TNG 502032 </t>
  </si>
  <si>
    <t xml:space="preserve">"H NO 7-5-12,EMPLOYES COLONY" JAMMIKUNTA KARIMNAGAR NEAR GOVT HOSPITAL KARIMNAGAR TNG 505122 </t>
  </si>
  <si>
    <t>WIPRO LIMITED GACHIBOWLI   HYDERABAD TNG 500032</t>
  </si>
  <si>
    <t>SAHARA INDIA KONDUR COMPLEX KARIMNAGAR KARIMNAGAR KARIMNAGAR TNG 505122</t>
  </si>
  <si>
    <t>SANGAREDDY</t>
  </si>
  <si>
    <t>PEDDAPALLI</t>
  </si>
  <si>
    <t>DURGA</t>
  </si>
  <si>
    <t>4073520235754000</t>
  </si>
  <si>
    <t>4748461216860000</t>
  </si>
  <si>
    <t>4748461392473008</t>
  </si>
  <si>
    <t>4748464719108000</t>
  </si>
  <si>
    <t>4748464729282001</t>
  </si>
  <si>
    <t>4748464743890003</t>
  </si>
  <si>
    <t>MR ARPULA NAGAIAH</t>
  </si>
  <si>
    <t>MR RAVULA SRIHARI</t>
  </si>
  <si>
    <t>MR KOLIPAKA SAMPATH</t>
  </si>
  <si>
    <t>MR PATTA RAVI</t>
  </si>
  <si>
    <t>MR PAREDDY RAMESH</t>
  </si>
  <si>
    <t>MR DUNDIGALA RAVI</t>
  </si>
  <si>
    <t>4-37 CHIVEEMLA MANDALAM CHIVEEMLA S C COLONY SURYAPET TNG 508213</t>
  </si>
  <si>
    <t>"H.NO.6-2-739/2,HYDERABAD ROAD," "NALGONDA ,BACKSIDE UDIPI HOTEL," "NALGONDA,NEAR BUS STOP" NEAR SAI FUNCTION HALL NALGONDA TNG 508001</t>
  </si>
  <si>
    <t>2-7-58/1 THENUGU WADA  KARIMNAGAR PEDDAPALLI TNG 505172</t>
  </si>
  <si>
    <t>H NO 2-35/4 JAMMIKUNTA MANDAL  KARIMNAGAR KARIMNAGAR TNG 505122</t>
  </si>
  <si>
    <t>- NEREDUCHARLA N T R NAGAR NALGONDA SURYAPET TNG 508218</t>
  </si>
  <si>
    <t>5-52 VEMULAPALLY MANDAL ITIKYALA  SURYAPET TNG 508217</t>
  </si>
  <si>
    <t>RAVOOS LABORATORIES LTD CHIVRRMALA SURYAPET SURYAPET SURYAPET TNG 508213</t>
  </si>
  <si>
    <t>MICRO LABS LIMITED "LAXMI PHARMA MAIN ROAD,NALGONA," "BESIDE COURT,BESIDE LIC OFFICE," "BESIDE COURT,BESIDE LIC OFFICE," NALGONDA TNG 508001</t>
  </si>
  <si>
    <t>KPN DEVELOPERS "2-7-58/2, GROUND FLOOR" PEDDAPALLY PEDDAPALLY PEDDAPALLI TNG 505172</t>
  </si>
  <si>
    <t>MUTHOOTTU MINI FINANCIERS LTD "H.NO 3-1-70, 1ST FLOOR ,MAIN ROAD" "GANDHICHOWK, JAMMIKUNTA" "GANDHICHOWK, JAMMIKUNTA" KARIMNAGAR TNG 505122</t>
  </si>
  <si>
    <t>HDB FINANCIAL SERVICES LIMITED 18-706 2ND FLOOR "SAGAR ROAD ,MIRYALAGUDA" "SAGAR ROAD ,MIRYALAGUDA" SURYAPET TNG 508218</t>
  </si>
  <si>
    <t>HINDUSTAN MICRO FINANCE PVT LTD 28-1092 HOUSING BOARD COLONY VIDYANAGAR MIRYALGUDA NALGONDA VIDYANAGAR MIRYALGUDA NALGONDA SURYAPET TNG 508207</t>
  </si>
  <si>
    <t>NALGONDA</t>
  </si>
  <si>
    <t>ICICI Bank Platinum Chip Credit Card</t>
  </si>
  <si>
    <t>MANAIH/SANGAREDDY , 9440683493</t>
  </si>
  <si>
    <t>SRIKANTH/NALGONDA , 9603185469</t>
  </si>
  <si>
    <t>RAJKUMAR</t>
  </si>
  <si>
    <t>PAVAN</t>
  </si>
  <si>
    <t>CI</t>
  </si>
  <si>
    <t>CALLER ID</t>
  </si>
  <si>
    <t>TL ID</t>
  </si>
  <si>
    <t>FOS ID</t>
  </si>
  <si>
    <t>FO012</t>
  </si>
  <si>
    <t>TC005</t>
  </si>
  <si>
    <t>FO069</t>
  </si>
  <si>
    <t>FO055</t>
  </si>
  <si>
    <t>FO063</t>
  </si>
  <si>
    <t>Count of ENR</t>
  </si>
  <si>
    <t>"1-140,," Bodrai bazar Miryalaguda Gudur camp thanda MIRYALAGUDA TNG 508207</t>
  </si>
  <si>
    <t>KALLAKAL VILLAGE MANOHARABAD MANDAL MEDAK DISTRICT HYDERABAD NEAR GLOUSTER CABLES MEDAK TNG 502336</t>
  </si>
  <si>
    <t>H NO 1-13 HUSNABAD MANDAL HANMAN  THEATRE KARIMNAGAR HYDERABAD TNG 505467</t>
  </si>
  <si>
    <t>"417,GROUND FL," "28," OSMAN NAGAR -OPP COMMUNITY HALL MEDAK TNG 502300</t>
  </si>
  <si>
    <t>BHARAT HEAVY ELECTRICALS LIMITED INDUSTRIAL SYSTEMS GROUP BHEL SITEOFFICE 2X660 MW SURATGARH OFFICE 2X660 MW SURATGARH SURATGARH RAJ 335804</t>
  </si>
  <si>
    <t>INVENTAA INDUSTRIES PRIVATE LIMITED 5-27/2 KALLAKAMANOHARABAD MEDAK NR GLOSTER CABLES MANOHARABAD MEDAK NR GLOSTER CABLES MEDAK TNG 502334</t>
  </si>
  <si>
    <t>VINAYAKA FINANCES HNO 1-35/34  TELANGANA COMPLEXSIDDIPET SIDDIPET MEDAK TNG 502103</t>
  </si>
  <si>
    <t>APARNAENTERPRISES LTD NO 99-2 KADIGANA HALLI VILLEGE TALE HOBLI- - BANGALORE KAR 562157</t>
  </si>
  <si>
    <t>TC084</t>
  </si>
  <si>
    <t>FO061</t>
  </si>
  <si>
    <t>FO080</t>
  </si>
  <si>
    <t>6528681182898004</t>
  </si>
  <si>
    <t>6528682334625006</t>
  </si>
  <si>
    <t>MS JYOTHI KONDE</t>
  </si>
  <si>
    <t>MR N SURESH</t>
  </si>
  <si>
    <t>9491634215</t>
  </si>
  <si>
    <t>8008237470</t>
  </si>
  <si>
    <t>H NO 3-41 GAJWEL MANDAL  MEDAK MEDAK TNG 502278</t>
  </si>
  <si>
    <t>"5-2-76,APHABCOLONY,BHONGIR,BHUVANAGIRI" - NALGONDA - NALGONDA TNG 508116</t>
  </si>
  <si>
    <t>2-3-167 VIVEKANANDA ROAD KORUTLA CPI NEAR KARIMNAGAR TNG 505326</t>
  </si>
  <si>
    <t>"1-25,CHINNA KANJERLA Village PEDDA" "KANJERLA POSt PATANCHERU-MANDAL,SANGA" REDDY-DISTRICt  HYDERABAD TNG 502319</t>
  </si>
  <si>
    <t>1-31/1parkampalle pyarkampalle  parkampalleVikarabad HYD TNG 501144</t>
  </si>
  <si>
    <t xml:space="preserve">USHARANI LIFE STYLE PVT LTD H NO 11-22 FLAT NO 24 1ST FLOOR ALWAL MALKAJGIRI ALWAL MALKAJGIRI HYDERABAD TNG 500010 </t>
  </si>
  <si>
    <t xml:space="preserve">AIRTEL NETWORKS TELESONIC NETWORKS LTD SURVEY NO 64/2 SOFTWARE UNITS LAYOUT MAH SURVEY NO 64/2 SOFTWARE UNITS LAYOUT MAH Hyderabad TNG 500083 </t>
  </si>
  <si>
    <t xml:space="preserve">SARASWATHI SOLUTIONS AILAPUR DARWAJA KORUTLA KORUTLA KARIMNAGAR TNG 505326 </t>
  </si>
  <si>
    <t xml:space="preserve">"RAINBOW HOSPITALS NANAKRAMGUDA," "FINANCIAL DISTRICT, HYDERABAD"   HYDERABAD TNG 500008 </t>
  </si>
  <si>
    <t xml:space="preserve">Executive engineer vikarabad Irrigation department vikarabad   HYD TNG 501101 </t>
  </si>
  <si>
    <t>0000000029990648</t>
  </si>
  <si>
    <t>0000000033157223</t>
  </si>
  <si>
    <t>4TH AUG</t>
  </si>
  <si>
    <t>Column1</t>
  </si>
  <si>
    <t>MakeMyTrip ICICI Bank Platinum Credit Card</t>
  </si>
  <si>
    <t>NANDYAL</t>
  </si>
  <si>
    <t>HARI</t>
  </si>
  <si>
    <t>FO021</t>
  </si>
  <si>
    <t>Sum of ENR</t>
  </si>
  <si>
    <t>Sum of ENR2</t>
  </si>
  <si>
    <t>Total Sum of ENR</t>
  </si>
  <si>
    <t>Total Sum of ENR2</t>
  </si>
  <si>
    <t>Total Count of ENR</t>
  </si>
  <si>
    <t>IQ UPLOAD</t>
  </si>
  <si>
    <t xml:space="preserve">BOD ERROR CASES </t>
  </si>
  <si>
    <t>6528680327846001</t>
  </si>
  <si>
    <t>6528681706895007</t>
  </si>
  <si>
    <t>MR VISHWANADULA RAMESHCHARI</t>
  </si>
  <si>
    <t>MR MOLABANTI SIVA PRASAD</t>
  </si>
  <si>
    <t>9959398725</t>
  </si>
  <si>
    <t>7330914392</t>
  </si>
  <si>
    <t>0000000028236257</t>
  </si>
  <si>
    <t>0000000031461143</t>
  </si>
  <si>
    <t>KOTI/MACHILIPATNAM , 8247838027</t>
  </si>
  <si>
    <t>FO051</t>
  </si>
  <si>
    <t>Total Sum of AMOUNT</t>
  </si>
  <si>
    <t>CHAITANYA</t>
  </si>
  <si>
    <t>FO029</t>
  </si>
  <si>
    <t>PRASHANTH</t>
  </si>
  <si>
    <t>NIZAMABAD</t>
  </si>
  <si>
    <t>WANAPARTHY</t>
  </si>
  <si>
    <t>INAMUL/GTR , 8367073588</t>
  </si>
  <si>
    <t>FO001</t>
  </si>
  <si>
    <t>GTR</t>
  </si>
  <si>
    <t>SRINU/GTR , 9704963641</t>
  </si>
  <si>
    <t>FO007</t>
  </si>
  <si>
    <t>FO008</t>
  </si>
  <si>
    <t>HINDUPUR</t>
  </si>
  <si>
    <t>KURNOOL</t>
  </si>
  <si>
    <t>VJW</t>
  </si>
  <si>
    <t>TIRMURTHULU/TADEPALLIGUDEM , 9542330423</t>
  </si>
  <si>
    <t>FO093</t>
  </si>
  <si>
    <t>B SRIKANTH</t>
  </si>
  <si>
    <t>VALLI/ADONI , 9963854572</t>
  </si>
  <si>
    <t>PURNA</t>
  </si>
  <si>
    <t>FO040</t>
  </si>
  <si>
    <t>DEVI</t>
  </si>
  <si>
    <t>BVR</t>
  </si>
  <si>
    <t>TL045</t>
  </si>
  <si>
    <t>TC114</t>
  </si>
  <si>
    <t>TC003</t>
  </si>
  <si>
    <t>SRINIVAS/SURYAPET , 7989908024</t>
  </si>
  <si>
    <t>FO113</t>
  </si>
  <si>
    <t>NAGARAJU/TS , 6281603130</t>
  </si>
  <si>
    <t>FO099</t>
  </si>
  <si>
    <t>RADHAKRISHNA</t>
  </si>
  <si>
    <t>4375517730085026</t>
  </si>
  <si>
    <t>4315813674599004</t>
  </si>
  <si>
    <t>4501720980919012</t>
  </si>
  <si>
    <t>4748461380563000</t>
  </si>
  <si>
    <t>4035621422041016</t>
  </si>
  <si>
    <t>4035622725499042</t>
  </si>
  <si>
    <t>4315814984682001</t>
  </si>
  <si>
    <t>5241933530449016</t>
  </si>
  <si>
    <t>5241933937558005</t>
  </si>
  <si>
    <t>6528680200602000</t>
  </si>
  <si>
    <t>6528680679680008</t>
  </si>
  <si>
    <t>6528680775710006</t>
  </si>
  <si>
    <t>6528680777955005</t>
  </si>
  <si>
    <t>6528681495013002</t>
  </si>
  <si>
    <t>6528682190024013</t>
  </si>
  <si>
    <t>6528682202273004</t>
  </si>
  <si>
    <t>6528682841442002</t>
  </si>
  <si>
    <t>6528683273969009</t>
  </si>
  <si>
    <t>6530750099572006</t>
  </si>
  <si>
    <t>4035620727326007</t>
  </si>
  <si>
    <t>6530750206656007</t>
  </si>
  <si>
    <t>MR R GOPI</t>
  </si>
  <si>
    <t>MR Vasi Rama Krishna</t>
  </si>
  <si>
    <t>MR DHAMMANAGARI NIKHIL REDDY</t>
  </si>
  <si>
    <t>MR GUTTHIKONDA VEERABABU</t>
  </si>
  <si>
    <t>MR ARRA PARAMESHWAR</t>
  </si>
  <si>
    <t>MR THARUN KUMAR SURYADEVARA</t>
  </si>
  <si>
    <t>MR Punem Sudheer</t>
  </si>
  <si>
    <t>MR. GEESALA ANIL KUMAR</t>
  </si>
  <si>
    <t>MR POLUKONDA CHAKRAVARTHI</t>
  </si>
  <si>
    <t>MR RATHOD NARESH</t>
  </si>
  <si>
    <t>MR YARASANI RITHVIK</t>
  </si>
  <si>
    <t>MR DANTHALA SAMRATH</t>
  </si>
  <si>
    <t>MR SKAIK SHABBER ALI</t>
  </si>
  <si>
    <t>MR BEERE BALAKRISHNA</t>
  </si>
  <si>
    <t>MR DUBBA ISSACRAJU</t>
  </si>
  <si>
    <t>MR Jelli Prema Vishal</t>
  </si>
  <si>
    <t>MR K ACHARI</t>
  </si>
  <si>
    <t>MR Aipuri Ramesh</t>
  </si>
  <si>
    <t>MR PRANAY CHOWDARY KHAJA</t>
  </si>
  <si>
    <t>MR MARAM RANJITH</t>
  </si>
  <si>
    <t>Mr CHEBROLU RAM CHEBROLU RAM BABU</t>
  </si>
  <si>
    <t>8951200247</t>
  </si>
  <si>
    <t>9550009838</t>
  </si>
  <si>
    <t>9640130530</t>
  </si>
  <si>
    <t>9848216903</t>
  </si>
  <si>
    <t>9951056955</t>
  </si>
  <si>
    <t>7569262524</t>
  </si>
  <si>
    <t>9000974648</t>
  </si>
  <si>
    <t>9059000666</t>
  </si>
  <si>
    <t>9502552140</t>
  </si>
  <si>
    <t>9505572860</t>
  </si>
  <si>
    <t>9052345647</t>
  </si>
  <si>
    <t>9666153329</t>
  </si>
  <si>
    <t>7794812277</t>
  </si>
  <si>
    <t>9701116035</t>
  </si>
  <si>
    <t>9849310046</t>
  </si>
  <si>
    <t>7032464090</t>
  </si>
  <si>
    <t>7993471918</t>
  </si>
  <si>
    <t>8465039079</t>
  </si>
  <si>
    <t>9066434639</t>
  </si>
  <si>
    <t>9849374796</t>
  </si>
  <si>
    <t>9703403330</t>
  </si>
  <si>
    <t>D NO C 1114 C BLOCK TIRUPATI KARAKAMBADI KADAPA ROAD TIRUPATHI ANP 517507</t>
  </si>
  <si>
    <t>10 104 F6 markapuram jawahar nagar colonyPrakasam NANDYAL ANP 523316</t>
  </si>
  <si>
    <t>FLAT,NO 501 HARSHITHA HEIGHTS,NALLURI, HEIGHTS NEW,MALLAREDDYNAGAR, SANGAREDDY- SANGAREDDY TNG 502032</t>
  </si>
  <si>
    <t>13-85 BRAHMANAPALLI KHAMMAM KHAMMAM TNG 507165</t>
  </si>
  <si>
    <t>KOMMAIGUDEM KOMMAIGUDEM RAMANNAPET POST NALGONDA TNG 508113</t>
  </si>
  <si>
    <t>1-29B BODDURAYI CENTER KRISHNA VIJAYAWADA ANP 521180</t>
  </si>
  <si>
    <t>House.Number.19.157.C Yellandu.Mandal Andugula.BoduKhammam KHAMMAM TNG 507124</t>
  </si>
  <si>
    <t>6-75, SURYARAO PETA, KAKINADA RURAL KAKINADA, EAST GODAVARI, ANDHRA PRADESH BESIDE RAMALAYAM KAKINADA ANP 533005</t>
  </si>
  <si>
    <t>D NO 8-101/1 S/O G VENKATARAMANA PANCHAMUKHESWARA COLONY KARAPA MD VELANGINEAR SAI BABA TEMPLE KAKINADA ANP 533260</t>
  </si>
  <si>
    <t>77 50 1 11B A V S REDDY ROAD AJITH SINGH NAGARBEHIND SAI BABA TEMPLE VIJAYAWADA ANP 520015</t>
  </si>
  <si>
    <t>HNO 1-58 DEVAPURI JAIRAMGUDA KEREMERI ADILABAD ANDRAPRADESH ADILABADNEAR MAIN ROAD ADILABAD TNG 504293</t>
  </si>
  <si>
    <t>1-80 NIDAMANUR NALGONDANEAR WATER TANK NALGONDA TNG 508278</t>
  </si>
  <si>
    <t>7-604A NEW BANK COLONY,.,MANGALAGIRI   GUNTUR ANP 522503</t>
  </si>
  <si>
    <t>9-46/26/3 KAMAREDDY OLD S P R SCHOOLSRINIVAS NAGAR NIZAMABAD TNG 503111</t>
  </si>
  <si>
    <t>15-175 SUNNAMBATTI STREET HASAN STREET KURNOOL ANP 518360</t>
  </si>
  <si>
    <t>DNo 1-654-,,5-5-6 Goods Shed Kottala Road, Near Manikanta School Shanti NagarDharmavaram GUNTAKAL ANP 515671</t>
  </si>
  <si>
    <t>5-6 PAMIDIMUKKALA MANDALAM  VIJAYAWADA ANP 521256</t>
  </si>
  <si>
    <t>HNO 5-10-131  MANYAM CHALKAN NALGONDA NALGONDANEAR DISTRICT JAIL NALGONDA TNG 508001</t>
  </si>
  <si>
    <t>81.255.37 BACHUM.PALLI ..BACHUM.PALLICuddapah CUDDAPAH ANP 516002</t>
  </si>
  <si>
    <t>1-58 KALAGATUR KALAGATUR,GANAGAVARAM,,KALAGATOOR Chittoor CTT ANP 517408</t>
  </si>
  <si>
    <t>Vibhalapur Vibhalapur Suryapet KAM TNG 508212</t>
  </si>
  <si>
    <t>12-,113 B V NAGAR GOSPADU ,MANDAL BV,NAG GOSPADU GOSPADU NANDYAL ANP 518573</t>
  </si>
  <si>
    <t>33-5-179 RANGASHAIPET. 506166 OPP.NAIDU PETROL PUMPTELANGANA WARANGAL TNG 506166</t>
  </si>
  <si>
    <t>9 12 3/1 Rayala Vari Street ST Anns School Road Nidadavole Mandalam Nidadavole West Godavari ANP 534301</t>
  </si>
  <si>
    <t>AMARA XXXXXXXXXXXXXXXXXXXXXX AMAKA XXXXXXXXXXXXXXKARAKAMBADI KARAKAMBADI TIRUPATHI ANP 517520</t>
  </si>
  <si>
    <t>SV INTXXXXXXXXXXXXXXXX NEAR NXXXXXXXXXXXXXXXXXMARKAT ROAD MARKAT ROAD NANDYAL ANP 523316</t>
  </si>
  <si>
    <t>SIX SAXXXXXXXXXXXXXXXXXXXXXXXXXXXXXX 2ND FLXXXXXXXXXXXXXXXXXXXXXXXXXXXXXHITECH CITY HITECH CITY HYDERABAD TNG 500081</t>
  </si>
  <si>
    <t>VEERABXXXXXXXXXXXXXXX VEERABXXXXXXXXXXXXXXXKHAMMAM KHAMMAM KHAMMAM TNG 507165</t>
  </si>
  <si>
    <t>VIGNAN INSTITUTE OF TECHNOLOGY AND MANAG DESHMUKHI VLGYADADRI BHUVANAGIRI DST YADADRI BHUVANAGIRI DST NALGONDA TNG 508252</t>
  </si>
  <si>
    <t>HONEY MULTI CUSINE RESTAURANT TOLL PLAZA,CHILLAKALLUCHILLAKALLU ANDHRA PRADESH CHILLAKALLU ANDHRA PRADESH VIJAYAWADA ANP 521178</t>
  </si>
  <si>
    <t>RAXA.SECURITY.SARVIS.LTD EDDAMMAGADHA.SHADNAGAR.NEAR.SAIBABA.T.EMPLE SHADNAGAR.NEAR.SAIBABA.T.EMPLE WANAPARTHY TNG 509202</t>
  </si>
  <si>
    <t>EASTRAN POWER DISTRUBUTION COMPANY LTD A EASTRAN POWER DISTRUBUTION, AP, RTOOFFICE RD SASIKANTH NAGAR, KAKINADA OFFICE RD SASIKANTH NAGAR, KAKINADA KAKINADA ANP 533003</t>
  </si>
  <si>
    <t>KAKINADASEA PORT PVT LTD C/O KAKINADA SEA PORT LIMITEDPALLAM RAJUNAGAR ROAD NO 3 PALLAM RAJUNAGAR ROAD NO 3 KAKINADA ANP 533001</t>
  </si>
  <si>
    <t>GOVT A P P H SCHOOL Z P HIGH SCHOOLG KONDURU G KONDURU VIJAYAWADA ANP 521229</t>
  </si>
  <si>
    <t>GOVT OF TELANGANA WELFARE DEPARTMENT SECRETAIAT DEPORTMENTADILABAD ADILABAD ADILABAD TNG 504293</t>
  </si>
  <si>
    <t>SRI VENKATARAMANA JEWELLARY MAIN ROADNIDAMANUR NIDAMANUR NALGONDA TNG 508278</t>
  </si>
  <si>
    <t>Vriddhi Hospitals 7-568Nidamarru Road Nidamarru Road VIJAYAWADA ANP 522503</t>
  </si>
  <si>
    <t>SAMRATH ENTERPRIS 5-33-14/1 GUMASTA COLONYKAMAREFFY KAMAREFFY NIZAMABAD TNG 503111</t>
  </si>
  <si>
    <t>GH FRUITS MARCHENT 1/490/1SHIVA CYCLE BUS STAND ROAD YEMMIGANUR SHIVA CYCLE BUS STAND ROAD YEMMIGANUR KURNOOL ANP 518360</t>
  </si>
  <si>
    <t>COGNIZANT CONSULTING PVT LTD Embassy tech parkHebbal Hebbal BANGALORE KAR 560045</t>
  </si>
  <si>
    <t>HEMA TEXTILES SHOP NO 1-35,MANTADAKODUMUKKALA MANDALAM KODUMUKKALA MANDALAM VIJAYAWADA ANP 521256</t>
  </si>
  <si>
    <t>GENERAL STATE GOVERNEMENT GOVT OF TELANGANA SC CORPORATIONSAMKSHEMA BHAVAN COLLECTORATE COMPLEXE SAMKSHEMA BHAVAN COLLECTORATE COMPLEXE NALGONDA TNG 508001</t>
  </si>
  <si>
    <t>GOVERNMENT.GENRAL.HOSPITAL.KADAPA GOVERNMENT.GENRAL.HOSPITAL.PUTLAMPALLI. PUTLAMPALLI. CUDDAPAH ANP 516001</t>
  </si>
  <si>
    <t>49 1 st Cross, 27th main road,Tata motors 1st stage BTM layout, Bangalore, Karnataka  BNG KAR 560068</t>
  </si>
  <si>
    <t>GROUND FLOOR POST OFFICE ROAD  KAM TNG 508212</t>
  </si>
  <si>
    <t xml:space="preserve">     </t>
  </si>
  <si>
    <t>MARUTHXXXXXXXXXXXXX PLOT NXXXXXXXXXXXXXXXXXGOREGUNDA X RD WARANGAL GOREGUNDA X RD WARANGAL WARANGAL TNG 506001</t>
  </si>
  <si>
    <t>PALAMANER</t>
  </si>
  <si>
    <t>TADEPALLIGUDEM</t>
  </si>
  <si>
    <t>0000000011468839</t>
  </si>
  <si>
    <t>0000000025028456</t>
  </si>
  <si>
    <t>0000000022985403</t>
  </si>
  <si>
    <t>0000000025645243</t>
  </si>
  <si>
    <t>0000000027650431</t>
  </si>
  <si>
    <t>0000000022104275</t>
  </si>
  <si>
    <t>0000000030219827</t>
  </si>
  <si>
    <t>0000000010885383</t>
  </si>
  <si>
    <t>0000000016443783</t>
  </si>
  <si>
    <t>0000000028051837</t>
  </si>
  <si>
    <t>0000000028968845</t>
  </si>
  <si>
    <t>0000000029175141</t>
  </si>
  <si>
    <t>0000000029184243</t>
  </si>
  <si>
    <t>0000000030779083</t>
  </si>
  <si>
    <t>0000000032730987</t>
  </si>
  <si>
    <t>0000000032760457</t>
  </si>
  <si>
    <t>0000000034498308</t>
  </si>
  <si>
    <t>0000000035697801</t>
  </si>
  <si>
    <t>0000000033593252</t>
  </si>
  <si>
    <t>0000000023780389</t>
  </si>
  <si>
    <t>0000000035488687</t>
  </si>
  <si>
    <t>ICICI Bank MakeMyTrip Travel Credit Card - RuPay</t>
  </si>
  <si>
    <t>6TH OCT</t>
  </si>
  <si>
    <t>KIRAN/CHITTOOR , 9440471742</t>
  </si>
  <si>
    <t>FO030</t>
  </si>
  <si>
    <t>FO115</t>
  </si>
  <si>
    <t>4035622862640002</t>
  </si>
  <si>
    <t>4315812076306000</t>
  </si>
  <si>
    <t>4315815186098011</t>
  </si>
  <si>
    <t>4748466919556003</t>
  </si>
  <si>
    <t>MR RAMI RAJESH</t>
  </si>
  <si>
    <t>Mr KANDUKURI NIRANJAN REDDY</t>
  </si>
  <si>
    <t>MR CHIGURAKULA HEMANTH KUMAR</t>
  </si>
  <si>
    <t>MR SHAIK DADAPEER</t>
  </si>
  <si>
    <t>9666631430</t>
  </si>
  <si>
    <t>8125785905</t>
  </si>
  <si>
    <t>7207107529</t>
  </si>
  <si>
    <t>9160186773</t>
  </si>
  <si>
    <t>KODURU PADU, GUDIPALLIPADUNELLORE RURAL NEAR SHIVALAYAM NELLORE ANP 524314</t>
  </si>
  <si>
    <t>2-24,GARUGUCHINTALAPALLI,PUTLUR,PUTLUR, CHINTALAPALLE  ANANTAPUR ANP 515414</t>
  </si>
  <si>
    <t>06.06.06 naidupetawest.street Nellore GUDUR ANP 524126</t>
  </si>
  <si>
    <t>1-718/3 B.C.COLONY BANAGANAPALLE NANDYAL ANP 518124</t>
  </si>
  <si>
    <t>SRI LAXXXXXXXXXXXXXXXXXXXX NELLORX NELLORE NELLORE NELLORE ANP 524314</t>
  </si>
  <si>
    <t>NiranjXX AnantaXXX Anantapur Anantapur ANANTAPUR ANP 515411</t>
  </si>
  <si>
    <t>TELUS.XXXXXXXXXXXXX 6.6.66XXXXXXXXXXXX PARK.BACKSIDE.. PARK.BACKSIDE.. GUDUR ANP 524126</t>
  </si>
  <si>
    <t>ACCENTXXXXXXXXXXXXXXXXXXXXXXXXXXXXX ACCENTXXXXXXXXXXXXXXXXXXXXX HIGH TECH CITY,RAJHAENCLIVE,HYD HIGH TECH CITY,RAJHAENCLIVE,HYD HYDERABAD TNG 500085</t>
  </si>
  <si>
    <t>NELLORE</t>
  </si>
  <si>
    <t>ANANTAPUR</t>
  </si>
  <si>
    <t>GUDUR</t>
  </si>
  <si>
    <t>0000000023000365</t>
  </si>
  <si>
    <t>0000000019898613</t>
  </si>
  <si>
    <t>0000000031166161</t>
  </si>
  <si>
    <t>0000000026447616</t>
  </si>
  <si>
    <t>7TH OCT</t>
  </si>
  <si>
    <t>FO042</t>
  </si>
  <si>
    <t>IMAMVALLI</t>
  </si>
  <si>
    <t>NLR</t>
  </si>
  <si>
    <t>FO011</t>
  </si>
  <si>
    <t>8TH O</t>
  </si>
  <si>
    <t>TC</t>
  </si>
  <si>
    <t>VISITED</t>
  </si>
  <si>
    <t>PAID Total</t>
  </si>
  <si>
    <t>FO036</t>
  </si>
  <si>
    <t>K RAMU</t>
  </si>
  <si>
    <t>B RANJITH/BADRACHALAM , 9154994666</t>
  </si>
  <si>
    <t>FO084</t>
  </si>
  <si>
    <t>B RANJITH</t>
  </si>
  <si>
    <t>DL</t>
  </si>
  <si>
    <t>9TH O</t>
  </si>
  <si>
    <t>MESS</t>
  </si>
  <si>
    <t>Customer adress visit and Customer prasent not avilable, prasent going Hyderabd and call Amswer ptp on Today</t>
  </si>
  <si>
    <t>LIVE</t>
  </si>
  <si>
    <t>MADHU/NANDYAL , 9110727784</t>
  </si>
  <si>
    <t>SRIKANTH/ANANTHAPUR , 7569476738</t>
  </si>
  <si>
    <t>SUDHAKAR/VJW , 8179698034</t>
  </si>
  <si>
    <t xml:space="preserve">ustomer not available this address phone not answering sir </t>
  </si>
  <si>
    <t>SKIP</t>
  </si>
  <si>
    <t>10TH O</t>
  </si>
  <si>
    <t>customer shifted kakinada</t>
  </si>
  <si>
    <t>11TH O</t>
  </si>
  <si>
    <t>12TH O</t>
  </si>
  <si>
    <t>6529190000731016</t>
  </si>
  <si>
    <t>4375518915876007</t>
  </si>
  <si>
    <t>4748469608088007</t>
  </si>
  <si>
    <t>MR PENDYALA SRAVAN KUMAR</t>
  </si>
  <si>
    <t>MR VENKATESHAM JALIGAM</t>
  </si>
  <si>
    <t>MR MADDURU V RAGHAVENDRA</t>
  </si>
  <si>
    <t>8501895313</t>
  </si>
  <si>
    <t>9951774584</t>
  </si>
  <si>
    <t>9398524968</t>
  </si>
  <si>
    <t xml:space="preserve">HNO-6-116/72/1 BEERAMGUDA JAWAHAR NAGAR COLONY  HYDERABADTNG502032 </t>
  </si>
  <si>
    <t xml:space="preserve">H NO 5-42 MADHAPUR S C COLONY  NEAR POST OFFICE NalgondaTNG508116 </t>
  </si>
  <si>
    <t xml:space="preserve">9/84-1 2ND FLOOR TADIPATRI CHINNA BAZAR CHINNA BAZAR ANANTAPURANP515411 </t>
  </si>
  <si>
    <t>SUBASH SEWIND MACHINES AND ELECTRICALS HNO 5-50/2/B CHANDANAGAR,LINGAMPALLY CHANDANAGAR,LINGAMPALLYHYDERABAD TNG500050</t>
  </si>
  <si>
    <t>GOVT OXXXXXXXXXXX TELANGXXXXXXXXXXXXXXXXXXXXXXXXXXXX  Nalgonda TNG508116</t>
  </si>
  <si>
    <t>GOVERNXXXXXXXXXXXXXXXXXXXXX WARD 2XXXXXXXXXXXXXXXXXXXXXXXXXXXXXXX MUNCIPALITY URBAN ANANTHAPUR DIST MUNCIPALITY URBAN ANANTHAPUR DISTANANTAPUR ANP515411</t>
  </si>
  <si>
    <t>0000000028406865</t>
  </si>
  <si>
    <t>0000000012711364</t>
  </si>
  <si>
    <t>0000000027751939</t>
  </si>
  <si>
    <t>ICICI Bank Rubyx RuPay Credit Card</t>
  </si>
  <si>
    <t>12TH OCT</t>
  </si>
  <si>
    <t>Sms@9290</t>
  </si>
  <si>
    <t>SK MUJEEB</t>
  </si>
  <si>
    <t>Y GANESH</t>
  </si>
  <si>
    <t>BOJJA KRISHNA SAI</t>
  </si>
  <si>
    <t>UPLOADED</t>
  </si>
  <si>
    <t>13TH O</t>
  </si>
  <si>
    <t xml:space="preserve">customer house address visit customer house door lock neighbours told customer working in Hyderabad customer mobile responding call back </t>
  </si>
  <si>
    <t>-visited customer adress customer not available in form to her mother</t>
  </si>
  <si>
    <t xml:space="preserve"> customer given House address visited but customer not available at this address confirmed by neighbour's and renters of this house customer mobile number not working </t>
  </si>
  <si>
    <t>4748469382973002</t>
  </si>
  <si>
    <t>4748469479944007</t>
  </si>
  <si>
    <t>4748469636424000</t>
  </si>
  <si>
    <t>5241930525015000</t>
  </si>
  <si>
    <t>5241930618023002</t>
  </si>
  <si>
    <t>5241930683250001</t>
  </si>
  <si>
    <t>5241930808734004</t>
  </si>
  <si>
    <t>5241930867439008</t>
  </si>
  <si>
    <t>5241934248902007</t>
  </si>
  <si>
    <t>5241934311282006</t>
  </si>
  <si>
    <t>MR MAHAMAD HAMID</t>
  </si>
  <si>
    <t>MR KAMMARI NAGARAJ</t>
  </si>
  <si>
    <t>MS K S NASREEN</t>
  </si>
  <si>
    <t>MR POLI SUDHAKAR</t>
  </si>
  <si>
    <t>MR JAGADEESH REDDY KETHA</t>
  </si>
  <si>
    <t>MR CHAKALI RAMA MOHAN</t>
  </si>
  <si>
    <t>MR POKALA RAVI KUMAR</t>
  </si>
  <si>
    <t>MR AHMED UDDIN</t>
  </si>
  <si>
    <t>MR RAMANA DWARAKA</t>
  </si>
  <si>
    <t>MR SUNKARA SUBBARAYUDU</t>
  </si>
  <si>
    <t>8639103178</t>
  </si>
  <si>
    <t>8500949374</t>
  </si>
  <si>
    <t>7780711329</t>
  </si>
  <si>
    <t>9866662480</t>
  </si>
  <si>
    <t>9491918283</t>
  </si>
  <si>
    <t>9642801704</t>
  </si>
  <si>
    <t>7013177787</t>
  </si>
  <si>
    <t>9849208198</t>
  </si>
  <si>
    <t>9491714140</t>
  </si>
  <si>
    <t>8897512151</t>
  </si>
  <si>
    <t>W</t>
  </si>
  <si>
    <t>H NO 5-12-56  RAHAMAT NAGAR B T S NALGON DA POST NALGONDA VERY NEAR BY VENKATESH WARA TEMPLE AND BESIDE  OF  SHAIK HUSSAI N MASJID LINE RAHAMAT NAGAR COLONY NALGONDA TNG 508001</t>
  </si>
  <si>
    <t>FLOT NO 205 SHIVANI RESIDENCY BYEPASS ROAD SANGAREDDY HYDERABAD ABOVE MORE SUPER MARKET &amp;  NEAR AROMA RESTAURENT SANGAREDDY HYDERABAD TNG 502001</t>
  </si>
  <si>
    <t>27/169 MOOLASAGARAM  MOHAMADIYA MASJID NANDYAL ANP 518501</t>
  </si>
  <si>
    <t>2/48 R GOLLAPALLI RANGAMPALLE, PULLAMPETA KADAPA DISTRICT YSR KADAPA NEAR RAMALAYAM CUDDAPAH ANP 516107</t>
  </si>
  <si>
    <t>24-2-1959 PLOTNO 202 A-BLOCK DEERAJ HEIGHTS APRTMENT MAGUNTA LAY OUT NEAR P C R KALYANA  NELLORE ANP 524003</t>
  </si>
  <si>
    <t>48/3,SUNKULAMMA VEEDI OWK,MANDAL UPPALAPADU, UPPALAPADU, KURNOOL ANDHRAPRADESH NEAR SUNKULAMMA VEEDI OWK NANDYAL ANP 518122</t>
  </si>
  <si>
    <t>B C COLONY NARASAPURAM INDUKURUPETA    NELLORE ANP 524313</t>
  </si>
  <si>
    <t>2 33 PEECHARA PEECHARA LAXMANCHANDA    ADILABAD TNG 504105</t>
  </si>
  <si>
    <t>7/730 DRIVER KOTTALA PRODDATUR NEAR DARGA PRODDATUR ANP 516360</t>
  </si>
  <si>
    <t>90/157 MAMILLAPALLE MAMILLAPALLE CHINTHAKOMMA DINNE   CUDDAPAH ANP 516004</t>
  </si>
  <si>
    <t>HELLA INFRA MARKET LIMITED KNOWLEDGE CITY 14TH FLOOR DALLAS CENTRE DALLAS CENTRE RAYADURGAM HITECH CITY MAI DALLAS CENTRE RAYADURGAM HITECH CITY MAI HYDERABAD TNG 500032</t>
  </si>
  <si>
    <t>HCL TECHNOLOGIES LIMITED SUR NO 30,34,35,38 AVANCE BUSINESS HUB SEZ PHASE 2 HITECH CITY HYDERABAD SEZ PHASE 2 HITECH CITY HYDERABAD HYDERABAD TNG 500081</t>
  </si>
  <si>
    <t>DEPARTMENT OF POSTS PARK ROAD, NANDYALA OPPOSITE GANDHI CHOWK OPPOSITE GANDHI CHOWK NANDYAL ANP 518501</t>
  </si>
  <si>
    <t>TRJA CONSTRUCTIONS HNO 2/48 RANGAMPALLI PULLAMPET PULLAMPET CUDDAPAH ANP 516107</t>
  </si>
  <si>
    <t>JAGADEESHREDDY REAL ESTA DHER HEIGHTS AP MAGU LAY OUT   NELLORE ANP 524003</t>
  </si>
  <si>
    <t>QUINNOX CONSULTANCY SERVICES LIMITED 2324,3RD FLOOR,AMR TECH PARK-4,HOSUR MAIN ROAD, BANGALORE MAIN ROAD, BANGALORE BANGALORE KAR 560068</t>
  </si>
  <si>
    <t>OTHERS OSMAN SAGAR ROAD NARSING NARSING HYDERABAD TNG 500075</t>
  </si>
  <si>
    <t>CEEJAY TOBACCO LIMITED NIRMAL VENKATAPUR ROAD NIRMAL NIRMAL ADILABAD TNG 504106</t>
  </si>
  <si>
    <t>JUTURU AGENCIES 9/520 MYDUKUR ROAD PRODDATUR PRODDATUR PRODDATUR ANP 516360</t>
  </si>
  <si>
    <t>kadapa rims road estet kadspa rims road    CUDDAPAH ANP 516004</t>
  </si>
  <si>
    <t>MEDAK</t>
  </si>
  <si>
    <t>PRODDATUR</t>
  </si>
  <si>
    <t>0000000024152772</t>
  </si>
  <si>
    <t>0000000025363369</t>
  </si>
  <si>
    <t>0000000029045570</t>
  </si>
  <si>
    <t>0000000028267285</t>
  </si>
  <si>
    <t>0000000030050118</t>
  </si>
  <si>
    <t>0000000030713964</t>
  </si>
  <si>
    <t>0000000031890713</t>
  </si>
  <si>
    <t>0000000032507195</t>
  </si>
  <si>
    <t>0000000018919920</t>
  </si>
  <si>
    <t>0000000034638261</t>
  </si>
  <si>
    <t>ICICI Rubyx Master PLT Chip Card</t>
  </si>
  <si>
    <t>ICICI Bank Coral American Express Credit Card</t>
  </si>
  <si>
    <t>13TH OCT</t>
  </si>
  <si>
    <t>KANTH</t>
  </si>
  <si>
    <t>VSSK PRASAD</t>
  </si>
  <si>
    <t>FO056</t>
  </si>
  <si>
    <t>4035622643174008</t>
  </si>
  <si>
    <t>4315812654374008</t>
  </si>
  <si>
    <t>4315813319139000</t>
  </si>
  <si>
    <t>4315813353320003</t>
  </si>
  <si>
    <t>4315813467989008</t>
  </si>
  <si>
    <t>4315813479397000</t>
  </si>
  <si>
    <t>4315813612882017</t>
  </si>
  <si>
    <t>4315814600457002</t>
  </si>
  <si>
    <t>4315814771097017</t>
  </si>
  <si>
    <t>4315815199841001</t>
  </si>
  <si>
    <t>4315815713677006</t>
  </si>
  <si>
    <t>4501720998676000</t>
  </si>
  <si>
    <t>4748464747090014</t>
  </si>
  <si>
    <t>4748466924488002</t>
  </si>
  <si>
    <t>5241931162123016</t>
  </si>
  <si>
    <t>MR KANDULA VENKANNA</t>
  </si>
  <si>
    <t>MR Parankusham Manoj</t>
  </si>
  <si>
    <t>MR Y VARAPRASAD</t>
  </si>
  <si>
    <t>MR Pilli Sandeep</t>
  </si>
  <si>
    <t>MR. AJAY KULKARNI</t>
  </si>
  <si>
    <t>MR LAKKUIndrasen Reddy</t>
  </si>
  <si>
    <t>MS Kandi Deepika</t>
  </si>
  <si>
    <t>Ms SRI LAKSHMI BELLAMKONDA</t>
  </si>
  <si>
    <t>MR Valusa Sunil</t>
  </si>
  <si>
    <t>MR GUTLA SUNIL KUMARJI</t>
  </si>
  <si>
    <t>Mr BALISHETTI SATYANARAYANA</t>
  </si>
  <si>
    <t>MR JANAPATI VIJAYA KUMAR</t>
  </si>
  <si>
    <t>MR BANDI JAYA PRAKASH</t>
  </si>
  <si>
    <t>MR KASARLA NAVEEN</t>
  </si>
  <si>
    <t>MR. VAMSI KRISHNA K</t>
  </si>
  <si>
    <t>9542725373</t>
  </si>
  <si>
    <t>9581365525</t>
  </si>
  <si>
    <t>8686453902</t>
  </si>
  <si>
    <t>9951151866</t>
  </si>
  <si>
    <t>9704567972</t>
  </si>
  <si>
    <t>9490317349</t>
  </si>
  <si>
    <t>9100036659</t>
  </si>
  <si>
    <t>9848098191</t>
  </si>
  <si>
    <t>8008066808</t>
  </si>
  <si>
    <t>9866465684</t>
  </si>
  <si>
    <t>8074085281</t>
  </si>
  <si>
    <t>8143183324</t>
  </si>
  <si>
    <t>9533171173</t>
  </si>
  <si>
    <t>8919674941</t>
  </si>
  <si>
    <t>8088855339</t>
  </si>
  <si>
    <t>TS PANCHAYATRAJ DEPARTMENT KANAGAL NALGONDA NALGONDA NALGONDA TNG 508255</t>
  </si>
  <si>
    <t>ANANTHA SAI GRAPHICS 12-6/1, NNR COMPLEX, NH9, PATANCHERU NH9, PATANCHERU HYDERABAD TNG 502319</t>
  </si>
  <si>
    <t>DDR CONSTRUCTIONS TIRUPATI PADMAVATHI COLLEGE PADMAVATHI COLLEGE TIRUPATHI ANP 517502</t>
  </si>
  <si>
    <t>APRIX TECHNOLOGIES PVT LTD NO  104  P AND T COLONY DILSUKHNAGAR DILSUKHNAGAR HYDERABAD TNG 500060</t>
  </si>
  <si>
    <t>NARAYANA LAKSHMI VIHAR COLONY NALLA GONDA SERILINGAMPALLY NALLA GONDA SERILINGAMPALLY Rangareddy TNG 500018</t>
  </si>
  <si>
    <t>INSPECTORATE GRIFFITH INDIA PVT LTD SURVEY NO  347 NEAR GOPALAPURAM NEAR GOPALAPURAM GUDUR ANP 524344</t>
  </si>
  <si>
    <t>TELANGANA GOVERNMENT 4 7 24 N 4 96  VASANTH NAGAR COLONY ROAD SANGAREDDY SANGAREDDY SANGAREDDY SANGAREDDY HYDERABAD TNG 502001</t>
  </si>
  <si>
    <t>Sri Lakshmi Flat no 201,Sri gurudatta nilayam, Narayana Reddy colony, ameenpur Narayana Reddy colony, ameenpur HYDERABAD TNG 502032</t>
  </si>
  <si>
    <t>USHA.CLINIC HNO15.10.230.RAMANNAPET.POTHANA.NAGAR.RO RAMANNAPET. RAMANNAPET. WARANGAL TNG 506002</t>
  </si>
  <si>
    <t>DEPARTMENT OF POSTS VENKATARYAPURAM TANUKU, WEST GODAVARI TANUKU, WEST GODAVARI TANUKU ANP 534211</t>
  </si>
  <si>
    <t>SDC works Gorinta Peddapuram Peddapuram KAKINADA ANP 533433</t>
  </si>
  <si>
    <t>HCL TECHNOLOGIES LIMITED CHENNAI   CHENNAI TMN 600119</t>
  </si>
  <si>
    <t>SAI RAM HOSPITAL SAI RAM HOSPITAL, WEAVERS COLONY WEAVERS COLONY WEAVERS COLONY KURNOOL ANP 518360</t>
  </si>
  <si>
    <t>TECH MAHINDRA LIMITED BAHADURPALLY,HCFP,GGG BHAGYA SREE INDUSTRIES BHAGYA SREE INDUSTRIES HYDERABAD TNG 500043</t>
  </si>
  <si>
    <t>LOTUS FARMS NO 12A ANATHAPURA V SN HALLI P YELAHANKA YELAHANKA BANGALORE KAR 560004</t>
  </si>
  <si>
    <t>ONGOLE</t>
  </si>
  <si>
    <t>TANUKU</t>
  </si>
  <si>
    <t>PRAKASAM</t>
  </si>
  <si>
    <t>0000000021521075</t>
  </si>
  <si>
    <t>0000000021378886</t>
  </si>
  <si>
    <t>0000000023927464</t>
  </si>
  <si>
    <t>0000000024035775</t>
  </si>
  <si>
    <t>0000000024403973</t>
  </si>
  <si>
    <t>0000000024447170</t>
  </si>
  <si>
    <t>0000000024833386</t>
  </si>
  <si>
    <t>0000000028552098</t>
  </si>
  <si>
    <t>0000000029253860</t>
  </si>
  <si>
    <t>0000000031214756</t>
  </si>
  <si>
    <t>0000000033653897</t>
  </si>
  <si>
    <t>0000000023499848</t>
  </si>
  <si>
    <t>0000000028848973</t>
  </si>
  <si>
    <t>0000000028970765</t>
  </si>
  <si>
    <t>0000000009080094</t>
  </si>
  <si>
    <t>ICICI Bank Sapphiro Visa Credit Card</t>
  </si>
  <si>
    <t>JHANSI</t>
  </si>
  <si>
    <t>TC126</t>
  </si>
  <si>
    <t>4-11-546 NEELAGIRI COLONY NALGONDA NALGONDA NALGONDA TNG 508001</t>
  </si>
  <si>
    <t>G 103 Police Camp Kondapur Eight batalian APSP HYDERABAD TNG 500084</t>
  </si>
  <si>
    <t>17 1 26 RC4 TIRUPATI ARAVAPALLI Chittoor TIRUPATHI ANP 517502</t>
  </si>
  <si>
    <t>303  MARUTHI ENCLAVE MODEL TOWN  HB COLONY ROAD ONGOLE KENDRIYA VIDYALAYA ONGOLE ANP 523001</t>
  </si>
  <si>
    <t>1 12 100 vinayak nagar  near bharath gas NIZAMABAD TNG 503001</t>
  </si>
  <si>
    <t>ADD 27 5 480A  BALAJI NAGAR EXTN  NELLOR BALAJI NAGAR EXTN BALAJI NAGAR EXTN OPP STREET NAGALAXMI GUDI NELLORE ANP 524002</t>
  </si>
  <si>
    <t>3 82 Kasulabad Kasulabad Medak MEDAK TNG 502108</t>
  </si>
  <si>
    <t>201,SRI GURUDATTA NILAYAM,2,NARAYANA REDDY, NARAYANA REDDY COLONY   NELLORE ANP 524314</t>
  </si>
  <si>
    <t>House.Number.16.1.247 S.R.R.Thota ..S.R.R.Thota Karimabad Road WARANGAL TNG 506002</t>
  </si>
  <si>
    <t>33-4-12 , RASYASAM VARI STREET TANUKUTOWN , TANUKU , WEST GODAVARI  BESIDE INDIAN PUBLIC SCHOOL TANUKU ANP 534211</t>
  </si>
  <si>
    <t>4-77,RAMALAYAM VEEDHI,RAMALAYAM VEEDHI, GORINTA   KAKINADA ANP 533433</t>
  </si>
  <si>
    <t>2-100-1 KURICHEDU MANDAL NEAR GOVERNAMENT HOSPITAL VINUKONDA ROAD Prakasam ANP 523304</t>
  </si>
  <si>
    <t>1/3477-1-1 RAGHAVENDRA COLONY  YEMMIGANUR KURNOOL ANP 518360</t>
  </si>
  <si>
    <t>5-1 KAMAREDDY MANDAL   NIZAMABAD TNG 503111</t>
  </si>
  <si>
    <t>5-28,,Vemula NageswararaoBazar Aswaraopeta  Aswaraopeta KHAMMAM TNG 507301</t>
  </si>
  <si>
    <t>OGL</t>
  </si>
  <si>
    <t>PRIYABANDU/OOGOLE , 7287894350</t>
  </si>
  <si>
    <t>RAJKUMAR/MEDAK , 8333040628</t>
  </si>
  <si>
    <t>SIVARAM/MARKAPURAM , 9912893213</t>
  </si>
  <si>
    <t>D RAMU</t>
  </si>
  <si>
    <t>FO043</t>
  </si>
  <si>
    <t>FO057</t>
  </si>
  <si>
    <t>14TH O</t>
  </si>
  <si>
    <t>: cm not available sir cm call answered given ptp 17th sir</t>
  </si>
  <si>
    <t>15TH O</t>
  </si>
  <si>
    <t xml:space="preserve">visited customer shop address customer is in live given ptp by 16th // Customer paid Total outstanding amount </t>
  </si>
  <si>
    <t>FE</t>
  </si>
  <si>
    <t xml:space="preserve"> customer house address visit customer not available customer mobile responding call back </t>
  </si>
  <si>
    <t xml:space="preserve"> Customer Adress visit and Customer ptp on 20th</t>
  </si>
  <si>
    <t>stomer meet in Nalgonda town and Customer ptp on 21st</t>
  </si>
  <si>
    <t xml:space="preserve">Customer (MPDO) sir is meet in nalgonda town and Sir ptp on Tommorow </t>
  </si>
  <si>
    <t>customer visit office address customer Live present not available talk to phone PTP 18th</t>
  </si>
  <si>
    <t xml:space="preserve">customer not available inform nighbour </t>
  </si>
  <si>
    <t>16TH O</t>
  </si>
  <si>
    <t xml:space="preserve">: customer not available and phone not responding </t>
  </si>
  <si>
    <t>customer house address visit customer not available customer mobile not responding  // customer PTP 28th</t>
  </si>
  <si>
    <t>m new address sir cm not available cm call answered will call back later s</t>
  </si>
  <si>
    <t>17TH O</t>
  </si>
  <si>
    <t xml:space="preserve">Castamar Fathar Live customer contact Today 5 p.m PTP sir </t>
  </si>
  <si>
    <t>18TH O</t>
  </si>
  <si>
    <t>4035621129403006</t>
  </si>
  <si>
    <t>4035622867831010</t>
  </si>
  <si>
    <t>4035625670071005</t>
  </si>
  <si>
    <t>4035625841476018</t>
  </si>
  <si>
    <t>5241939223221000</t>
  </si>
  <si>
    <t>5241939245015000</t>
  </si>
  <si>
    <t>Mr SAYED IMRAN</t>
  </si>
  <si>
    <t>MS JAGILI RADHIKA</t>
  </si>
  <si>
    <t>MR POLABOINA BABU</t>
  </si>
  <si>
    <t>MR. CHAPARTHI  RAVITEJA</t>
  </si>
  <si>
    <t>MR MOHAMMED NAVEED AKHTAR</t>
  </si>
  <si>
    <t>MR DAVULLA NARSIMHA</t>
  </si>
  <si>
    <t>9885201493</t>
  </si>
  <si>
    <t>8374735746</t>
  </si>
  <si>
    <t>8008808124</t>
  </si>
  <si>
    <t>7729839095</t>
  </si>
  <si>
    <t>6304444670</t>
  </si>
  <si>
    <t>9948192275</t>
  </si>
  <si>
    <t>3-96-21 N T R KALANI NO,N S PETA,PUNGANUR    MADANAPALLE ANP 517247</t>
  </si>
  <si>
    <t>0 ,EDIGAPALLI ANANTHAPURAM, LAKKIREDDYIPALLI,ANANTHAPURAM CUDDAPAH,ANDHRAPRADESH ATM CUDDAPAH ANP 516257</t>
  </si>
  <si>
    <t>2-92,GUNDLA,MACHANUR,GUNDLA,GUNDLAMACHNOOR, MACHANUR   MEDAK TNG 502296</t>
  </si>
  <si>
    <t>10-3-94 GIRMAJIPET GOLD,SHURU,SCHOOL    WARANGAL ???????????? TNG 506330</t>
  </si>
  <si>
    <t>MADINA COLONY MADINA COLONY  3-5-1/33F ADILABAD TNG 504103</t>
  </si>
  <si>
    <t>3-139 GUDIMALKAPURAM POST  GUDIMALKAPURAM POST NALGONDA TNG 508253</t>
  </si>
  <si>
    <t xml:space="preserve">ACCENTURE SOLUTIONS PVT LTD 2-221 BD COLONY  N S PETA N S PETA MADANAPALLE ANP 517247 </t>
  </si>
  <si>
    <t xml:space="preserve">TATA CONSULTANCY SERVICES LIMITED SJM TOWERS,18 SESHADRI RD  GANDHI NAGAR GANDHI NAGAR BANGALORE KAR 560009 </t>
  </si>
  <si>
    <t xml:space="preserve">2-92,GUNDLA,MACHANUR,GUNDLA,GUNDLAMACHNOOR, MACHANUR    MEDAK TNG 502296 </t>
  </si>
  <si>
    <t xml:space="preserve">10-3-94 GIRMAJIPET GOLD,SHURU,SCHOOL     WARANGAL ???????????? TNG 506330 </t>
  </si>
  <si>
    <t xml:space="preserve">GLOBAL TRADING HNO-3-51/33F, MADINA COLONY,  BAINSA, ADILABAD BAINSA, ADILABAD ADILABAD TNG 504103 </t>
  </si>
  <si>
    <t xml:space="preserve">NARSHIMA PVT LTD 5-77 H 1 RATNA NAGAR  CHOTPAL MUNCIPALTY CHOTPAL MUNCIPALTY NALGONDA TNG 508252 </t>
  </si>
  <si>
    <t>CHITTOOR</t>
  </si>
  <si>
    <t>0000000026035667</t>
  </si>
  <si>
    <t>0000000023028826</t>
  </si>
  <si>
    <t>0000000027519829</t>
  </si>
  <si>
    <t>0000000034428593</t>
  </si>
  <si>
    <t>0000000029107852</t>
  </si>
  <si>
    <t>0000000029391218</t>
  </si>
  <si>
    <t>ICICI Bank Instant  Platinum Chip Credit Card</t>
  </si>
  <si>
    <t>17TH OCT</t>
  </si>
  <si>
    <t>14TH OCT</t>
  </si>
  <si>
    <t>20TH O</t>
  </si>
  <si>
    <t>21ST O</t>
  </si>
  <si>
    <t xml:space="preserve">Met with customer and said business loss he will call back on Month end  // Left msg to cust's family members and cust no respond to calls will update </t>
  </si>
  <si>
    <t>customer visit office address meet customer PTP 31st</t>
  </si>
  <si>
    <t>4035620007259001</t>
  </si>
  <si>
    <t>4035620066309028</t>
  </si>
  <si>
    <t>4035620561924008</t>
  </si>
  <si>
    <t>4035620600216002</t>
  </si>
  <si>
    <t>4035620924931005</t>
  </si>
  <si>
    <t>4035620930120007</t>
  </si>
  <si>
    <t>4035620085632004</t>
  </si>
  <si>
    <t>4035620341753008</t>
  </si>
  <si>
    <t>4035620918918000</t>
  </si>
  <si>
    <t>4035620984192019</t>
  </si>
  <si>
    <t>4035620987841000</t>
  </si>
  <si>
    <t>4035621140454004</t>
  </si>
  <si>
    <t>4035621153791011</t>
  </si>
  <si>
    <t>4035621595494000</t>
  </si>
  <si>
    <t>4035621778712004</t>
  </si>
  <si>
    <t>4035621791532009</t>
  </si>
  <si>
    <t>4035621832528016</t>
  </si>
  <si>
    <t>4035621930314004</t>
  </si>
  <si>
    <t>4748467832143002</t>
  </si>
  <si>
    <t>5241936610916010</t>
  </si>
  <si>
    <t>4035620431423009</t>
  </si>
  <si>
    <t>4035620974440006</t>
  </si>
  <si>
    <t>4035621008606000</t>
  </si>
  <si>
    <t>Mr TADIKONDA KISHORE KUMAR</t>
  </si>
  <si>
    <t>MR RAJU SAMALA</t>
  </si>
  <si>
    <t>MR KOTTU DURGA PRASAD</t>
  </si>
  <si>
    <t>MS KAIRI SHRUTHI</t>
  </si>
  <si>
    <t>MR VALIPI SURESH</t>
  </si>
  <si>
    <t>MR PYKARAO SRINIVAS</t>
  </si>
  <si>
    <t>MR NAVEEN KUMAR NAYINI</t>
  </si>
  <si>
    <t>MR SRILNILVASULU MEKALA</t>
  </si>
  <si>
    <t>MR KAVERIPAKAM NAVEEN KUMAR</t>
  </si>
  <si>
    <t>MR GOMASI GOUTHAM</t>
  </si>
  <si>
    <t>MR KANDUKOORI KIRAN KUMAR</t>
  </si>
  <si>
    <t>MR D MD RAFI</t>
  </si>
  <si>
    <t>MS GAJULA SHOBHANA</t>
  </si>
  <si>
    <t>MR TUMMALA KALYAN REDDY</t>
  </si>
  <si>
    <t>MR BATTU VIJAY KUMAR</t>
  </si>
  <si>
    <t>MR KISHAN PERLA</t>
  </si>
  <si>
    <t>Mr MUTHYALA NAVEEN KUMAR</t>
  </si>
  <si>
    <t>MR THOTA NAVEEN KUMAR REDDY</t>
  </si>
  <si>
    <t>MR LATHEEF SHAIK</t>
  </si>
  <si>
    <t>MR P V BRAMHA</t>
  </si>
  <si>
    <t>MR MADUGANI GANESH</t>
  </si>
  <si>
    <t>MS DARAM TEJASRI</t>
  </si>
  <si>
    <t>MR BEDUDOORI KUMAR</t>
  </si>
  <si>
    <t>9160313250</t>
  </si>
  <si>
    <t>7793902016</t>
  </si>
  <si>
    <t>9553076072</t>
  </si>
  <si>
    <t>8096216969</t>
  </si>
  <si>
    <t>9121090092</t>
  </si>
  <si>
    <t>9848735766</t>
  </si>
  <si>
    <t>9010098889</t>
  </si>
  <si>
    <t>7981331753</t>
  </si>
  <si>
    <t>8008941767</t>
  </si>
  <si>
    <t>7337563597</t>
  </si>
  <si>
    <t>8977721559</t>
  </si>
  <si>
    <t>6375040521</t>
  </si>
  <si>
    <t>9440576618</t>
  </si>
  <si>
    <t>9011138394</t>
  </si>
  <si>
    <t>9014953315</t>
  </si>
  <si>
    <t>9848789722</t>
  </si>
  <si>
    <t>8074941601</t>
  </si>
  <si>
    <t>9581396001</t>
  </si>
  <si>
    <t>9951926239</t>
  </si>
  <si>
    <t>9440323476</t>
  </si>
  <si>
    <t>9505091160</t>
  </si>
  <si>
    <t>9100752428</t>
  </si>
  <si>
    <t>9959748031</t>
  </si>
  <si>
    <t>5-118/1,REDDY BAZAR,NEAR RAMALAYAM, HUZURNAGAR,TEMPLE   NALGONDA TNG 508204</t>
  </si>
  <si>
    <t>3-02-50 BELLAMPALLI   NR SHIVALA TEMPLE ADILABAD TNG 504251</t>
  </si>
  <si>
    <t>2-174 BIKKAVOLU MANDALAM MAIN ROAD KAPAVARAM ANAPARTHI ANP 533342</t>
  </si>
  <si>
    <t>FLAT NO105 VAISHNAVI HOMES MAHALAXMI COLONY NEAR KSHATHRIYA COLLEGE NIZAMABAD TNG 503224</t>
  </si>
  <si>
    <t>1-548 VELLAMADDI YERRAVANKA PALLI MAIN ROAD HINDUPUR ANP 515501</t>
  </si>
  <si>
    <t>5-276 INDIRA NAGAR INDIRA NAGAR ADILABAD ADILABAD TNG 504208</t>
  </si>
  <si>
    <t>H NO 6-223/1 ANGAGI BAZAR MOTHKUR NEAR OLD BUS STAND NALGONDA TNG 508277</t>
  </si>
  <si>
    <t>D.NO 8-21-64/16 GANESH NAGAR GIDDALURU PRAKASAM NEAR HEAD POST OFFICE NANDYAL ANP 523357</t>
  </si>
  <si>
    <t>5-1-8/2 NAIDUPETA GANDHIMANDHIRAM STREET NELLORE GUDUR ANP 524126</t>
  </si>
  <si>
    <t>3-31 KAGAZ NAGAR GANGANNAGUDA ADILABAD ADILABAD TNG 504296</t>
  </si>
  <si>
    <t>H NO-4-85/3 RAJAPET MANDAL PARUPALLY VILLAGE NALGONDA NALGONDA TNG 508105</t>
  </si>
  <si>
    <t>HOUSE NO 28-7-18 ANANTAPUR HAMALI COLONY ANANTHAPUR ANAPARTHI ANP 515001</t>
  </si>
  <si>
    <t>2-6-161/10/1 MUTYALAMMA BAZAR  NEAR ALLANKAR ROAD SURYAPET TNG 508213</t>
  </si>
  <si>
    <t>H. NO 1-2-54/4/18/12/1 STREET GANDEWAR THOTA COLONY SHANTHI NAGAR NEAR DINESH KIRANA ADILABAD TNG 504001</t>
  </si>
  <si>
    <t>HNO 1 5 107/2 SOFI NAGAR NIRMAL MANDAL    ADILABAD TNG 504106</t>
  </si>
  <si>
    <t>H NO 10 2 99/1 BARIMAM SIDDIPET    MEDAK TNG 502103</t>
  </si>
  <si>
    <t>2-91 SAMALA WADA DHARMARAOPET KASIPET    MANCHERIAL TNG 504231</t>
  </si>
  <si>
    <t>7/58 KONDAYAPALLI VILLAGE KAMALAPURAM MANDALAM PEDDACHEPPALLE   PRODDATUR ANP 516289</t>
  </si>
  <si>
    <t>4-177/A KOUSAR NAGAR KODAD NALGONDA NEAR BUS STAND SURYAPET TNG 508206</t>
  </si>
  <si>
    <t>13-2-38 BOYAPETA BOYAPETA NEAR RAMKRISHNA SCHOOL HINDUPUR ANP 515201</t>
  </si>
  <si>
    <t>1-19 POTHAREDDYPET DUBBAKA  MEDAK TNG 502102</t>
  </si>
  <si>
    <t>1-2-270/100/A/1 KUDA,KUDA,WARD 34 SURYAP ET,,MANDAL,SURYAPET  NEAR TEMPLE SURYAPET TNG 508213</t>
  </si>
  <si>
    <t>2/41,REDDIPALLI PEDDAPAPPUR,PEDDAPAPPUR, PEDDAPAPPUR   ANANTAPUR ANP 515445</t>
  </si>
  <si>
    <t>Not Applicable 5-118,Reddy bazar Huzurnagar Huzurnagar NALGONDA TNG 508204</t>
  </si>
  <si>
    <t>O/O DPFE PIV MANCHERIAL BYPASS ROAD   ADILABAD TNG 504208</t>
  </si>
  <si>
    <t>ADITYA TRANSPORT ADITYA TRANSPORT MENDAPETA MENDAPETA RAJAHMUNDRY ANP 533308</t>
  </si>
  <si>
    <t>SHRUTHI ENTERPRISES TERKIT RD ARMUR ARMUR NIZAMABAD TNG 503224</t>
  </si>
  <si>
    <t>HDB FINANCIAL SERVICES LIMITED J P 1983 S END C CROSS RD 3RD PHASE J P NAGAR BANGALORE J P NAGAR BANGALORE BANGALORE KAR 560078</t>
  </si>
  <si>
    <t>SRINIVASA ENTERPRISES 5-276, INDIRANAGAR MANCHEAL MANCHEAL ADILABAD TNG 504208</t>
  </si>
  <si>
    <t>ANNAPOORNA ENTERPRICESS MOTHKUR MOTHKUR MOTHKUR NALGONDA TNG 508277</t>
  </si>
  <si>
    <t>SBI BUSINESS CORRSPONDING D.NO 8-19-94/1 GANESH NAGAR GANESH NAGAR NANDYAL ANP 523357</t>
  </si>
  <si>
    <t>M STORE WEST STREET NAIDUPETA NAIDUPETA GUDUR ANP 524126</t>
  </si>
  <si>
    <t>BRJA KIRANA STORE HOUSE NO.3-31 GANGANNA GUDA YALLKONDA YALLKONDA ADILABAD TNG 504296</t>
  </si>
  <si>
    <t>PHARMACY SHOP VENKATRAM NAGAR  SURARAM VENKATRAM NAGAR  SURARAM VENKATRAM NAGAR  SURARAM HYDERABAD TNG 500055</t>
  </si>
  <si>
    <t>PARA MILTRY GOVERNMENT SECTOE NO 65 SONA ROAD 95 BN BSF BHONSI ROAD 95 BN BSF BHONSI GURGAON HAR 122102</t>
  </si>
  <si>
    <t>SRI SAI DURGA PRINTERS ALLANKAR ROAD SURYAPET SURYAPET SURYAPET TNG 508213</t>
  </si>
  <si>
    <t>PRE UNIQUE INDIA PVT LTD YUNUS AKBANI BUIDING 5TH FLOOR ROOM NO.401 ADILABAD ROOM NO.401 ADILABAD ADILABAD TNG 504001</t>
  </si>
  <si>
    <t>O/O SRS CAPITAL PVT LTD HNO 11 1 208/1, PLOT NO 26, KANTESHWAR NEAR KANTESHWAR BYPASS ROAD , BYPASS ROAD , NIZAMABAD TNG 503001</t>
  </si>
  <si>
    <t>10 2 92/9/A RAMNAGER STREET SIDDIPET TOW    MEDAK TNG 502103</t>
  </si>
  <si>
    <t xml:space="preserve">      </t>
  </si>
  <si>
    <t>PIOT NO 4 NARELLA HOUSE NAGARJUNA CIRCLE PUNJAGUTTA   HYDERABAD TNG 500082</t>
  </si>
  <si>
    <t>NEW SM MOBILES KODAD KODAD KODAD SURYAPET TNG 508206</t>
  </si>
  <si>
    <t>AJAYA JEWELLERS MAIN BAJAR HINDUPUR HINDUPUR HINDUPUR ANP 515201</t>
  </si>
  <si>
    <t>FORUM SHOPPING MALL PRIVATE LIMITED KUKATPALLY HOUSING BOARD   HYDERABAD TNG 500072</t>
  </si>
  <si>
    <t>ACCENTURE SOLUTIONS PRIVATE LIMITED DIVYASHREE ORION TOWER A B B SY NO 66/1 NAGA HILLS RD SERILINGAMPALLY HYDRABAD NAGA HILLS RD SERILINGAMPALLY HYDRABAD HYDERABAD TNG 500032</t>
  </si>
  <si>
    <t>HCL TECHNOLOGIES LTD HCL TECHN Karnataka Banglore Banglore ANANTAPUR ANP 515445</t>
  </si>
  <si>
    <t>ANAPARTHI</t>
  </si>
  <si>
    <t>0000000018803934</t>
  </si>
  <si>
    <t>0000000019293371</t>
  </si>
  <si>
    <t>0000000022810820</t>
  </si>
  <si>
    <t>0000000023065672</t>
  </si>
  <si>
    <t>0000000024998340</t>
  </si>
  <si>
    <t>0000000025026115</t>
  </si>
  <si>
    <t>0000000019481606</t>
  </si>
  <si>
    <t>0000000021224197</t>
  </si>
  <si>
    <t>0000000024963645</t>
  </si>
  <si>
    <t>0000000025316730</t>
  </si>
  <si>
    <t>0000000025335902</t>
  </si>
  <si>
    <t>0000000026098707</t>
  </si>
  <si>
    <t>0000000026162106</t>
  </si>
  <si>
    <t>0000000029180427</t>
  </si>
  <si>
    <t>0000000031243017</t>
  </si>
  <si>
    <t>0000000031400499</t>
  </si>
  <si>
    <t>0000000031871286</t>
  </si>
  <si>
    <t>0000000033042568</t>
  </si>
  <si>
    <t>0000000018326913</t>
  </si>
  <si>
    <t>0000000018332653</t>
  </si>
  <si>
    <t>0000000021924036</t>
  </si>
  <si>
    <t>0000000025270756</t>
  </si>
  <si>
    <t>0000000025442983</t>
  </si>
  <si>
    <t>Manchester United Signature Credit Card by ICICI Bank</t>
  </si>
  <si>
    <t>21ST OCT</t>
  </si>
  <si>
    <t>NARESH/NALGONDA , 9640034563</t>
  </si>
  <si>
    <t>FO131</t>
  </si>
  <si>
    <t>4035620405313012</t>
  </si>
  <si>
    <t>4035623106438005</t>
  </si>
  <si>
    <t>4315810398656003</t>
  </si>
  <si>
    <t>4315810477529006</t>
  </si>
  <si>
    <t>4375513259019009</t>
  </si>
  <si>
    <t>4375517881706008</t>
  </si>
  <si>
    <t>4375517907621017</t>
  </si>
  <si>
    <t>4375518866209000</t>
  </si>
  <si>
    <t>4501720929724010</t>
  </si>
  <si>
    <t>4501720941308008</t>
  </si>
  <si>
    <t>4501720970443007</t>
  </si>
  <si>
    <t>4501720973855009</t>
  </si>
  <si>
    <t>4501720980340003</t>
  </si>
  <si>
    <t>4501720991139006</t>
  </si>
  <si>
    <t>4501720997756001</t>
  </si>
  <si>
    <t>4501721008674001</t>
  </si>
  <si>
    <t>4501721019124004</t>
  </si>
  <si>
    <t>4501721024272004</t>
  </si>
  <si>
    <t>4501721025496008</t>
  </si>
  <si>
    <t>4501721035168019</t>
  </si>
  <si>
    <t>4501721043039004</t>
  </si>
  <si>
    <t>4501721049537001</t>
  </si>
  <si>
    <t>4501721094087001</t>
  </si>
  <si>
    <t>4501721109276003</t>
  </si>
  <si>
    <t>4501721120762007</t>
  </si>
  <si>
    <t>4501721184337001</t>
  </si>
  <si>
    <t>4501721185748008</t>
  </si>
  <si>
    <t>4501721190159001</t>
  </si>
  <si>
    <t>4501721192203005</t>
  </si>
  <si>
    <t>4501721193841001</t>
  </si>
  <si>
    <t>4501721310860009</t>
  </si>
  <si>
    <t>4501721331863008</t>
  </si>
  <si>
    <t>4501721337203001</t>
  </si>
  <si>
    <t>4501721378107004</t>
  </si>
  <si>
    <t>4501721384726011</t>
  </si>
  <si>
    <t>4501721395106013</t>
  </si>
  <si>
    <t>4501721445753004</t>
  </si>
  <si>
    <t>4501721607996003</t>
  </si>
  <si>
    <t>4501721649235006</t>
  </si>
  <si>
    <t>4501721803585006</t>
  </si>
  <si>
    <t>4501721804386008</t>
  </si>
  <si>
    <t>4501721819721009</t>
  </si>
  <si>
    <t>4501721827501005</t>
  </si>
  <si>
    <t>4501721834012012</t>
  </si>
  <si>
    <t>4501721852385001</t>
  </si>
  <si>
    <t>4748468504520006</t>
  </si>
  <si>
    <t>MR GOWNU ASHOK</t>
  </si>
  <si>
    <t>MR BATHULA PRADEEP KUMAR</t>
  </si>
  <si>
    <t>MR GOLLAPALLI KUMAR</t>
  </si>
  <si>
    <t>MR AMBALA MADHU PRASAD</t>
  </si>
  <si>
    <t>MR MAHANKALI RUPESH GUPTA</t>
  </si>
  <si>
    <t>MR VIJENDAR KAMPELLI</t>
  </si>
  <si>
    <t>MR NARAYANA GADE</t>
  </si>
  <si>
    <t>MR PITTALA SRIKANTH</t>
  </si>
  <si>
    <t>MR ARELLIWAR RAVIKANTH</t>
  </si>
  <si>
    <t>MR SYED ABDUL SHAHID</t>
  </si>
  <si>
    <t>MR RACHAMALLA SAI KUMAR</t>
  </si>
  <si>
    <t>MR FIROZ KHAN</t>
  </si>
  <si>
    <t>MR RAMACHANDRA RAO CHANAMOLU</t>
  </si>
  <si>
    <t>MR BESTA GANESH</t>
  </si>
  <si>
    <t>MR CHITTIMOTHULA RAMBABU</t>
  </si>
  <si>
    <t>MR LINGAMPALLI RAMESH</t>
  </si>
  <si>
    <t>MR RAJESH RACHAKONDA</t>
  </si>
  <si>
    <t>MR LANKA BRAHMATEJA</t>
  </si>
  <si>
    <t>MR SEKH ABBAS</t>
  </si>
  <si>
    <t>MR SAYED SAMAD ABDUL</t>
  </si>
  <si>
    <t>MR BATCHU VENKATA RANGA</t>
  </si>
  <si>
    <t>MR MADDISETTY VENKATESWARLU</t>
  </si>
  <si>
    <t>MR PERAPRAGADA SURYA PRAKASH</t>
  </si>
  <si>
    <t>MR VEMIREDDY RAMA KRISHNAREDDY</t>
  </si>
  <si>
    <t>MR RANGA GOPI KRISHNA</t>
  </si>
  <si>
    <t>MR DASARI NAVEEN KUMAR</t>
  </si>
  <si>
    <t>MR VEJANDLA SIVARAMAKRISHNA</t>
  </si>
  <si>
    <t>MR CHANDU RAMISETTI</t>
  </si>
  <si>
    <t>MR UPPARA CHANDRASEKHAR</t>
  </si>
  <si>
    <t>MR CHITIRALA SATYANARAYANA</t>
  </si>
  <si>
    <t>MS POKOORI PRASANNA</t>
  </si>
  <si>
    <t>Mr ETHNOOR VILAS KUMAR GOUD</t>
  </si>
  <si>
    <t>MS POOLA MANISHA</t>
  </si>
  <si>
    <t>Mr SADDALA HARIPRASAD</t>
  </si>
  <si>
    <t>MR DONGRI ZAKEER HUSSAIN</t>
  </si>
  <si>
    <t>MR KODATI VENKATARAMANARAO</t>
  </si>
  <si>
    <t>MR K ARAVIND</t>
  </si>
  <si>
    <t>MR DARABOINA SANJAY</t>
  </si>
  <si>
    <t>MS PADMINI BISANI</t>
  </si>
  <si>
    <t>MR NIBHANUPUDI VENKATA BHASKARA</t>
  </si>
  <si>
    <t>MS CHITIRALA RUKMINI KUMARI</t>
  </si>
  <si>
    <t>MR PALLEDA KALKI DAMODARA</t>
  </si>
  <si>
    <t>MR BHUPATHI BABU PRAKASH</t>
  </si>
  <si>
    <t>MR ASHOK BAYARAPU</t>
  </si>
  <si>
    <t>MR KENGUVA KISHORE</t>
  </si>
  <si>
    <t>MR Bourisetti Anuroop</t>
  </si>
  <si>
    <t>9000822850</t>
  </si>
  <si>
    <t>9701819605</t>
  </si>
  <si>
    <t>9533555291</t>
  </si>
  <si>
    <t>8317536673</t>
  </si>
  <si>
    <t>8790768840</t>
  </si>
  <si>
    <t>9441546408</t>
  </si>
  <si>
    <t>9618792223</t>
  </si>
  <si>
    <t>9849625230</t>
  </si>
  <si>
    <t>9491466140</t>
  </si>
  <si>
    <t>9985432421</t>
  </si>
  <si>
    <t>9985555422</t>
  </si>
  <si>
    <t>9000980011</t>
  </si>
  <si>
    <t>9949439999</t>
  </si>
  <si>
    <t>8341327397</t>
  </si>
  <si>
    <t>9701837175</t>
  </si>
  <si>
    <t>9618811696</t>
  </si>
  <si>
    <t>9030890689</t>
  </si>
  <si>
    <t>8106025344</t>
  </si>
  <si>
    <t>9182829036</t>
  </si>
  <si>
    <t>9948958637</t>
  </si>
  <si>
    <t>9492118087</t>
  </si>
  <si>
    <t>8985265052</t>
  </si>
  <si>
    <t>9885187166</t>
  </si>
  <si>
    <t>9550189131</t>
  </si>
  <si>
    <t>9494822564</t>
  </si>
  <si>
    <t>6300574050</t>
  </si>
  <si>
    <t>9010028925</t>
  </si>
  <si>
    <t>9059060963</t>
  </si>
  <si>
    <t>9491988626</t>
  </si>
  <si>
    <t>9885471776</t>
  </si>
  <si>
    <t>8660976989</t>
  </si>
  <si>
    <t>9704048776</t>
  </si>
  <si>
    <t>9908206725</t>
  </si>
  <si>
    <t>9966645258</t>
  </si>
  <si>
    <t>8886622111</t>
  </si>
  <si>
    <t>9963873441</t>
  </si>
  <si>
    <t>9014272390</t>
  </si>
  <si>
    <t>9618165494</t>
  </si>
  <si>
    <t>7569203389</t>
  </si>
  <si>
    <t>9014722324</t>
  </si>
  <si>
    <t>9494863313</t>
  </si>
  <si>
    <t>9490422791</t>
  </si>
  <si>
    <t>9884477242</t>
  </si>
  <si>
    <t>9884466919</t>
  </si>
  <si>
    <t>9515166723</t>
  </si>
  <si>
    <t>9246458565</t>
  </si>
  <si>
    <t>Y</t>
  </si>
  <si>
    <t>D.NO 4-2-224/1 LAKSHMI PLAZA RAHAMATHPUR CIRCLE HINDUPUR ANDHRA PRADESH HINDUPUR ANP 515201</t>
  </si>
  <si>
    <t>HOUSE NUMBER F2 BLOK NO 19 KARIMNAGAR MANDAL CHINTHAKUNTA RAJEEV GRUHAKALPA SIDE 1 ADILABAD TNG 505001</t>
  </si>
  <si>
    <t>16 139 HANUMAN NAGAR VENKATAPURAM CPM COLONY ELURU MANDAL  ELURU ANP 534001</t>
  </si>
  <si>
    <t>HOUSE NO 3 14 209 YADAV NAGAR HANAMKONDA WARANGAL NEAR PETROL BUNK Warangal TNG 506001</t>
  </si>
  <si>
    <t>8 3 84 ELURU VARI STREET WEST GODAVARI ASHWARAPETA ROAD JANAGAREDDYGUDEM JANGAREDDIGUDUM ANP 534447</t>
  </si>
  <si>
    <t>1-12 MUTHOJIPET   NEAR POST OFFICE Warangal TNG 506132</t>
  </si>
  <si>
    <t>70-5/1-67/5/a1 sai Residency road no-1 T s r nagar Kanaka Durga Temple Kakinada  KAKINADA ANP 533003</t>
  </si>
  <si>
    <t>H NO 9 7 3 THUKKARAO NAGAR SRSILLA  ZENDA ROAD NR ROZA GROUND Karimnagar TNG 505301</t>
  </si>
  <si>
    <t>3-1-183/41/5 TILAK NAGAR TILAK NAGAR ADILABAD ADILABAD TNG 504001</t>
  </si>
  <si>
    <t>HNO-1-4-560 RAM NAGAR RAM NAGAR NIRMAL NIRMAL NEAR HANMAN TEMPLE ADILABAD TNG 504106</t>
  </si>
  <si>
    <t>2-38 PATANCHERU MANDAL INDRESHAM MEDAK HYDERABAD TNG 502319</t>
  </si>
  <si>
    <t>18-3-23 STADIUM ROAD SAYAD KHAN STREET GUNTUR GUNTUR  NEAR KINGS HOTEL GUNTUR ANP 522001</t>
  </si>
  <si>
    <t>2-91 VELAGALERU  NEAR HOSTEL VIJAYAWADA ANP 521229</t>
  </si>
  <si>
    <t>7-1-92 MAHABOOBNAGAR NEW PREM NAGAR NEAR HANUMAN TEMPLE MAHBOOBNAGAR TNG 509001</t>
  </si>
  <si>
    <t>PATHA REPUDI PATHA REPUDI  3-25/A VIJAYAWADA ANP 521227</t>
  </si>
  <si>
    <t>4-429 MADHIRA MANDALAM Z P H S ROAD MADHIRA KHAMMAM TNG 507203</t>
  </si>
  <si>
    <t>P NO.201,5ANJANA APARTMENT BESIDE RATNA CHERUVU RD NEAR TENALI BIKE RD NEAR MENI RD VIJAYAWADA ANP 522503</t>
  </si>
  <si>
    <t>40-15/2-19/7 FLAT-SF-2 BRUNDAVAN COLONY RBS BRUNDAVANAM EFFTRONICS ROAD VIJAYAWADA ANP 520010</t>
  </si>
  <si>
    <t>1-8-25/4/1 HUSNABAD GALLY  NIZAMABAD NIZAMABAD TNG 503224</t>
  </si>
  <si>
    <t>14-5-14 NEAR A R D G K SCHOOL PENSION LINE  NEAR A R D G K SCHOOL ELURU ANP 534005</t>
  </si>
  <si>
    <t>5-146 OLD BUS STAND  PRAKASAM Prakasam ANP 523240</t>
  </si>
  <si>
    <t>1-68,THIRUMALAPURAM,UDAYAGIRI MANDALAM, VARIKUNTAPADU,THURPU CHENNAMPALLE   NELLORE ANP 524227</t>
  </si>
  <si>
    <t>FF-4 SAI KRUPA APARTMENT GUNTUR KOTHAPETA GUNTA GROUND BACKSIDE GUNTUR ANP 522001</t>
  </si>
  <si>
    <t>4-76 NALLAGATLA  PRAKASAM NANDYAL ANP 523357</t>
  </si>
  <si>
    <t>1-75 PUBLIC SCHOOL DAGGARA  MANNAVA GUNTUR ANP 522124</t>
  </si>
  <si>
    <t>H NO 58-8-75 NETAJI NAGAR KARIPIKONDA NR SUBASH STATUE WARANGAL TNG 506003</t>
  </si>
  <si>
    <t>6-102 AMRUTHALURU AMRUTHALURU M S R SCHOOL GUNTUR ANP 522325</t>
  </si>
  <si>
    <t>2143 PAYAKAPURAM NEW RAJIV NAGAR NEAR LAHARI VIDHYA MANDIR VIJAYAWADA ANP 520015</t>
  </si>
  <si>
    <t>1-598, RUDRAMPETA RUDRAMPETA ANANTAPUR NEAR SOCIETY BANK ANAPARTHI ANP 515004</t>
  </si>
  <si>
    <t>5-1-132 NEAR SIVUDI BOMMA  NEAR SIVUDI BOMMA GUNTUR ANP 522601</t>
  </si>
  <si>
    <t>00,RAMANAIDUPALLI,RAMANAIDUPALLI,NANDAVARAM    NELLORE ANP 524307</t>
  </si>
  <si>
    <t>1-3-127/7 SHASTRINAGAR,SHASTRINAGAR NIRMAL    ADILABAD TNG 504106</t>
  </si>
  <si>
    <t>38/373-9 TILAK NAGAR B D,COLONY, CUDDAPAH CUDDAPAH  NEAR BY BY PASS ROAD CUDDAPAH ANP 516002</t>
  </si>
  <si>
    <t>2 22,YARRAM VARI PALLI,KAMMIREDDY VARI, PALLI SOMALA,MANDALAM KAMIREDDIVARIPALLE   TIRUPATHI ANP 517234</t>
  </si>
  <si>
    <t>5-320 ALLA BAKASH STREET ALLA BAKASH STREET ANANTAPUR ANANTAPUR ANP 515411</t>
  </si>
  <si>
    <t>1-88 MUNAGALA MANDALAM MAIN ROAD NALGONDA SURYAPET TNG 508213</t>
  </si>
  <si>
    <t>6-,SETHAYYAPETA KARIVENA,KARIVENA,ATMAKUR    KURNOOL ANP 518422</t>
  </si>
  <si>
    <t>5-11-340/1 HANMAKONDA POCHAMMAKUNTA NAIM NAGAR WARANGAL TNG 506009</t>
  </si>
  <si>
    <t>HNO-21-10/5-82, 2 ND LINE TEACHERS COLONY, VIJAYWADA NR GOVERNMENT PRESS VIJAYAWADA ANP 520011</t>
  </si>
  <si>
    <t>9-42 KUTUKULURU BASIVI REDDY STRETH  KAKINADA ANP 533264</t>
  </si>
  <si>
    <t>HOUSE NO.32 RAILWAY QUARTERS AKIVEEDU NEAR AKIVEEDU RAILWAY STATION BHIMAVARAM ANP 534235</t>
  </si>
  <si>
    <t>2-123 PULICHERLA BUS STAND  TIRUPATHI ANP 517172</t>
  </si>
  <si>
    <t>18-5-22,AMALANADHUNI PALEAM NEAR RTC DEPO   KANDUKURU ANP 523105</t>
  </si>
  <si>
    <t>H NO- 682/2/1A M SRIRAM MURTHY MATHURA NAGAR, NETAJI STREET KAKINADA, AP NEAR GEETAM SCHOOL KAKINADA ANP 533003</t>
  </si>
  <si>
    <t>6-10-136/1A KOTHAGUDEM GANESH BASTHI KHAMMAM KHAMMAM TNG 507101</t>
  </si>
  <si>
    <t>SHRI RAM TRANSPORT FINANCE CO LTD LAXMI PLAZA RAHAMATPUR CIRCLE HINDUPUR ANANTAPUR HINDUPUR ANANTAPUR HINDUPUR ANP 515201</t>
  </si>
  <si>
    <t>SRI MADHURI SILKS 4-1-19,USMANPURA, KARIMNAGAR, KARIMNAGAR, ADILABAD TNG 505001</t>
  </si>
  <si>
    <t>CHANDUSOFT TECHNOLOGIES PVT LTD SDF04 PHASE 02 VSEZ VSEZ VISHAKAPATNAM ANP 530046</t>
  </si>
  <si>
    <t>TRANSMISSION CORPORATION OFTELANGANA 132 33 K V SUBSTATION GEESUGONDA MAIN ROAD GEESUGONDA WARANGAL GEESUGONDA MAIN ROAD GEESUGONDA WARANGAL GEESUGONDA Warangal TNG 506330</t>
  </si>
  <si>
    <t>RAMARAJ COTTON ASWARU PETA ROAD MAHAMKALI COMPLEX JANGAREDDYGUDEM COMPLEX JANGAREDDYGUDEM JANGAREDDIGUDUM ANP 534447</t>
  </si>
  <si>
    <t>CIVIL CONTRACTOR HN0-1-21 MUTHOJIPET   Warangal TNG 506132</t>
  </si>
  <si>
    <t>APARNA CONSTRUCTIONS AND ESTATES PRIVATE ASTRAL HEIGHTS D NO 6 3 52 283 ROAD NO 1 BANJARA HILLS ROAD NO 1 BANJARA HILLS Hyderabad TNG 500034</t>
  </si>
  <si>
    <t>SRI DIGITAL 9 73 TUKKARAOPALLY SIRICILLA SIRICILLA Karimnagar TNG 505301</t>
  </si>
  <si>
    <t>SHRI RAM TRANSPORT FINANCE  COMPANY LTD DOOR NO 6 10 86 8 2ND FLOOR ALDILABAD TELENGANA 504001 ALDILABAD TELENGANA 504001 ADILABAD TNG 504001</t>
  </si>
  <si>
    <t>RF CONSTRUCTION RF CONSTRUCTION BHAINSA ROAD NIRMAL BHAINSA ROAD NIRMAL ADILABAD TNG 504106</t>
  </si>
  <si>
    <t>RA GOUD KIRANA  GENERAL STORES SHOP 2-38 INDRESHAM PATANCHERU SANGAREDDY HYDERABAD SANGAREDDY HYDERABAD HYDERABAD TNG 502319</t>
  </si>
  <si>
    <t>GOVERNMENT OF ANDHRA PRADESH DNO 5-8-7 1ST LINE ASHOK NAGAR OPP PANTALOONS SHOWROOM PANTALOONS SHOWROOM GUNTUR ANP 522002</t>
  </si>
  <si>
    <t>RENUKA CONSTRUCTIONS 2-91 VELAGALERU VELAGALERU VELAGALERU VIJAYAWADA ANP 521229</t>
  </si>
  <si>
    <t>CUBBY FABRRACTION 7-1-92 MARUNNAGA . . MAHBOOBNAGAR TNG 509001</t>
  </si>
  <si>
    <t>SRI ANJANEY TRADERS NO 3-25/A, PATHA REPUDI,A KONDURU, KHAMBHAMPADU,KRISHNA,ANDHRA PRADESH KHAMBHAMPADU,KRISHNA,ANDHRA PRADESH VIJAYAWADA ANP 521227</t>
  </si>
  <si>
    <t>GOLDEN STAR FACILITY PVT LTD DOOR NO 10-70/1 10-70/2  GROUND FLOOR RAIPATNAM CENTER MADIRA RAIPATNAM CENTER MADIRA KHAMMAM TNG 507203</t>
  </si>
  <si>
    <t>INDINA POST VIJAYAWADA   VIJAYAWADA ANP 520001</t>
  </si>
  <si>
    <t>SLR CONSTRUCTION PVT LTD 40-15-2/197 FLAT NO. SF2 RBS BRUNDAVANAM BRUNDAVAN COLONY RBS BRUNDAVANAM BRUNDAVAN COLONY VIJAYAWADA ANP 520010</t>
  </si>
  <si>
    <t>KGN GOLD JEWELLERY SHOP ARMUN HUSNABAD GALLI DIST   NIZAMABAD TELANGANA DIST   NIZAMABAD TELANGANA NIZAMABAD TNG 503002</t>
  </si>
  <si>
    <t>TAJNENTERPRISERS 14-5-14 GROUND FLOOR NEAR A R D G K SCHOOL PENSION LINE SCHOOL PENSION LINE ELURU ANP 534005</t>
  </si>
  <si>
    <t>VENKATRAMNA TRADING PVT HOUSE NO. 5/146 GOGLA STREET OLD BUS STA HOUSE NO. 5/146 GOGLA STREET OLD BUS STA HOUSE NO. 5/146 GOGLA STREET OLD BUS STA Prakasam ANP 523240</t>
  </si>
  <si>
    <t>COGNIZANT TECHNOLOGY SOLUTIONS Sri vinayaka pg mens hostel, patrika nagar Hytech City, Hyderabad Hytech City, Hyderabad HYDERABAD TNG 500081</t>
  </si>
  <si>
    <t>SITARAM PVT LTD GUNTUR   GUNTUR ANP 522006</t>
  </si>
  <si>
    <t>RK SOLUTIONS 4-72,NALLAGATLA PRAKASAM,AP PRAKASAM,AP NANDYAL ANP 523357</t>
  </si>
  <si>
    <t>KBC INFRASTRUCTION PVT LTD DOOR NO 1-2-71/1 VENKATADRI TOWER, J.K.C COLLEGE VENKATADRI TOWER, J.K.C COLLEGE GUNTUR ANP 522007</t>
  </si>
  <si>
    <t>SREE DIGITALS H NO 58-8-75 GROUND FLOOR NETAJI NAGAR KARIPIKONDA NETAJI NAGAR KARIPIKONDA WARANGAL TNG 506003</t>
  </si>
  <si>
    <t>LG SERVICES PVT LTD LG SERVICES MANGALAGIRI PEDHAKONERU MANGALAGIRI PEDHAKONERU VIJAYAWADA ANP 522503</t>
  </si>
  <si>
    <t>ACCENTURE SOLUTIONS PRIVATE LIMITED GANESH NAGAR HYDERABAD HYDERABAD HYDERABAD TNG 500081</t>
  </si>
  <si>
    <t>ACCOUNTS MANAGER IN DHANVI MOTORS RAMNAGAR ANANTHAPUR ANANTHAPUR ANAPARTHI ANP 515001</t>
  </si>
  <si>
    <t>VASAVI TRAVELS D.NO 6-1-150 NARASARAOPET NARASARAOPET GUNTUR ANP 522601</t>
  </si>
  <si>
    <t>INFOSYS TECHNOLOGIES I Hosur main road Electronic city, Bangalore Electronic city, Bangalore BANGALORE KAR 560100</t>
  </si>
  <si>
    <t>Not Applicable Icici bank ltd Nirmal Nirmal ADILABAD TNG 504106</t>
  </si>
  <si>
    <t>TECH MAHINDRA LIMITED ELECTRONIC CITY INDUSTRIAL AREA PHASE 02 BANGLORE 560100 PHASE 02 BANGLORE 560100 BANGALORE KAR 560100</t>
  </si>
  <si>
    <t>XTGLOBAL INFOTECH LIMITED 2 22YARRAM VARI PALLIKAMMIREDDY VARI PAL CHITTOOR 517234 ANDHRAPRADESH INDIA CHITTOOR 517234 ANDHRAPRADESH INDIA TIRUPATHI ANP 517234</t>
  </si>
  <si>
    <t>CANARA HSBC OBC LIFE INSURANCE CO LTD 7-1-618,206 QND 207,2ND FLOOR, ADITYA TRADE CENTRE,AMEERPET ADITYA TRADE CENTRE,AMEERPET HYDERABAD TNG 500038</t>
  </si>
  <si>
    <t>SHRI RAMACHANDRA TRANSPORTS NCL  TP  MELLACHERUVU ROAD HUZUR NAGAR  DISTT  SURYAPET   TELANGA HUZUR NAGAR  DISTT  SURYAPET   TELANGA SURYAPET TNG 508204</t>
  </si>
  <si>
    <t>Aravind Seetayyapaeta Karivena Karivena ATMAKUR ANP 518422</t>
  </si>
  <si>
    <t>DARABOINA SANJAY 5-11-340/1 POCHAMMAKUNTA POCHAMMAKUNTA WARANGAL TNG 506009</t>
  </si>
  <si>
    <t>SUBRAMANSWARA ENTERPRISES SHOP NO - 10,  SEETHARAMPURAM VIJAYWADA VIJAYWADA VIJAYAWADA ANP 520004</t>
  </si>
  <si>
    <t>LG RICE MILL RAYAVARAM EAST GODAVARI EAST GODAVARI RAJAHMUNDRY ANP 533346</t>
  </si>
  <si>
    <t>VASAVI TRAVELS 6-1-150 MAIN ROAD NARARAOPET MAIN ROAD NARARAOPET GUNTUR ANP 522601</t>
  </si>
  <si>
    <t>GOVERNMENT SENIORSECTIONENGINEERPERMANENTWAY,AKIVEE DU,AKIVEEDUMANDAL,WEST GODAVARI DISTRICT DU,AKIVEEDUMANDAL,WEST GODAVARI DISTRICT ELURU ANP 534006</t>
  </si>
  <si>
    <t>ITC INFOTECH INDIA LIMITED NO.18 DODDA BANASWADI MAIN ROAD MARUTHI SEVANAGAR BANGALORE SEVANAGAR BANGALORE BANGALORE KAR 560005</t>
  </si>
  <si>
    <t>BAHWAN CYBERTEK PVT LTD 18-5-22 Amalanadhuni Paleam Amalanadhuni Paleam KANDUKUR ANP 523105</t>
  </si>
  <si>
    <t>ONGC PETRO ADDITIONS LIMITEDOPAL KAKINADA   KAKINADA ANP 533003</t>
  </si>
  <si>
    <t>BSL GENERAL STORE D.NO.6-1-72 , M.G.ROAD KOTHAGUDEM KOTHAGUDEM KHAMMAM TNG 507101</t>
  </si>
  <si>
    <t>KARIMNAGAR</t>
  </si>
  <si>
    <t>ELURU</t>
  </si>
  <si>
    <t>JANGAREDDIGUDUM</t>
  </si>
  <si>
    <t>GUNTUR</t>
  </si>
  <si>
    <t>MAHBOOBNAGAR</t>
  </si>
  <si>
    <t>BHIMAVARAM</t>
  </si>
  <si>
    <t>0000000021733673</t>
  </si>
  <si>
    <t>0000000025572257</t>
  </si>
  <si>
    <t>0000000014660179</t>
  </si>
  <si>
    <t>0000000015027013</t>
  </si>
  <si>
    <t>0000000016607426</t>
  </si>
  <si>
    <t>0000000011865322</t>
  </si>
  <si>
    <t>0000000011923872</t>
  </si>
  <si>
    <t>0000000012582511</t>
  </si>
  <si>
    <t>0000000021829274</t>
  </si>
  <si>
    <t>0000000022104198</t>
  </si>
  <si>
    <t>0000000022694242</t>
  </si>
  <si>
    <t>0000000022767573</t>
  </si>
  <si>
    <t>0000000022969540</t>
  </si>
  <si>
    <t>0000000023305804</t>
  </si>
  <si>
    <t>0000000023474480</t>
  </si>
  <si>
    <t>0000000023753122</t>
  </si>
  <si>
    <t>0000000024054136</t>
  </si>
  <si>
    <t>0000000024227000</t>
  </si>
  <si>
    <t>0000000024261219</t>
  </si>
  <si>
    <t>0000000024550035</t>
  </si>
  <si>
    <t>0000000024880750</t>
  </si>
  <si>
    <t>0000000025085203</t>
  </si>
  <si>
    <t>0000000026168544</t>
  </si>
  <si>
    <t>0000000026461074</t>
  </si>
  <si>
    <t>0000000026711536</t>
  </si>
  <si>
    <t>0000000028187059</t>
  </si>
  <si>
    <t>0000000028237840</t>
  </si>
  <si>
    <t>0000000028413597</t>
  </si>
  <si>
    <t>0000000028485868</t>
  </si>
  <si>
    <t>0000000028554429</t>
  </si>
  <si>
    <t>0000000023771431</t>
  </si>
  <si>
    <t>0000000024251208</t>
  </si>
  <si>
    <t>0000000024386988</t>
  </si>
  <si>
    <t>0000000025277832</t>
  </si>
  <si>
    <t>0000000025387910</t>
  </si>
  <si>
    <t>0000000025536921</t>
  </si>
  <si>
    <t>0000000026296144</t>
  </si>
  <si>
    <t>0000000027411392</t>
  </si>
  <si>
    <t>0000000028929552</t>
  </si>
  <si>
    <t>0000000029023946</t>
  </si>
  <si>
    <t>0000000029050547</t>
  </si>
  <si>
    <t>0000000029665889</t>
  </si>
  <si>
    <t>0000000029964902</t>
  </si>
  <si>
    <t>0000000030222370</t>
  </si>
  <si>
    <t>0000000031366138</t>
  </si>
  <si>
    <t>0000000022508812</t>
  </si>
  <si>
    <t>ICICI Bank HPCL Coral VISA Credit Card</t>
  </si>
  <si>
    <t>RAKESH/WEST , 9121493562</t>
  </si>
  <si>
    <t>KUMAR/ELLURU , 6305251195</t>
  </si>
  <si>
    <t>VIJAYBABU/GTR , 9885269778</t>
  </si>
  <si>
    <t>RAHUL/TS , 9642288392</t>
  </si>
  <si>
    <t>Ssde@9876</t>
  </si>
  <si>
    <t>SUMANTH</t>
  </si>
  <si>
    <t>SAMBA</t>
  </si>
  <si>
    <t>RABBANI</t>
  </si>
  <si>
    <t>B NAGABABU</t>
  </si>
  <si>
    <t>FO032</t>
  </si>
  <si>
    <t>FO035</t>
  </si>
  <si>
    <t>FO123</t>
  </si>
  <si>
    <t>FO117</t>
  </si>
  <si>
    <t>FO025</t>
  </si>
  <si>
    <t>FO077</t>
  </si>
  <si>
    <t>FO118</t>
  </si>
  <si>
    <t>FO066</t>
  </si>
  <si>
    <t>FO026</t>
  </si>
  <si>
    <t>customer given residency address location visit it's live but customer is not available at home his wife respond and said they are facing financial issues because of the customer has got fracture to hand over 6 months ago , his wife has submitted the hospital reports sir and called to customer he responded in call and asking for time sir</t>
  </si>
  <si>
    <t>22ND O</t>
  </si>
  <si>
    <t xml:space="preserve">customer visit home address customer Live present customer living at Hyderabad Kompally customer phone calls not respond </t>
  </si>
  <si>
    <t>23RD O</t>
  </si>
  <si>
    <t xml:space="preserve">CUSTOMER PAYMENT DONE 74950 TOTAL AMOUNT CLEAR UPDATE CONFIRM </t>
  </si>
  <si>
    <t>CUSTOMER VISIT OFFICE ADDRESS CUSTOMER LIVE TALK TO THE PHONE CALL PTP ON CHEK</t>
  </si>
  <si>
    <t xml:space="preserve">customer house address visited sir customer call not responding house not traced sir // customer house address visited sir customer call not responding address not traced sir // customer house address visited sir customer payment not agree sir </t>
  </si>
  <si>
    <t>FO031</t>
  </si>
  <si>
    <t>4375513101564004</t>
  </si>
  <si>
    <t>4035627808577002</t>
  </si>
  <si>
    <t>4035628004166004</t>
  </si>
  <si>
    <t>4748464726199000</t>
  </si>
  <si>
    <t>4035627468356002</t>
  </si>
  <si>
    <t>4748468320571001</t>
  </si>
  <si>
    <t>4748468249069004</t>
  </si>
  <si>
    <t>4748468596800027</t>
  </si>
  <si>
    <t>4035627460239008</t>
  </si>
  <si>
    <t>4748468796648002</t>
  </si>
  <si>
    <t>4748468516793005</t>
  </si>
  <si>
    <t>4035627811077008</t>
  </si>
  <si>
    <t>4748468378462004</t>
  </si>
  <si>
    <t>4035627569594006</t>
  </si>
  <si>
    <t>4748468450441009</t>
  </si>
  <si>
    <t>4315814936797006</t>
  </si>
  <si>
    <t>4375513342020006</t>
  </si>
  <si>
    <t>4748468985344017</t>
  </si>
  <si>
    <t>4375513837472001</t>
  </si>
  <si>
    <t>4035622688383001</t>
  </si>
  <si>
    <t>4375513694146003</t>
  </si>
  <si>
    <t>4748468840121006</t>
  </si>
  <si>
    <t>4748468500285000</t>
  </si>
  <si>
    <t>5241936611217004</t>
  </si>
  <si>
    <t>4035623341232015</t>
  </si>
  <si>
    <t>5241936785823017</t>
  </si>
  <si>
    <t>4035623105788004</t>
  </si>
  <si>
    <t>4035623030998009</t>
  </si>
  <si>
    <t>4035622791406004</t>
  </si>
  <si>
    <t>4035623160387015</t>
  </si>
  <si>
    <t>4748468518686009</t>
  </si>
  <si>
    <t>5241936747386004</t>
  </si>
  <si>
    <t>4035622556303008</t>
  </si>
  <si>
    <t>4748468705239000</t>
  </si>
  <si>
    <t>4748468580781001</t>
  </si>
  <si>
    <t>4748468221292012</t>
  </si>
  <si>
    <t>4035622800157002</t>
  </si>
  <si>
    <t>4073520095646007</t>
  </si>
  <si>
    <t>4073520151844009</t>
  </si>
  <si>
    <t>4073520296292007</t>
  </si>
  <si>
    <t>4073520308571000</t>
  </si>
  <si>
    <t>4073520313946007</t>
  </si>
  <si>
    <t>4073520314153009</t>
  </si>
  <si>
    <t>4073520332653014</t>
  </si>
  <si>
    <t>4073520338123004</t>
  </si>
  <si>
    <t>4073520361787006</t>
  </si>
  <si>
    <t>4315814742052018</t>
  </si>
  <si>
    <t>4375518372580001</t>
  </si>
  <si>
    <t>4375518424158012</t>
  </si>
  <si>
    <t>4375518584336002</t>
  </si>
  <si>
    <t>4375518633983002</t>
  </si>
  <si>
    <t>4375518682646005</t>
  </si>
  <si>
    <t>4375518693037004</t>
  </si>
  <si>
    <t>4748460704802003</t>
  </si>
  <si>
    <t>4748460805827008</t>
  </si>
  <si>
    <t>4748460838592009</t>
  </si>
  <si>
    <t>4748460844736004</t>
  </si>
  <si>
    <t>4748460849325001</t>
  </si>
  <si>
    <t>4748460859563012</t>
  </si>
  <si>
    <t>4748460908015006</t>
  </si>
  <si>
    <t>4748460914611004</t>
  </si>
  <si>
    <t>4748460916424000</t>
  </si>
  <si>
    <t>4748460917075009</t>
  </si>
  <si>
    <t>4748460928041008</t>
  </si>
  <si>
    <t>4748460942599023</t>
  </si>
  <si>
    <t>4748460964464007</t>
  </si>
  <si>
    <t>4748460969736003</t>
  </si>
  <si>
    <t>4748460987281008</t>
  </si>
  <si>
    <t>4748461017340004</t>
  </si>
  <si>
    <t>4748461027599003</t>
  </si>
  <si>
    <t>4748461051250002</t>
  </si>
  <si>
    <t>4748461057144001</t>
  </si>
  <si>
    <t>4748461066077002</t>
  </si>
  <si>
    <t>4748461070083012</t>
  </si>
  <si>
    <t>4748461073304019</t>
  </si>
  <si>
    <t>4748461080015004</t>
  </si>
  <si>
    <t>4748461099103015</t>
  </si>
  <si>
    <t>4748461101426008</t>
  </si>
  <si>
    <t>4748461153664001</t>
  </si>
  <si>
    <t>4748461172979000</t>
  </si>
  <si>
    <t>4748461183351009</t>
  </si>
  <si>
    <t>4748461185233007</t>
  </si>
  <si>
    <t>4748461204164001</t>
  </si>
  <si>
    <t>4748461211329019</t>
  </si>
  <si>
    <t>4748461222187000</t>
  </si>
  <si>
    <t>4748461227610006</t>
  </si>
  <si>
    <t>4748461227926006</t>
  </si>
  <si>
    <t>4748461233340002</t>
  </si>
  <si>
    <t>4748461353071007</t>
  </si>
  <si>
    <t>4748464706060008</t>
  </si>
  <si>
    <t>4748464707612005</t>
  </si>
  <si>
    <t>4748464715163017</t>
  </si>
  <si>
    <t>4748464717195009</t>
  </si>
  <si>
    <t>4748464722701015</t>
  </si>
  <si>
    <t>4748464724255002</t>
  </si>
  <si>
    <t>4748464724809006</t>
  </si>
  <si>
    <t>4748464729840006</t>
  </si>
  <si>
    <t>4748464733959008</t>
  </si>
  <si>
    <t>4748464734272005</t>
  </si>
  <si>
    <t>4748464735531011</t>
  </si>
  <si>
    <t>4748464738006003</t>
  </si>
  <si>
    <t>4748464741263005</t>
  </si>
  <si>
    <t>4748464742044008</t>
  </si>
  <si>
    <t>4748464742760009</t>
  </si>
  <si>
    <t>4748464742771006</t>
  </si>
  <si>
    <t>4748464746223004</t>
  </si>
  <si>
    <t>4748464747914007</t>
  </si>
  <si>
    <t>4748464748494009</t>
  </si>
  <si>
    <t>4748464748647002</t>
  </si>
  <si>
    <t>4748464749135007</t>
  </si>
  <si>
    <t>4748464750231000</t>
  </si>
  <si>
    <t>4748464750322007</t>
  </si>
  <si>
    <t>5241935701473006</t>
  </si>
  <si>
    <t>5241935740711002</t>
  </si>
  <si>
    <t>5241935755499006</t>
  </si>
  <si>
    <t>5241935755792004</t>
  </si>
  <si>
    <t>5241935774016005</t>
  </si>
  <si>
    <t>6528690001474012</t>
  </si>
  <si>
    <t>6528690017291004</t>
  </si>
  <si>
    <t>6528690167003001</t>
  </si>
  <si>
    <t>MR A SHEKAR REDDY</t>
  </si>
  <si>
    <t>MR DUDEKULA DASTAGIRI</t>
  </si>
  <si>
    <t>MR AKEPATI CHAITANYA</t>
  </si>
  <si>
    <t>MR SHAIKH AZEEF RAHIL</t>
  </si>
  <si>
    <t>MR KATKAM SHYAM</t>
  </si>
  <si>
    <t>MR RAMANCH RAJ SAIKIA</t>
  </si>
  <si>
    <t>MR RADHAKRISHNA BIJINEPALLI</t>
  </si>
  <si>
    <t>Mr BOMMANA HARIPRASAD</t>
  </si>
  <si>
    <t>MR BHASKAR YADAV GAJULA</t>
  </si>
  <si>
    <t>MR AYINALA NAVEEN</t>
  </si>
  <si>
    <t>MR RAMPRASAD KUMAR D</t>
  </si>
  <si>
    <t>MR MEKALA SUNIL KUMAR</t>
  </si>
  <si>
    <t>MR KANAGANAPALLI RAMANA KUMAR</t>
  </si>
  <si>
    <t>MR VENNAM RAKESH REDDY</t>
  </si>
  <si>
    <t>MR SARVABOTLA RAMESH</t>
  </si>
  <si>
    <t>Mr MOGULA  GOUD</t>
  </si>
  <si>
    <t>MR BANDA PRANAY KUMAR REDDY</t>
  </si>
  <si>
    <t>MR TANTHARAPALLI PRASAD</t>
  </si>
  <si>
    <t>MR B SEKHAR</t>
  </si>
  <si>
    <t>MR VIJAYAGIRI RAMAKRISHNA</t>
  </si>
  <si>
    <t>MR SAYED NAYEEM</t>
  </si>
  <si>
    <t>MS THOTA JYOTHI</t>
  </si>
  <si>
    <t>MR THOUDOJU SALENDRA CHARY</t>
  </si>
  <si>
    <t>MR NAGARAJU CHITTIMALLA</t>
  </si>
  <si>
    <t>MR PETA SIVA SANKAR</t>
  </si>
  <si>
    <t>MR SHAIK. HUSSAIN BASHA</t>
  </si>
  <si>
    <t>MR KOMMIREDDY RAVI</t>
  </si>
  <si>
    <t>MR DONKURI RAJESHWAR</t>
  </si>
  <si>
    <t>MR NALLANGOLLA SREENIVASULU</t>
  </si>
  <si>
    <t>MR VEERAMREDDY MADAN MOHAN REDDY</t>
  </si>
  <si>
    <t>MR RAJIV REDDY K</t>
  </si>
  <si>
    <t>MR KALPAGIRI UPENDER</t>
  </si>
  <si>
    <t>MR AKKA POLU SREENI</t>
  </si>
  <si>
    <t>MR DOMMETI MOHAN RAO</t>
  </si>
  <si>
    <t>MR TINGLECAR KUMAR</t>
  </si>
  <si>
    <t>MR SAI KUMAR NDS</t>
  </si>
  <si>
    <t>MR PAPPU VEERA PAVAN</t>
  </si>
  <si>
    <t>MR MADNURE PRAKASH</t>
  </si>
  <si>
    <t>MR BOLISHETTY AKHIL</t>
  </si>
  <si>
    <t>MR ASAM GANGADHAR</t>
  </si>
  <si>
    <t>MR V B SRINIVASARAO</t>
  </si>
  <si>
    <t>MR SHAIK ABDUL RASOOL</t>
  </si>
  <si>
    <t>MS SANDHYA ASAMPALLI</t>
  </si>
  <si>
    <t>MR JULAKANTI VINAY</t>
  </si>
  <si>
    <t>MR MOHAMMED KHAJA KAMRODDIN</t>
  </si>
  <si>
    <t>MR M PRAKASH</t>
  </si>
  <si>
    <t>MR SHAIK ABID</t>
  </si>
  <si>
    <t>MR AKULA NAGAMALLESWARA RAO</t>
  </si>
  <si>
    <t>MR JINJIPELLI SWAMY</t>
  </si>
  <si>
    <t>MS SYKM HARIKA</t>
  </si>
  <si>
    <t>MR BOLLU SIVAKESHAVARAO</t>
  </si>
  <si>
    <t>MR GURRALA JOHN MILTON</t>
  </si>
  <si>
    <t>MR PATNALA VEERAVENKATA SATYANARA</t>
  </si>
  <si>
    <t>MR JAMMULA VENKATESH</t>
  </si>
  <si>
    <t>MR LINGANNAGARI SATISH REDDY</t>
  </si>
  <si>
    <t>MR RAJENDRA KODAMANCHILI</t>
  </si>
  <si>
    <t>MR MARAM KONDALU</t>
  </si>
  <si>
    <t>MR RAVINDER SENAM</t>
  </si>
  <si>
    <t>MR BUMNI SURESH</t>
  </si>
  <si>
    <t>MR POTTIGARI LAKSHMI NARAYANA</t>
  </si>
  <si>
    <t>MR SHAIK SHANAWAZ</t>
  </si>
  <si>
    <t>MR CHENNOJU NARENDRA CHARY</t>
  </si>
  <si>
    <t>MR DAREDDY SRINIVASULA REDDY</t>
  </si>
  <si>
    <t>MR G GOURI SANKARA KRISHNA</t>
  </si>
  <si>
    <t>MR MANOJ KUMAR PAMDNTI</t>
  </si>
  <si>
    <t>MR KOTTURI SRAVAN KUMAR</t>
  </si>
  <si>
    <t>MR ANDE RAMESH</t>
  </si>
  <si>
    <t>MR VEERLA MAHESH</t>
  </si>
  <si>
    <t>MR GANGU REDDY</t>
  </si>
  <si>
    <t>MS SHAKKERA SWAPNA</t>
  </si>
  <si>
    <t>MR SHAIK SHAKEER AHMED</t>
  </si>
  <si>
    <t>MR BANAGANAPALLI PRAVEEN</t>
  </si>
  <si>
    <t>MR BOLLOJU RAMESH</t>
  </si>
  <si>
    <t>MR KASHABOINA RAJESH</t>
  </si>
  <si>
    <t>MS NASAM HARI PRIYA</t>
  </si>
  <si>
    <t>MR GAJJALA SRINIVASA REDDY</t>
  </si>
  <si>
    <t>MR KATTA CHANDRA KANTH</t>
  </si>
  <si>
    <t>MR K SASI KUMAR</t>
  </si>
  <si>
    <t>MR GORREPATI NANIN KUMAR</t>
  </si>
  <si>
    <t>MR KOLLA PEDDIRAJU</t>
  </si>
  <si>
    <t>MR FAROOQ KHAN</t>
  </si>
  <si>
    <t>MR DONTULA RAVIKIRAN</t>
  </si>
  <si>
    <t>MR SINGREDDY KARTIK REDDY</t>
  </si>
  <si>
    <t>MR ADUVALA MANIDEEP</t>
  </si>
  <si>
    <t>MR V CHANDRASHEKHAR</t>
  </si>
  <si>
    <t>MR MAHABOOBBASHA SHAIK</t>
  </si>
  <si>
    <t>MR VEJELLA BHARGAV</t>
  </si>
  <si>
    <t>MR GUNDRATHI JAGADEESHWAR GOUD</t>
  </si>
  <si>
    <t>MR T SAI TEJA</t>
  </si>
  <si>
    <t>MS MOKARA VENKATA NAGADEVI</t>
  </si>
  <si>
    <t>MR THATI VARAPRASAD</t>
  </si>
  <si>
    <t>MR MARABOINA MAHENDER</t>
  </si>
  <si>
    <t>MR RAVIPATI VENKATAKRISHNA</t>
  </si>
  <si>
    <t>MR MOHAMMAD SUFIAN ALI</t>
  </si>
  <si>
    <t>MR KUKKAPALLI NAGARJUNA</t>
  </si>
  <si>
    <t>MR GADDAM PRASHANTH</t>
  </si>
  <si>
    <t>MR SURE SUBBA RAO</t>
  </si>
  <si>
    <t>MR PALIKOJU SHASHIKUMAR</t>
  </si>
  <si>
    <t>MR DOPPALAPUDI MANIKANTA</t>
  </si>
  <si>
    <t>MS KAISHARLA DURGADEVI</t>
  </si>
  <si>
    <t>MR VENNA SANDEEP</t>
  </si>
  <si>
    <t>MR RAGIPATI SREENIVASULU</t>
  </si>
  <si>
    <t>MR PONATH UNNI KRISHNA</t>
  </si>
  <si>
    <t>MR SHAIK KHALEEL PASHA</t>
  </si>
  <si>
    <t>MR DARA PRASAD</t>
  </si>
  <si>
    <t>MR SHAIK FAYAZ AHMED</t>
  </si>
  <si>
    <t>MR KOTA SREEHARI</t>
  </si>
  <si>
    <t>MR DUBBAKA PARAMESH</t>
  </si>
  <si>
    <t>MR AKINAPALLY RAJASHEKAR</t>
  </si>
  <si>
    <t>MR B SRINIVASA RAO</t>
  </si>
  <si>
    <t>MR JAYAVARAPU YOGENDRA NAGA</t>
  </si>
  <si>
    <t>MR YASIN MD</t>
  </si>
  <si>
    <t>MR VALAJALA PAVAN KUMAR</t>
  </si>
  <si>
    <t>MR V NARESH</t>
  </si>
  <si>
    <t>MR VELMLA RAJESHWAR REDDY</t>
  </si>
  <si>
    <t>MR VEMULA DEMIMOOR NEELIMA</t>
  </si>
  <si>
    <t>MR BALANTRAPY MANIKANTA SRINIVAS</t>
  </si>
  <si>
    <t>MR K SYAM PRASAD</t>
  </si>
  <si>
    <t>MR METHUKU SANTHOSH REDDY</t>
  </si>
  <si>
    <t>MR Nunna Sarath</t>
  </si>
  <si>
    <t>9959835888</t>
  </si>
  <si>
    <t>7780454162</t>
  </si>
  <si>
    <t>9010984072</t>
  </si>
  <si>
    <t>7032174231</t>
  </si>
  <si>
    <t>9550565623</t>
  </si>
  <si>
    <t>9957319396</t>
  </si>
  <si>
    <t>9490728104</t>
  </si>
  <si>
    <t>8096883045</t>
  </si>
  <si>
    <t>9502071259</t>
  </si>
  <si>
    <t>9553661180</t>
  </si>
  <si>
    <t>9866997935</t>
  </si>
  <si>
    <t>9848965033</t>
  </si>
  <si>
    <t>9959846422</t>
  </si>
  <si>
    <t>9912747778</t>
  </si>
  <si>
    <t>8520030850</t>
  </si>
  <si>
    <t>8688649535</t>
  </si>
  <si>
    <t>9390004162</t>
  </si>
  <si>
    <t>9948639444</t>
  </si>
  <si>
    <t>9866138855</t>
  </si>
  <si>
    <t>9573355998</t>
  </si>
  <si>
    <t>9010534612</t>
  </si>
  <si>
    <t>9966563030</t>
  </si>
  <si>
    <t>9966017042</t>
  </si>
  <si>
    <t>9494270830</t>
  </si>
  <si>
    <t>9296504473</t>
  </si>
  <si>
    <t>8247802064</t>
  </si>
  <si>
    <t>9618479279</t>
  </si>
  <si>
    <t>9951397135</t>
  </si>
  <si>
    <t>9989923262</t>
  </si>
  <si>
    <t>6302777920</t>
  </si>
  <si>
    <t>9573322203</t>
  </si>
  <si>
    <t>9603073062</t>
  </si>
  <si>
    <t>8519815153</t>
  </si>
  <si>
    <t>9963783877</t>
  </si>
  <si>
    <t>8686636161</t>
  </si>
  <si>
    <t>7660044399</t>
  </si>
  <si>
    <t>8247688744</t>
  </si>
  <si>
    <t>9948941917</t>
  </si>
  <si>
    <t>9700180428</t>
  </si>
  <si>
    <t>9676490487</t>
  </si>
  <si>
    <t>9515227226</t>
  </si>
  <si>
    <t>9966551123</t>
  </si>
  <si>
    <t>9177971094</t>
  </si>
  <si>
    <t>9666619444</t>
  </si>
  <si>
    <t>6300528943</t>
  </si>
  <si>
    <t>8125735591</t>
  </si>
  <si>
    <t>7989093399</t>
  </si>
  <si>
    <t>9010244443</t>
  </si>
  <si>
    <t>8096773355</t>
  </si>
  <si>
    <t>9701248887</t>
  </si>
  <si>
    <t>9000895520</t>
  </si>
  <si>
    <t>8985836996</t>
  </si>
  <si>
    <t>9866244194</t>
  </si>
  <si>
    <t>9959372105</t>
  </si>
  <si>
    <t>8019553379</t>
  </si>
  <si>
    <t>8186910210</t>
  </si>
  <si>
    <t>9177350869</t>
  </si>
  <si>
    <t>9390901715</t>
  </si>
  <si>
    <t>8686273792</t>
  </si>
  <si>
    <t>9490281122</t>
  </si>
  <si>
    <t>9160786108</t>
  </si>
  <si>
    <t>9652746224</t>
  </si>
  <si>
    <t>9490100760</t>
  </si>
  <si>
    <t>9000037914</t>
  </si>
  <si>
    <t>9093386819</t>
  </si>
  <si>
    <t>9493110209</t>
  </si>
  <si>
    <t>9703769235</t>
  </si>
  <si>
    <t>8897347821</t>
  </si>
  <si>
    <t>9966199975</t>
  </si>
  <si>
    <t>7075525417</t>
  </si>
  <si>
    <t>9440529002</t>
  </si>
  <si>
    <t>9700423560</t>
  </si>
  <si>
    <t>9652306861</t>
  </si>
  <si>
    <t>7396394089</t>
  </si>
  <si>
    <t>8499844386</t>
  </si>
  <si>
    <t>9032468105</t>
  </si>
  <si>
    <t>9866866052</t>
  </si>
  <si>
    <t>9379797933</t>
  </si>
  <si>
    <t>9381564886</t>
  </si>
  <si>
    <t>8886862722</t>
  </si>
  <si>
    <t>9553895531</t>
  </si>
  <si>
    <t>9866767177</t>
  </si>
  <si>
    <t>9553444077</t>
  </si>
  <si>
    <t>8985849998</t>
  </si>
  <si>
    <t>9666843337</t>
  </si>
  <si>
    <t>7207171786</t>
  </si>
  <si>
    <t>9666943989</t>
  </si>
  <si>
    <t>9912136801</t>
  </si>
  <si>
    <t>8179819006</t>
  </si>
  <si>
    <t>9912586143</t>
  </si>
  <si>
    <t>9000403903</t>
  </si>
  <si>
    <t>9966527257</t>
  </si>
  <si>
    <t>9912396319</t>
  </si>
  <si>
    <t>8332823477</t>
  </si>
  <si>
    <t>9398889146</t>
  </si>
  <si>
    <t>8341783231</t>
  </si>
  <si>
    <t>9010676656</t>
  </si>
  <si>
    <t>9494841390</t>
  </si>
  <si>
    <t>7396890064</t>
  </si>
  <si>
    <t>9949292542</t>
  </si>
  <si>
    <t>9347118892</t>
  </si>
  <si>
    <t>9700154772</t>
  </si>
  <si>
    <t>7989885216</t>
  </si>
  <si>
    <t>9703014102</t>
  </si>
  <si>
    <t>9505939533</t>
  </si>
  <si>
    <t>9542217675</t>
  </si>
  <si>
    <t>9866608615</t>
  </si>
  <si>
    <t>9966452610</t>
  </si>
  <si>
    <t>9989349162</t>
  </si>
  <si>
    <t>9959787970</t>
  </si>
  <si>
    <t>9494006747</t>
  </si>
  <si>
    <t>9848109101</t>
  </si>
  <si>
    <t>9908393864</t>
  </si>
  <si>
    <t>7382954336</t>
  </si>
  <si>
    <t>9573533620</t>
  </si>
  <si>
    <t>9550587800</t>
  </si>
  <si>
    <t>9493966660</t>
  </si>
  <si>
    <t>9963522669</t>
  </si>
  <si>
    <t>9701796479</t>
  </si>
  <si>
    <t>9573037742</t>
  </si>
  <si>
    <t>9490416504</t>
  </si>
  <si>
    <t>J3</t>
  </si>
  <si>
    <t>HNO 5-11-229/1 SHATHI NAGAR  NALGONDA TOWN NR ASHOKA GARDENS NALGONDA ANP 508001</t>
  </si>
  <si>
    <t>VILLAGE GUNDREDDY PALLE DADDAWADA    NANDYAL ANP 523356</t>
  </si>
  <si>
    <t>2/10-ANADIM PALLI,2/10-ANADIM PALLI  Y.S.R. CUP ANP 516150</t>
  </si>
  <si>
    <t>20/04/339 OPP MIHM SCHOOL MECLINES ROAD KOTAMITTA NELLORE ANP 524001</t>
  </si>
  <si>
    <t>27-395/7 HAMALI WADA HAMALI WADA  ADILABAD TNG 504208</t>
  </si>
  <si>
    <t>SRFMSRFMTTI, COLONY QUATER NO-9 TYPE -3 GARLADINNE SHIV TAMPLE ANANTAPUR ANP 515731</t>
  </si>
  <si>
    <t>2 ND WARD,1-1 VINUKONDA ROAD ERRAGUNDA PALEM OPP RAVINDRA HOSPITAL NANDYAL ANP 523327</t>
  </si>
  <si>
    <t>8-216-17A FIRST STREEET,RAJIV NAGAR, SULLURPETA,SULLURPETA MANDAL   GUDUR ANP 524121</t>
  </si>
  <si>
    <t>1-97-/1 ALAIR   NALGONDA TNG 508101</t>
  </si>
  <si>
    <t>1-17,NASURULLABAD BIRKOOR,BODHAN,.    NIZAMABAD TNG 503185</t>
  </si>
  <si>
    <t>H.NO.5-8/3 THANGAD PALLE CHOUTUPPAL GOVT SCHOOL NALGONDA TNG 508252</t>
  </si>
  <si>
    <t>H NO 3-334 CHOUTUPPAL MANDALAM PADMASHALI COLONY  NALGONDA TNG 508252</t>
  </si>
  <si>
    <t>28-146 BOYA STREET BOYA STREET ANANTAPUR ANAPARTHI ANP 515001</t>
  </si>
  <si>
    <t>H.NO-18-238/1 LUXETTIPET ROAD ,MEDARIWADA MANCHIREAL BESIDE TELANGANA GRAMEENA BANK ADILABAD TNG 504208</t>
  </si>
  <si>
    <t>8-1-9/B KOVUR BRAHMIN STREET NELLORE NELLORE ANP 524137</t>
  </si>
  <si>
    <t>HOUSE,NUMBER 3-34/2 MUPKAL,BALKONDA,MANDAL, KISANNAGAR   BALKONDA TNG 503218</t>
  </si>
  <si>
    <t>S/O BANDA KRISHNA REDDY P NO 405, GAYATHRI ANNAPURNA RESIDENCY,B BLOCK RAMAGIRI NALGONDA TNG 508001</t>
  </si>
  <si>
    <t>2-129 PADAMATISOMARAM  VENKIRYALA BHEEMARAM TNG 508126</t>
  </si>
  <si>
    <t>NO 1-27 GUDYANAM PALLE PENUTURU   OPP AMMAVARITEMPLE CHITTOOR ANP 517126</t>
  </si>
  <si>
    <t>12-136 RAMAKRISHNAPUR  SARDHARVALLABAI ADILABAD TNG 504301</t>
  </si>
  <si>
    <t>S/O SAYED NAVEEN DUVVUR V SANGAM M MUSLIM PALEM DUVUR NEAR MASJID NELLORE ANP 524306</t>
  </si>
  <si>
    <t>H NO 18-150/10A/1 TEACHERS COLONY  HOUSING BORD COLONY MEDAK TNG 502103</t>
  </si>
  <si>
    <t>1-1-119/B/3/1 SURYAPET THALLAGADDA OPP VENKATRAMPURAM SCHOOL SURYAPET TNG 508213</t>
  </si>
  <si>
    <t>HNO-8-118 NARSIMAHAMA PURAM NAKIREKAL NALGONDA TELANGANA NEAR POST OFFICE SURYAPET TNG 508211</t>
  </si>
  <si>
    <t>1/5/227 NAWABUPETA YANAMALA PALEM NEAR VINAYAKA TEMPLE NELLORE ANP 524002</t>
  </si>
  <si>
    <t>H NO-3-111,BANDIATMAKURU KAKANUR,KURNOOL  NEAR SARASWATHI TEMPLE NANDYAL ANP 518523</t>
  </si>
  <si>
    <t>5/12-118   PRAKASAM NANDYAL ANP 523357</t>
  </si>
  <si>
    <t>2-81   ADILABAD ADILABAD TNG 504001</t>
  </si>
  <si>
    <t>2-148A VEERABALLI NEAR Z,P HIGH,SCHOOL,. ,.  . CUDDAPAH ANP 516268</t>
  </si>
  <si>
    <t>4/74 J KOTTAPALLI VILLAGE NALLINGAYAPALLI POST KAMALAPURAM MONDEL NEAR MAIN ROAD PRODDATUR ANP 516289</t>
  </si>
  <si>
    <t>6-3-149 FLAT NO 103 COMFORT RESIDENCY  RAM NAGAR ANAPARTHI ANP 515001</t>
  </si>
  <si>
    <t>2-15 GARIDEPALLY MANDALAM PONUGODU NALGONDA BHOOPALPALLY TNG 508201</t>
  </si>
  <si>
    <t>17-190/65/9 TEACHERS COLONY  KODAD MANDALAM SURYAPET TNG 508206</t>
  </si>
  <si>
    <t>3-100 GUDUR CAMP THANDA  NALGONDA SURYAPET TNG 508207</t>
  </si>
  <si>
    <t>2-5-93 SURYAPET GOLLA BAZAR NALGONDA SURYAPET TNG 508213</t>
  </si>
  <si>
    <t>13/599,R K M STREET, KADAPA KADAPA ONE TOWN CUDDAPAH ANP 516001</t>
  </si>
  <si>
    <t>00 Chejarla Mandalam Nellore Sri Potti Sriramulu Nellore NEL ANP 524309</t>
  </si>
  <si>
    <t>QUARTER NO-113/A RAILWAY COLONY ADILABAD   100 MTS TO WATER TANK ADILABAD TNG 504001</t>
  </si>
  <si>
    <t>H NO 10-3-517 NIZAMABAD SHIVAJI NAGAR NIZAMABAD NIZAMABAD TNG 503001</t>
  </si>
  <si>
    <t>3-118/A DONUR  KARIMNAGAR KARIMNAGAR TNG 505454</t>
  </si>
  <si>
    <t>H NO 11-75 BHIMADOLU MANDALAM SANTA BAZAR  ELURU ANP 534427</t>
  </si>
  <si>
    <t>10-1098-179-B NIZAM VALI COLONY NIZAM VALI COLONY  HINDUPUR ANP 515591</t>
  </si>
  <si>
    <t>4-7-110/1 VIDYA NAGAR VIDYA NAGAR BESIDE BUS DEPOT ADILABAD TNG 504001</t>
  </si>
  <si>
    <t>H NO 1-27/3 ANDOL MANDAL   SANGAREDDY TNG 502270</t>
  </si>
  <si>
    <t>HOUSE NUMBER 1-37/4    WARANGAL TNG 506165</t>
  </si>
  <si>
    <t>4-106-U CHILLAKONDAYAPALLI  TADIMARRI HINDUPUR ANP 515631</t>
  </si>
  <si>
    <t>2-196 GORLAGADDA  PRAKASAM NANDYAL ANP 523316</t>
  </si>
  <si>
    <t>SAIBABA 1ST LEFT 2ND RIGHT 1ST APPARTMENT SAI MAHESWARA RESIDENCY F NO 105 BEERUMGUDA AMEENPUR N/R SHIVALAYAM TEMPLE Medak TNG 502032</t>
  </si>
  <si>
    <t>HNO 3-29/2 CHERLAPALLY GULLAKOTA   NEAR ANJANEYA TYPE PUNCHER SHOP Karimnagar TNG 505526</t>
  </si>
  <si>
    <t>FLATNO 101 RAJ TOWERS 100 FEET ROAD TADIGADAPA KRISHNA  OPP PVP LADIES HOSTEL VIJAYAWADA ANP 521137</t>
  </si>
  <si>
    <t>HNO 1-33/A MR HNFC ATM PENUBALLT MANDALAPAHAD  BESIDE GOVT SCHOOL KHAMMAM ANP 507302</t>
  </si>
  <si>
    <t>D NO-26-17-45 3RD LANE KANKARA GUNTA GUNTUR  NEAR MERI MATHA STATUE GUNTUR ANP 522004</t>
  </si>
  <si>
    <t>D NO -2-16-8 P NO G2 SIRANGU RESIDENCY VENKAT NAGAR  NEAR ADITYA JUNIOR COLLEGE KAKINADA ANP 533003</t>
  </si>
  <si>
    <t>4-73 KURVAGADDA PALLY ALWAN PALLY GANGAPUR JADCHERLA  NEAR Z P HIGH SCHOOL JEDCHERLA ANP 509301</t>
  </si>
  <si>
    <t>HNO 6-54 ISNAPUR X ROAD PATANCHERU MANDAL  NEAR SM HOSPITAL HYDERABAD TNG 502307</t>
  </si>
  <si>
    <t>12-178 NEHUR NNAGAR 2VENKATAPURAM NAER NTR STATU E  NEAR NO-3 SCHOOL ROAD ELURU ANP 534001</t>
  </si>
  <si>
    <t>10-4-11 WARD 10 CHEKKA VANTENA SATTENAPALLE GUNTUR  NEAR HANUMAN TEMPLE OPP NTR STATUE NARASAPURAM ANP 522403</t>
  </si>
  <si>
    <t>KANNALA BASTHI BELLAMPALLE 1 3 25   100M TO NEW BUSSTAND ADILABAD TNG 504251</t>
  </si>
  <si>
    <t>PLOT NO 3-10-206/1 CHANDRA NAGAR N/R MUNNURU KAPU HALL  NR PADMASHALI HIGH SCHOOL NIZAMABAD TNG 503001</t>
  </si>
  <si>
    <t>1-2033 80 PULASUBBAIAH COLONY WARD NO-1 MARKAPUR 1-203B80  BESIDE GOVT SCHOOL NR RAMALAYAM NANDYAL ANP 523316</t>
  </si>
  <si>
    <t>H NO 28/64 MADHAVARAM VILLAGE RAYACHOTY   NEAR JHANDA TEREE CUDDAPAH ANP 516269</t>
  </si>
  <si>
    <t>13 174/1/E1/B2 MOHKALWAKURTHY BADEPALLY STN JAOCHERLA  NR PREM GANGA GARDENS N/R AYYAPPA TEMPLE JEDCHERLA TNG 509301</t>
  </si>
  <si>
    <t>6-89 OANUDU JATTAJUBDAOAKKU   N/ ELIMINTARY SCHOOL OPP/ HANUMAN TEMPLE ANANTAPUR ANP 515832</t>
  </si>
  <si>
    <t>3H NO 21-4-41/1 B JANARDHANA SWAMI TEMPL DKANDUKUR  NR JANARDHANA SWAMI TEMPLE Prakasam ANP 523105</t>
  </si>
  <si>
    <t>VENKAJA GIRI POLICE QUARTERS ANANDAPURAM H NO 602  NR SHIVALAYAM NR COURT GUDUR ANP 524132</t>
  </si>
  <si>
    <t>HOUSE NUMBER 2-1-237 JAGITIAL BEHIND MARKET KARIMNAGAR KARIMNAGAR TNG 505327</t>
  </si>
  <si>
    <t>4-49   KARIMNAGAR PEDDAPALLI TNG 505497</t>
  </si>
  <si>
    <t>D.NO 5-8 KACHIRAJU GUDEM GANDHI CHOWK ,KHAMMAM NEAR RAMALAYAM KHAMMAM TNG 507003</t>
  </si>
  <si>
    <t>8-7, KAPA VEEDI MANAPANDAL  NR OLD MRO OFFICE MAHBOOBNAGAR TNG 509128</t>
  </si>
  <si>
    <t>1-7-91/1 KOLLAPUR MANDALAM SATHYASAI TAKEES ROAD KOLLAPUR VILLAGE WANAPARTHY TNG 509102</t>
  </si>
  <si>
    <t>28-9-507 VENKATESWARAPURAM NELLORE 100 MTS TO VISWA BHARATI SCHOOL NELLORE ANP 524005</t>
  </si>
  <si>
    <t>26/923-35-3 MITTAMADI STREET  CUDDAPAH PRODDATUR ANP 516360</t>
  </si>
  <si>
    <t>1-9-78 SURYAPET HOUSING BOARD COLONY NALGONDA SURYAPET TNG 508213</t>
  </si>
  <si>
    <t>23-1-34/1 NEWSHAYAMPET  WARANGAL WARANGAL TNG 506001</t>
  </si>
  <si>
    <t>7/103-1 DEVASAMUDRAM,.,DEVASAMUDRAM, PULLAMPET,MANDAL  NEAR GOVERNMENT SCHOOL CUDDAPAH ANP 516107</t>
  </si>
  <si>
    <t>2-119 NSP COLANY KURCHEDU  PRAKASAM Prakasam ANP 523304</t>
  </si>
  <si>
    <t>3-3-400/9 GAYATHRI NAGAR  NEAR SRI VENKATESHWARA KALYANA MANDAPAM NIZAMABAD TNG 503001</t>
  </si>
  <si>
    <t>4-97 B C COLONY RAYADURGAM REKULAKUNTA ANANTHAPURAMU ANANTAPUR ANP 515865</t>
  </si>
  <si>
    <t>HOUSE NUMBER 7-1-130/3 KHAMMAM SAHAKARA NAGAR KHAMMAM KHAMMAM TNG 507002</t>
  </si>
  <si>
    <t>5-7/6-10/2 CHITTINAGAR K L RAO NAGAR, 6TH LINE KRISHNA VIJAYAWADA ANP 520001</t>
  </si>
  <si>
    <t>H NO 1-3-77/44/1 MEDAK VENKATESHWAR COLONY MEDAK MEDAK TNG 502110</t>
  </si>
  <si>
    <t>301/a,3,Vashinavi apt Divyanag,Sathinagar x road NIRMAL Sbi bank NIRMAL TNG 504106</t>
  </si>
  <si>
    <t>2-53/1 ELVI  ADILABAD ADILABAD TNG 504102</t>
  </si>
  <si>
    <t>1-2-230/1 ROAD NO 5,KRISHNA NAGAR,JAGITAL - KARIMNAGAR - KARIMNAGAR TNG 505327</t>
  </si>
  <si>
    <t>3-161 -  BHOOTH PUR M MAHBOOBNAGAR TNG 509382</t>
  </si>
  <si>
    <t>H.NO 4-4-717, NEHRU NAGAR, TIRUPATI, TIRUPATI URBAN, CHITTOR, OPP BRAHMAMGARI TEMPLE. NEAR URDU GOVT SCHOOL TIRUPATHI ANP 517501</t>
  </si>
  <si>
    <t>2ND FLOOR  SAI TOWERS KALPANA NAGAR, KANURU NEAR SCOTS SPINE INTERNATIONAL SCHOOL NEAR OPPOSITE MALABAR JEWELLARS VIJAYAWADA ANP 520007</t>
  </si>
  <si>
    <t>15-2-78/B BANDAMEEDI PALLY  MAHABUBNAGAR MAHBOOBNAGAR TNG 509001</t>
  </si>
  <si>
    <t>4-67/2, SAINILYAM BANK EMPLOYEES COLONY TIRUPATI OPP RAMEE GUEST LINE HOTEL NEAR TIRUMULA HOT CHIPS TIRUPATHI ANP 517501</t>
  </si>
  <si>
    <t>75-11-93 KARAKATTA NORTH BALA BASKAR NAGAR BAVANIPURAM VIJAYAVADA NEAR BANK CENTER VIJAYAWADA ANP 520012</t>
  </si>
  <si>
    <t>1-95 VEDANTAPURAM  NEAR GANGAMMA TEMPLE TIRUPATHI ANP 517501</t>
  </si>
  <si>
    <t>31-3-279 WADDEPALLY SAPTHAGIRI COLONY PHASE-2 WADDEPALLY FILTER BED ROAD WARANGAL TNG 506370</t>
  </si>
  <si>
    <t>16A-8-9/2 YADAV NAGAR TANGELLAMUDI GOVERNMENT HOSPITAL ELURU ANP 534005</t>
  </si>
  <si>
    <t>H.NO.7-164 CHINTALAPUDI MANDAL MUSLIM STREET NEAR URDU SCHOOL ELURU ANP 534460</t>
  </si>
  <si>
    <t>4-1-877/58 BC COLONY  KARIMNAGAR KARIMNAGAR TNG 505326</t>
  </si>
  <si>
    <t>2-77, RAYAPARTHY MANDAL  WARANGAL WARANGAL TNG 506314</t>
  </si>
  <si>
    <t>PLAT NO 4 NEAR ST MARY HIGH SCHOOL NARASARAOPET BIBLE CHURCH SRI SAI GREEN FIELDS NARASAPURAM ANP 522603</t>
  </si>
  <si>
    <t>45-12-9 GORREKUNTA GAREEB NAGAR WARANGAL URBAN WARANGAL TNG 506013</t>
  </si>
  <si>
    <t>1-271 PARAGATICHERLA  GUNTUR NARASAPURAM ANP 522603</t>
  </si>
  <si>
    <t>8-83 ROWTHULAPUDI KOTA STREET EAST GODAVARI KAKINADA ANP 533446</t>
  </si>
  <si>
    <t>H.NO. 2-98/9-B-1 GHANPUR STATION VIDYANAGAR COLONY WARANGAL WARANGAL TNG 506143</t>
  </si>
  <si>
    <t>ARUNDHATHIWADA,CHERLOPALLI POST,JOREPALL E,  MAIN ROAD GUDUR ANP 524408</t>
  </si>
  <si>
    <t>D NO 70-6-32 FLAT NO 301 SR GRAND APPART DEVI LITTEL PUBLIC SCHOL ROAD PATAMATA VIJAYAWADA AP NEAR NSM SCHOOL ND DEVI PUBLIC SCHOOL VIJAYAWADA ANP 520010</t>
  </si>
  <si>
    <t>3-57 NARSAMPET MANDAL   WARANGAL TNG 506331</t>
  </si>
  <si>
    <t>H NO 3-71/A KESHAVAPURAM KESHAVAPURAM  SURYAPET TNG 508234</t>
  </si>
  <si>
    <t>32-57 MADERE STREET  NEAR ONE TOWN KURNOOL ANP 518001</t>
  </si>
  <si>
    <t>4-1-565 BADVEL MUNCIPALITY FATHIMA NAGAR  CUDDAPAH ANP 516227</t>
  </si>
  <si>
    <t>1-240 NALGONDA MANDALAM  DUBBAKAGUDEM NALGONDA TNG 508004</t>
  </si>
  <si>
    <t>1-7 NARSAMPET MANDAL POCHAMMA STREET  WARANGAL TNG 506132</t>
  </si>
  <si>
    <t>H NO 59-3-8, MAGALRAJPURAM ASHOKNAGAR, RD NO 2,VIJAYAWADA, AP NEAR SIDHARTHA COLLEGE VIJAYAWADA ANP 520010</t>
  </si>
  <si>
    <t>34-5-7 OPP VANIBANK MAINROAD TANUKU TANUKU ANP 534211</t>
  </si>
  <si>
    <t>21-2-108/1/A MARKANDEYA COLONEY GODAVARIKHANI NEAR HUNMAN TEMPLE PEDDAPALLI TNG 505209</t>
  </si>
  <si>
    <t>IDDANAKONDURU SIDDANA KONDURU NELLORE ANDHRA PRADESH ,NELLORE  NEAR MAIN ROAD NELLORE ANP 524225</t>
  </si>
  <si>
    <t>H NO 3 63 KOSGI MANDA SARJAKHANPET MAHABUBNAGAR  NEAR SBI BANK MAHBOOBNAGAR TNG 509339</t>
  </si>
  <si>
    <t>HNO 4-20 KORUTLA MADHAPUR KARIMNAGAR NEAR KAPU SANGAM BUILDING KARIMNAGAR TNG 505330</t>
  </si>
  <si>
    <t>11-1-202 MEDI COVER PHARMACY TELANGANA NEAR MAIN ROAD NIZAMABAD TNG 503002</t>
  </si>
  <si>
    <t>3-49 MADHURANAGAR OPP PANCHAYATI OFFICE ATCHUTAPURAM KAKINADA RURAL EAST GODAVARI OPP OLD PANCHAYATI PFFICE KAKINADA ANP 533005</t>
  </si>
  <si>
    <t>H NO 53-3-34 CHRISTURAJPURAM VIJAYAWADA POLYTECHNIC VIJAYAWADA ANP 520008</t>
  </si>
  <si>
    <t>3-68 MADDUR MANDALAM JALAPALLY  WARANGAL TNG 506367</t>
  </si>
  <si>
    <t>QUARTER NO 448, SRI NAGAR COLONY MELLACHERUVU  Mella CheruvuSuryapet NDA TNG 508246</t>
  </si>
  <si>
    <t>RK EARTH MOVERS SHANTHI NAGAR NALGONDA TOWN NALGONDA NALGONDA NALGONDA ANP 508001</t>
  </si>
  <si>
    <t>INDIAN ARMY CAMP UNIT NO 15C ZW SRINAGAR JAMMU AND KASHMIR   SRINAGAR JAK 190001</t>
  </si>
  <si>
    <t>Ayatacom Tech Solutions Private Ltd. Prestige Bengaluru Karnataka   BNG KAR 560034</t>
  </si>
  <si>
    <t>PANASONIC INDIA PRIVATE LIMITED VNR TOWER,KARVEY BULDING,VIZWADA MUNICIPAL WATER TANK ROAD,LUBBIPET MUNICIPAL WATER TANK ROAD,LUBBIPET VIJAYAWADA ANP 520010</t>
  </si>
  <si>
    <t>TIRUMALA BOOK STALL MARKET ROAD MANCHURIAL ADILABAD TELENGANA ADILABAD TELENGANA ADILABAD TNG 504208</t>
  </si>
  <si>
    <t>SRFMTTI RJ8G V62 SRMTTI ROAD GARLADINNE,TRACTOR NAGAR GARLADINNE,TRACTOR NAGAR ANANTAPUR ANP 515731</t>
  </si>
  <si>
    <t>GAYATHRI ENTER PRIZES 1-1 2ND WARD,VINUKONDA ROAD 2ND WARD,VINUKONDA ROAD NANDYAL ANP 523327</t>
  </si>
  <si>
    <t>UNICHARM INDIA PVT LTD Sricity Sricity Sricity TIRUPATHI ANP 517646</t>
  </si>
  <si>
    <t>BRAMARAMBA MALLIKARJUNA SWAMI TRAVEL 402 JSKR ENCLAVE MAYURI NAGAR MIYAPUR MAYURI NAGAR MIYAPUR HYDERABAD TNG 500049</t>
  </si>
  <si>
    <t>AMAZON DEVELOPMENT CENTER INDI Telangana Telangana Telangana NIZAMABAD TNG 503321</t>
  </si>
  <si>
    <t>SRI KATYAYINI DIAGNOSTIC CENTRE H.NO.8/1,OPPOSITE THANGADIPALLE CHOUTUPPAL CHOUTUPPAL NALGONDA TNG 508252</t>
  </si>
  <si>
    <t>KRISHNA JEWELLERS NO 5-542/A,CHINNA KODUR ROAD CHOUTUPPAL CHOUTUPPAL NALGONDA TNG 508252</t>
  </si>
  <si>
    <t>SLV  MEDICAL  SERGICAL HOLESALE AREBATI NAGAR REVENUE COLONY ANAPARTHI ANAPARTHI ANAPARTHI ANP 515001</t>
  </si>
  <si>
    <t>INDUS TOWERS LIMITED SY NO 1334/51 SLN TERMINALS 8TH FLOOR GACHIBOWLINERS BOTANICAL GARDEN GACHIBOWLINERS BOTANICAL GARDEN HYDERABAD TNG 500032</t>
  </si>
  <si>
    <t>VISHWA SAI COLLAGE MAJUNTAL AYOUT NELLORE NELLORE NELLORE ANP 524004</t>
  </si>
  <si>
    <t>Digisprint Hyderabad Raidurg Raidurg HYDERABAD TNG 500082</t>
  </si>
  <si>
    <t>PRANAY REDDY POULTRY FORM PANAGAL NALGONDA NALGONDA NALGONDA TNG 508001</t>
  </si>
  <si>
    <t>PRASAD REAL ESTATES HNO-1-113, PADMATI SOMARAM , BIVINAGAR, NALGONDA BIVINAGAR, NALGONDA BHEEMARAM TNG 508126</t>
  </si>
  <si>
    <t>SUNDARAM FINANCE 1ST FLOOR VJN COMPLEX SRIKALAHASTHI BY PASS ROAD VAYUDUPETA PASS ROAD VAYUDUPETA GUDUR ANP 524126</t>
  </si>
  <si>
    <t>TVS CREDIT SERVICES LIMITED TVS CREDIT SERVICES LIMITED MARUTHI NAGAR MANCHERIAL MARUTHI NAGAR MANCHERIAL ADILABAD TNG 504208</t>
  </si>
  <si>
    <t>AFRA ENTERPRISES 21-6-194 YEHYA ALI ROAD KOTAMITTA KOTAMITTA NELLORE ANP 524001</t>
  </si>
  <si>
    <t>ZILLA PARISHAD HIGH SCHOOL MUSTABAD   HYDERABAD TNG 505404</t>
  </si>
  <si>
    <t>TS TIMBER TRADERS TS TIMBER TRADERS JANAGA X ROAD SURYAPET TELANGANA TELANGANA SURYAPET TNG 508213</t>
  </si>
  <si>
    <t>SHIVA SAI TRADERS MANGALPALLY NAKERIKAL NAKERIKAL SURYAPET TNG 508211</t>
  </si>
  <si>
    <t>DSR NEURO CURE HOSPITAL NEAR VIJAYA MAHAL GATE S2 ROAD PHOGATOTTA NELLORE ANDHRA PRADESH PHOGATOTTA NELLORE ANDHRA PRADESH NELLORE ANP 524004</t>
  </si>
  <si>
    <t>INDIAN ARMY 148 LT AD REST COMP MEERUT CANTT UP,UTTAR PRADESH MEERUT CANTT UP,UTTAR PRADESH MEERUT UTP 250001</t>
  </si>
  <si>
    <t>VENKATAKARAN AUTO MOBILES 5TH WARD MAIN ROAD GIDDALUR GIDDALUR NANDYAL ANP 523357</t>
  </si>
  <si>
    <t>GOVERNMENT OF TELANGANA ADILABAD COLLECTOR OFFICE COLLECTOR OFFICE ADILABAD TNG 504001</t>
  </si>
  <si>
    <t>STP INVESTMENT SERVICES INDIA PRIVATE LI TOWER 1,SJRI TECH PARK ROAD NUMBER 9 EPIP ZONE WHITEFIELD EPIP ZONE WHITEFIELD BANGALORE KAR 560066</t>
  </si>
  <si>
    <t>EMERSIA TECHNOLOGIES PVT LTD TURBOTECH ENGINEERS CHANDANAGAR HYDERABAD CHANDANAGAR HYDERABAD HYDERABAD TNG 500050</t>
  </si>
  <si>
    <t>RAJIVREDDY CLINIC FLOT NO 103,D.NO 6-3-149 RAM NAGAR RAM NAGAR ANAPARTHI ANP 515004</t>
  </si>
  <si>
    <t>OKHOLA INDUSTRIES NEW DELHI, E-42/3, FASE 2 DELHI AREA DELHI AREA DELHI DEL 110005</t>
  </si>
  <si>
    <t>VIVO ENTERPRISE SURYAPET DISTICT GODAD MANDAL TELANGANA TELANGANA SURYAPET TNG 508206</t>
  </si>
  <si>
    <t>MOHAN ENTERPRISES GUDURU MAIN RD, GUDURU, ADDANKI HIGHWAY GUDURU V, MIRYALAGUDA M, NALGONDA DIST GUDURU V, MIRYALAGUDA M, NALGONDA DIST SURYAPET TNG 508207</t>
  </si>
  <si>
    <t>SHRINIVAS MUTTON 2-5-93 GOLLABAZAR NEAR PEDDA MAZID SURYA 2-5-93 GOLLABAZAR NEAR PEDDA MAZID SURYA 2-5-93 GOLLABAZAR NEAR PEDDA MAZID SURYA SURYAPET TNG 508213</t>
  </si>
  <si>
    <t>SAI KUMAR TRADERS 13/599,R K M STREET KADAPA KADAPA CUDDAPAH ANP 516001</t>
  </si>
  <si>
    <t>00 PHASE 2 ELECTRONIC CITY ELECTRONIC CITY BNG KAR 560100</t>
  </si>
  <si>
    <t>SCR NANDED DIVISION SENIOR SECTION ENGG SSE P-LIAY RAILWAY COLONY ADILABAD COLONY ADILABAD ADILABAD TNG 504001</t>
  </si>
  <si>
    <t>VINAYAKA MOBILES SHOP NO 58,VINAYAKA MOBILES, OPP SINDH BHAVAN,TILAK GARDEN COMPLEX, OPP SINDH BHAVAN,TILAK GARDEN COMPLEX, NIZAMABAD TNG 503001</t>
  </si>
  <si>
    <t>GOVERNMENT OF TELANGANA SECONDARY EDUCAT DORNOOR JAGITHYAL JAGITHYAL KARIMNAGAR TNG 505454</t>
  </si>
  <si>
    <t>SRI VINAYAKA READYMADES D NO 6-76,SANTA MARKET,GOPAL VILLAS GUNDUGOLANU,WEST GODAVARI GUNDUGOLANU,WEST GODAVARI ELURU ANP 534427</t>
  </si>
  <si>
    <t>BASHA CLINIC CENTRE 10-1098-179-A,NIZAM VALI COLONY KADIRI,ANANTAPUR,OPP MAKKA MASZID KADIRI,ANANTAPUR,OPP MAKKA MASZID HINDUPUR ANP 515591</t>
  </si>
  <si>
    <t>MUTHOOT FINCORP LTD H NO 7/1/8/8/3,G FLR,MURAD RESIDENCY BUSTOP RD,ADILABAD BUSTOP RD,ADILABAD ADILABAD TNG 504001</t>
  </si>
  <si>
    <t>SRI VEERABHADRA GENERAL STORE VENKATESHWARA THEATRE BHAGET SINGHROAD  JODIPET SANGAREDDY SINGHROAD  JODIPET SANGAREDDY SANGAREDDY TNG 502270</t>
  </si>
  <si>
    <t>TS NPDCL OGULAPUR HANAMKONDA HANAMKONDA WARANGAL TNG 506001</t>
  </si>
  <si>
    <t>MPS GROUNDNUT THRESHER H NO 3-105-U, CHILLAKONDAYAPALLI TADIMARRI,PEDDAKOTLA,ANANTHAPUR TADIMARRI,PEDDAKOTLA,ANANTHAPUR HINDUPUR ANP 515631</t>
  </si>
  <si>
    <t>TECH MAHINDRA LIMITED SURVEY NO 64,UNIT NO 12,HITECH LAYOUT,JU BLIEE ENCLAVE,MADHAPUR,HYDERABAD BLIEE ENCLAVE,MADHAPUR,HYDERABAD HYDERABAD TNG 500081</t>
  </si>
  <si>
    <t>AUROBINDO PHARMALIMITED UNIT-1 BORAPATLA V HATNOOR M   Medak TNG 502296</t>
  </si>
  <si>
    <t>FAIRVAYS TOLL AND SECURITY SERVICES KM 210 100 BASANTH NAGAR TOLL PLAZA PALAKURTHI PALAKURTHI Karimnagar TNG 505187</t>
  </si>
  <si>
    <t>STATE BANK OF INDIA GOVERNARPETA BESENT ROAD VIJYAWADA   VIJAYAWADA ANP 520002</t>
  </si>
  <si>
    <t>SAI SHRUTI DAV SCHOOL INTHE CSMPUS OF SSIT KHAMMAD KHAMMAD KHAMMAM ANP 507303</t>
  </si>
  <si>
    <t>WISDOM STARS ENGLISH MEDIUM SCHOOL CANARA BANK BUILDING DOWN FLOOR SYAMALANAGAR SYAMALANAGAR GUNTUR ANP 522007</t>
  </si>
  <si>
    <t>PATNALA FINANCE SERVICES D NO 2-16-8 F NO-G2 SRIGARU APARTMENTS VENKAT NAGAR VENKAT NAGAR KAKINADA ANP 533003</t>
  </si>
  <si>
    <t>APL HEALTH CARE AUROBINDO PRIVATE LIMITE SY NO 410/3 411/3 458/3 PLOT NO 5-1/B JAD CHERLA JAD CHERLA MAHBUBNAGAR ANP 509302</t>
  </si>
  <si>
    <t>MSN PHARMA LTD PLOT NO 212 ABCD IDA PHASE II PASHAMYLARAM PATANCHERUVU PASHAMYLARAM PATANCHERUVU HYDERABAD TNG 502307</t>
  </si>
  <si>
    <t>RAMACHANDRA COLLEGE OF ENGENEERING COLL N H-16-BY PASS ROAD VATULURU   ELURU ANP 534007</t>
  </si>
  <si>
    <t>SRIRAM CITY UNION FINANCE PVT LTD DOOR NO 04-19-48 AND 49 MATTUPALLI COMPLEX 2ND FLOOR GUNTUR COMPLEX 2ND FLOOR GUNTUR GUNTUR ANP 522002</t>
  </si>
  <si>
    <t>SBI LIFE INSURANCE COMPANY LIMITED BELLAMPALLY CHOURASTHA SBI LIFE INSURANCE INSURANCE ADILABAD TNG 504208</t>
  </si>
  <si>
    <t>MAHENDRA ATUO MOTIVES PVT LTD BARDIPUR DICHPALLY   NIZAMABAD TNG 503230</t>
  </si>
  <si>
    <t>NEHA DRIVING SCHOOL NAIDU STREET 4-494-B NEAR SHIVALAYAM TEMPLE SHIVALAYAM TEMPLE SHIVALAYAM NANDYAL ANP 523316</t>
  </si>
  <si>
    <t>MAHINDRA FINANCIAL SERVICES LIMITED 64/121-C OPP LAKSHMI THEATRE   CUDDAPAH ANP 516269</t>
  </si>
  <si>
    <t>VENKATRAMANA TIMBER DEPOT H NO 13 179 KALWAKUTHI ROAD BADEPALLY BADEPALLY JEDCHERLA TNG 509301</t>
  </si>
  <si>
    <t>NSPIRA MANAGEMENT SERVICES PRIVATE LIMITED D NO 17/336 GOVERNMENT SCHOOL LANE THILAK NAGAR GUNTAKAL LANE THILAK NAGAR GUNTAKAL ANANTAPUR ANP 515832</t>
  </si>
  <si>
    <t>SHREE NARAYANA DATTA DENTAL CLINIC MEDICAL DEPARTMENT SHREE NARAYANA DATA DENTAL CLINIC KANDUKUR DATA DENTAL CLINIC KANDUKUR Prakasam ANP 523105</t>
  </si>
  <si>
    <t>GOV OF ANDHRA PRADESH PANCHAYATTRA DEPARJMV   GUDUR ANP 524101</t>
  </si>
  <si>
    <t>SRI MOBILES T N G O BUILDING THAHSIL CHOWRASTA JAGITIAL JAGITIAL KARIMNAGAR TNG 505327</t>
  </si>
  <si>
    <t>GOVERNMENT JUNIOR COLLEGE PEDDEMUL, VIKARABAD VIKARABAD SECUNDERABAD TNG 501142</t>
  </si>
  <si>
    <t>SREE ZOOM DIGITAL COLOUR LAB SHOP NO 9-2-154 BOMMANA CENTRE,KHAMMAM BOMMANA CENTRE,KHAMMAM KHAMMAM TNG 507001</t>
  </si>
  <si>
    <t>HARINATHA REDDY MEFICSL AND GENERAL STOR WANAPARTHY RTC COLONY RTC COLONY MAHBOOBNAGAR TNG 509128</t>
  </si>
  <si>
    <t>HDFC BANK LIMITED H.NO 38-54,GROUND FLOOR,WANAPARTHY   WANAPARTHY TNG 509103</t>
  </si>
  <si>
    <t>GOVERNMENT OF ANDHRA PRADESH ZPP OFFICE,PODALAKUR ROAD, DARGA MITTA,NELLORE DARGA MITTA,NELLORE NELLORE ANP 524003</t>
  </si>
  <si>
    <t>THERMOSYSTEM PVT LTD 28 NAGARJUNA HILLS PUNJAGUTTA PUNJAGUTTA HYDERABAD TNG 500082</t>
  </si>
  <si>
    <t>BOLLOJU RAMESH JEWELLERY WORKS HNO.1-9-4/D/0/2 BOPLPURAM SURYAPET SURYAPET SURYAPET TNG 508213</t>
  </si>
  <si>
    <t>INDUSIND BANK LIMITED B.NO 23-5-45/1 RAC OPP 2ND GATE RAC OPP 2ND GATE WARANGAL TNG 506001</t>
  </si>
  <si>
    <t>MICROGREEN TECHNOLOGIES PVT LTD CAPGEMINI MANYATA TECH PARK OUTER RING ROAD NAGAWARA RACHENAHALLI ROAD NAGAWARA RACHENAHALLI BANGALORE KAR 560045</t>
  </si>
  <si>
    <t>HDB FINANCIAL SERVICES LIMITED KOUSTUBAM NILAYAM,SHOP NO-C,D NO-10-1-2B,1ST FLOOR,OPPOSITE CORONATION NO-10-1-2B,1ST FLOOR,OPPOSITE CORONATION NELLORE ANP 524201</t>
  </si>
  <si>
    <t>GANESHA AGENCY SHOP NO 2,GROUND FLOOR,NYALKAL ROAD GANESHA AGENCY,RADIO STAION ROAD,NIZAMAB GANESHA AGENCY,RADIO STAION ROAD,NIZAMAB NIZAMABAD TNG 503001</t>
  </si>
  <si>
    <t>VIRTUSA CONSULTING SERVICES PRIVATE LIMI SY NO 115,NANAKRAMGUDA VILLAGE SERILINGAMPALLY MANDAL SERILINGAMPALLY MANDAL HYDERABAD TNG 500032</t>
  </si>
  <si>
    <t>VEER INFRA GROUND FLOOR SUN MOON HIGHTS VIJAYAWADA VIJAYAWADA VIJAYAWADA ANP 520007</t>
  </si>
  <si>
    <t>OK SILKS H NO 40-1-42 MG ROAD   VIJAYAWADA ANP 520010</t>
  </si>
  <si>
    <t>FIBER BROND BAND NETWORK H NO 9-1-125, REDDYS REFRIGERATOR 2 ND FLOOR, KANCHARI BAZAR,SIDDIPET 2 ND FLOOR, KANCHARI BAZAR,SIDDIPET MEDAK TNG 502103</t>
  </si>
  <si>
    <t>VENKATESHWARA MOBILES OLD BUS STOP ROAD,BESIDE GEETHA PRACHAR MANDHIR,NIRMAL,NIRMAL,ADILABAD MANDHIR,NIRMAL,NIRMAL,ADILABAD ADILABAD TNG 504106</t>
  </si>
  <si>
    <t>REDDY AQVA WATER PURIFIERS SALES  SERVIC VILLAGE TANOOR MANDAL TANOOR DISTC, NIRMAL BHAINSA ROAD TANOOR DISTC, NIRMAL BHAINSA ROAD ADILABAD TNG 504102</t>
  </si>
  <si>
    <t>HONEY BEES RESTUARANT H NO L16/2 SHOP NO1 AND 2KPHB COLONY MEDICAL CIRCLE NO 24 WEST ZONE COLONY MEDICAL CIRCLE NO 24 WEST ZONE HYDERABAD TNG 500072</t>
  </si>
  <si>
    <t>AMBA BHAVANI MOBILES AND ENTERPRISES HNO 61 62 SAI RAM COMPLEX,NEAR APGVB BANK BHOOTHPUR MAHABUBNAGAR BANK BHOOTHPUR MAHABUBNAGAR MAHBOOBNAGAR TNG 509382</t>
  </si>
  <si>
    <t>SK TRADERS 4-1-143F, PATNOOL STREET, NEHRU NAGAR, MAIN RD TIRUPATI, NEAR CHANDU BAKERY, MAIN RD TIRUPATI, NEAR CHANDU BAKERY, TIRUPATHI ANP 517501</t>
  </si>
  <si>
    <t>BHIMA JEWELLERS MG ROAD, BESIDE GATEWAY HOTEL VIJAYAWADA, VIJAYAWADA, VIJAYAWADA ANP 520010</t>
  </si>
  <si>
    <t>AKSHARA TRAVELS H NO 2-78/B BANDAMEEDIPALLY MAHABUBNAGAR MAHABUBNAGAR MAHBOOBNAGAR TNG 509001</t>
  </si>
  <si>
    <t>GOVT JUNIOUR COLLEGE PAPANAIDUPETA GOVERNAMENT JUNIOUR COLLEGE PAPANAIDUPETA,TIRUPATI PAPANAIDUPETA,TIRUPATI TIRUPATHI ANP 517526</t>
  </si>
  <si>
    <t>KPN DEVELOPERS 2-7-58/2, GROUND FLOOR PEDDAPALLY PEDDAPALLY PEDDAPALLI TNG 505172</t>
  </si>
  <si>
    <t>GVT OF AP COLLECTOR CAMP OFFICE COLLECTER CAMP OFFICE VIJAYAVADA PWD GROUND MG ROAD VIJAYAVADA PWD GROUND MG ROAD VIJAYAWADA ANP 520012</t>
  </si>
  <si>
    <t>SRI KALYANA CHAKRAVARTI MEMORIAL EDUCATI MALLAMGUNTA RAYALACHERUV ROAD RAYALACHERUV ROAD TIRUPATHI ANP 517502</t>
  </si>
  <si>
    <t>GOVT OF TS SECONDARY EDUCATION SECRETARI ZPSS GOPALPUR GOPALPUR GOPALPUR WARANGAL TNG 506356</t>
  </si>
  <si>
    <t>SAI SWASTA MOTORS 16A/1/136,A, ARUNDATINAGAR, ELURU NR GOVT HIGH SCHOOL ELURU NR GOVT HIGH SCHOOL ELURU ANP 534005</t>
  </si>
  <si>
    <t>LIFE INSURANCE CORPORATION OF INDIAPLICA 19-136/2 GANTAVARI VEEDHI MAIN RD CHINTALPUDI CHINTALPUDI ELURU ANP 534460</t>
  </si>
  <si>
    <t>ACCENTURE SOLUTIONS PRIVATE LIMITED SURVEY NO 115,WAVE ROCKS BUILDING, NANAKARAMGUDA,HYDERABAD NANAKARAMGUDA,HYDERABAD HYDERABAD TNG 500032</t>
  </si>
  <si>
    <t>DEPARTMENT OF POSTAL 2-43 RAYAPARTHY WARANGAL WARANGAL WARANGAL TNG 506314</t>
  </si>
  <si>
    <t>ASIAN CHRISTIAN HIGH SCHOOL ASIAN CHRISTIAN HIGH SCHOOL UPPALAPADU ROAD, NARSARAOPET UPPALAPADU ROAD, NARSARAOPET GUNTUR ANP 522601</t>
  </si>
  <si>
    <t>CITY MAN FASHIONS 8-9-34,JPN ROAD CHOWRASTA WARANGAL WARANGAL WARANGAL TNG 506002</t>
  </si>
  <si>
    <t>VASAVI JUNIOR COLLEGE 11-14-5/1ST FLOOR,ARUNDELPET RAMIREDDY PET,NEAR OLD BHASYAM SCHOOL RO RAMIREDDY PET,NEAR OLD BHASYAM SCHOOL RO GUNTUR ANP 522601</t>
  </si>
  <si>
    <t>HDB FINANCIAL SERVICES LIMITED SYNO 2/139 GROUNDFLOOR BURRAKATHAMASTER MAIN RD ANNAVARAM NEAR KANAKS DURGA TEMP MAIN RD ANNAVARAM NEAR KANAKS DURGA TEMP KAKINADA ANP 533406</t>
  </si>
  <si>
    <t>WIPRO LIMITED ALSO WIPRO TECHNOLOGIES SYNO.203,115/1ISB ROADFINANCIALDISTRICT GACHIBOWLI,NANAKARAMGUDA,HYD GACHIBOWLI,NANAKARAMGUDA,HYD HYDERABAD TNG 500032</t>
  </si>
  <si>
    <t>ADROIT GLOBAL PERSONNEL SERVICES PVT LTD 2ND FLOOR,S NO.- 24 MARKET OLD RAJENDRA NAGAR,NEW DELHI CENTRAL DELHI , NAGAR,NEW DELHI CENTRAL DELHI , DELHI DEL 110060</t>
  </si>
  <si>
    <t>S S AUTOMOBILES D NO 2/47 ATAPAKA KAIKALURU GUDIVADA AP KAIKALURU GUDIVADA AP GUDIVADA ANP 521333</t>
  </si>
  <si>
    <t>COOPERATIVE DEVELOPMENT FOUNDATION SY NO 702,LAKBEPALLE,NARSAMPET WARANGAL,NEAR GRAMAPANCHAYITHI WARANGAL,NEAR GRAMAPANCHAYITHI WARANGAL TNG 506331</t>
  </si>
  <si>
    <t>PRASAD DIGITAL STUDIO H NO -1-8-75/12/4/A BHAGAT SINGH NAGAR SURYAPET TELANGANA SURYAPET TELANGANA SURYAPET TNG 508234</t>
  </si>
  <si>
    <t>FAYAZ AND BROTHERS FANCY DIE WORKS SHOP NO 52/2 UPSTAIRS OLD BUS STAND OLD BUS STAND KURNOOL ANP 518001</t>
  </si>
  <si>
    <t>RRR FASHIONS SHOP NO 7 BADVEL BADVEL CUDDAPAH ANP 516227</t>
  </si>
  <si>
    <t>MANIKANTA ENTERPRISES 14-2-20/1 SANTHOSH NAGAR GUNDLAPALLY ROAD SANTHOSH NAGAR GUNDLAPALLY ROAD NALGONDA TNG 508001</t>
  </si>
  <si>
    <t>KAKATHIYA HIGH SCHOOL KAKATHIYA HIGH SCHOOL NARSAMPET MANDAL WARANGAL WARANGAL WARANGAL TNG 506132</t>
  </si>
  <si>
    <t>QUALITY HOTEL D V MANOR D NO 40-1-41, LABBIPETA, VIJAYAWADA, ANDHRA PRADESH LABBIPETA, VIJAYAWADA, ANDHRA PRADESH VIJAYAWADA ANP 520010</t>
  </si>
  <si>
    <t>CELL POINT H NO 8-2 KACHERI STREET SIDHANTHAM PENUGONDA MANDAL WEST GODAVARI PENUGONDA MANDAL WEST GODAVARI BHIMAVARAM ANP 534326</t>
  </si>
  <si>
    <t>MS ONLINE SERVICES HNO 21-2-111/2 MARKANDEYA COLINY RAMAGUNDAM PEDDAPALLI DIST TELANGANA RAMAGUNDAM PEDDAPALLI DIST TELANGANA PEDDAPALLI TNG 505209</t>
  </si>
  <si>
    <t>HCL TECHNOLOGIES LIMITED H-01 LEVEL 2 HITECH CITY SY NO.30 AND 38 MADHAPUR HYDERABAD TELANGANA MADHAPUR HYDERABAD TELANGANA HYDERABAD TNG 500050</t>
  </si>
  <si>
    <t>AGRICULTURE NO 3 63 KOSGI MANDAL SARJAKHANPET MAHABUBNAGAR MAHABUBNAGAR MAHBOOBNAGAR TNG 509339</t>
  </si>
  <si>
    <t>OTHER SECONDARY EDUCATION  SECRETARIAT D SECONDARY EDUCATION SECRETARIAT DEPARTME JAGITAL KORUTLA JAGITAL JAGITAL KORUTLA JAGITAL KARIMNAGAR TNG 505330</t>
  </si>
  <si>
    <t>LORRY TRANSPORT 11-1-202 TELANGANA TELANGANA NIZAMABAD TNG 503002</t>
  </si>
  <si>
    <t>BALANTRAPU MANIKANTA SRINIVAS 3-49 MADHURA NAGAR KAKINADA KAKINADA KAKINADA KAKINADA ANP 533005</t>
  </si>
  <si>
    <t>SONOVISION ELECTRONIC INDIA PVT LTD ENIKEPAD ANU HOSPITAL ANU HOSPITAL VIJAYAWADA ANP 521108</t>
  </si>
  <si>
    <t>RELIANCE TRANDS PRIVATE LIMITED SERY NO 1508.1509  PRASHANTH NAGAR SIDDEPET SIDDEPET MEDAK TNG 502103</t>
  </si>
  <si>
    <t>MAHA CEMENT, UNIT 4 MELLACHERUVU, SURYAPET   NDA TNG 508246</t>
  </si>
  <si>
    <t>MAHBUBNAGAR</t>
  </si>
  <si>
    <t>NARASARAOPET</t>
  </si>
  <si>
    <t>JEDCHERLA</t>
  </si>
  <si>
    <t>0000000015403151</t>
  </si>
  <si>
    <t>0000000031466670</t>
  </si>
  <si>
    <t>0000000034403663</t>
  </si>
  <si>
    <t>0000000024996057</t>
  </si>
  <si>
    <t>0000000027994908</t>
  </si>
  <si>
    <t>0000000020734666</t>
  </si>
  <si>
    <t>0000000019961521</t>
  </si>
  <si>
    <t>0000000023243499</t>
  </si>
  <si>
    <t>0000000027897573</t>
  </si>
  <si>
    <t>0000000025443869</t>
  </si>
  <si>
    <t>0000000022581371</t>
  </si>
  <si>
    <t>0000000031500615</t>
  </si>
  <si>
    <t>0000000021487237</t>
  </si>
  <si>
    <t>0000000029293008</t>
  </si>
  <si>
    <t>0000000022103643</t>
  </si>
  <si>
    <t>0000000030024919</t>
  </si>
  <si>
    <t>0000000018430123</t>
  </si>
  <si>
    <t>0000000027156360</t>
  </si>
  <si>
    <t>0000000016725448</t>
  </si>
  <si>
    <t>0000000021839608</t>
  </si>
  <si>
    <t>0000000015684788</t>
  </si>
  <si>
    <t>0000000025794248</t>
  </si>
  <si>
    <t>0000000022487614</t>
  </si>
  <si>
    <t>0000000018336807</t>
  </si>
  <si>
    <t>0000000029370871</t>
  </si>
  <si>
    <t>0000000028200895</t>
  </si>
  <si>
    <t>0000000025563780</t>
  </si>
  <si>
    <t>0000000024554919</t>
  </si>
  <si>
    <t>0000000022496983</t>
  </si>
  <si>
    <t>0000000026347518</t>
  </si>
  <si>
    <t>0000000022594000</t>
  </si>
  <si>
    <t>0000000026486835</t>
  </si>
  <si>
    <t>0000000020853041</t>
  </si>
  <si>
    <t>0000000024495062</t>
  </si>
  <si>
    <t>0000000023101767</t>
  </si>
  <si>
    <t>0000000019726586</t>
  </si>
  <si>
    <t>0000000022580341</t>
  </si>
  <si>
    <t>0000000019031760</t>
  </si>
  <si>
    <t>0000000021137040</t>
  </si>
  <si>
    <t>0000000027079499</t>
  </si>
  <si>
    <t>0000000027358132</t>
  </si>
  <si>
    <t>0000000027458500</t>
  </si>
  <si>
    <t>0000000027490983</t>
  </si>
  <si>
    <t>0000000027870875</t>
  </si>
  <si>
    <t>0000000027945118</t>
  </si>
  <si>
    <t>0000000028324631</t>
  </si>
  <si>
    <t>0000000029124503</t>
  </si>
  <si>
    <t>0000000013382600</t>
  </si>
  <si>
    <t>0000000013773102</t>
  </si>
  <si>
    <t>0000000014877842</t>
  </si>
  <si>
    <t>0000000015381759</t>
  </si>
  <si>
    <t>0000000015753795</t>
  </si>
  <si>
    <t>0000000015819338</t>
  </si>
  <si>
    <t>0000000016611215</t>
  </si>
  <si>
    <t>0000000018085086</t>
  </si>
  <si>
    <t>0000000018372373</t>
  </si>
  <si>
    <t>0000000018436654</t>
  </si>
  <si>
    <t>0000000018469385</t>
  </si>
  <si>
    <t>0000000018549378</t>
  </si>
  <si>
    <t>0000000018944775</t>
  </si>
  <si>
    <t>0000000019009028</t>
  </si>
  <si>
    <t>0000000019021179</t>
  </si>
  <si>
    <t>0000000019024472</t>
  </si>
  <si>
    <t>0000000019106910</t>
  </si>
  <si>
    <t>0000000019286942</t>
  </si>
  <si>
    <t>0000000019543709</t>
  </si>
  <si>
    <t>0000000019606100</t>
  </si>
  <si>
    <t>0000000019815213</t>
  </si>
  <si>
    <t>0000000020135141</t>
  </si>
  <si>
    <t>0000000020219341</t>
  </si>
  <si>
    <t>0000000020453378</t>
  </si>
  <si>
    <t>0000000020511900</t>
  </si>
  <si>
    <t>0000000020651966</t>
  </si>
  <si>
    <t>0000000020726999</t>
  </si>
  <si>
    <t>0000000020772405</t>
  </si>
  <si>
    <t>0000000020859723</t>
  </si>
  <si>
    <t>0000000021180860</t>
  </si>
  <si>
    <t>0000000021206912</t>
  </si>
  <si>
    <t>0000000021838666</t>
  </si>
  <si>
    <t>0000000022063083</t>
  </si>
  <si>
    <t>0000000022185863</t>
  </si>
  <si>
    <t>0000000022226605</t>
  </si>
  <si>
    <t>0000000022399490</t>
  </si>
  <si>
    <t>0000000022480065</t>
  </si>
  <si>
    <t>0000000022612248</t>
  </si>
  <si>
    <t>0000000022693446</t>
  </si>
  <si>
    <t>0000000022698140</t>
  </si>
  <si>
    <t>0000000022760603</t>
  </si>
  <si>
    <t>0000000024900376</t>
  </si>
  <si>
    <t>0000000025971390</t>
  </si>
  <si>
    <t>0000000023372766</t>
  </si>
  <si>
    <t>0000000023470792</t>
  </si>
  <si>
    <t>0000000024147522</t>
  </si>
  <si>
    <t>0000000024364891</t>
  </si>
  <si>
    <t>0000000024971612</t>
  </si>
  <si>
    <t>0000000025080523</t>
  </si>
  <si>
    <t>0000000025151411</t>
  </si>
  <si>
    <t>0000000025581454</t>
  </si>
  <si>
    <t>0000000026256659</t>
  </si>
  <si>
    <t>0000000026350591</t>
  </si>
  <si>
    <t>0000000026600301</t>
  </si>
  <si>
    <t>0000000027097856</t>
  </si>
  <si>
    <t>0000000027843014</t>
  </si>
  <si>
    <t>0000000027963326</t>
  </si>
  <si>
    <t>0000000028043241</t>
  </si>
  <si>
    <t>0000000028043952</t>
  </si>
  <si>
    <t>0000000028688695</t>
  </si>
  <si>
    <t>0000000028986605</t>
  </si>
  <si>
    <t>0000000029024416</t>
  </si>
  <si>
    <t>0000000029035762</t>
  </si>
  <si>
    <t>0000000029064558</t>
  </si>
  <si>
    <t>0000000029168857</t>
  </si>
  <si>
    <t>0000000029184052</t>
  </si>
  <si>
    <t>0000000024685457</t>
  </si>
  <si>
    <t>0000000026444834</t>
  </si>
  <si>
    <t>0000000027151301</t>
  </si>
  <si>
    <t>0000000027165714</t>
  </si>
  <si>
    <t>0000000028118537</t>
  </si>
  <si>
    <t>0000000027355752</t>
  </si>
  <si>
    <t>0000000028413789</t>
  </si>
  <si>
    <t>0000000034078632</t>
  </si>
  <si>
    <t>Chennai Super Kings ICICI Bank Credit Card</t>
  </si>
  <si>
    <t>ICICI Bank HPCL Super Saver Master Credit Card</t>
  </si>
  <si>
    <t>MakeMyTrip ICICI Bank Signature Credit Card</t>
  </si>
  <si>
    <t>ICICI Bank HPCL Super Saver RuPay Credit Card</t>
  </si>
  <si>
    <t>23RD OCT</t>
  </si>
  <si>
    <t>NO FOS</t>
  </si>
  <si>
    <t>CHARANTEJA/WANAPARTHY , 7993129892</t>
  </si>
  <si>
    <t>KISHORE/GTR , 8688104987</t>
  </si>
  <si>
    <t>PRASHANTH/PEDDAPALLI , 9182646612</t>
  </si>
  <si>
    <t>FO050</t>
  </si>
  <si>
    <t>FO109</t>
  </si>
  <si>
    <t>FO082</t>
  </si>
  <si>
    <t>customer given address visit customer not available informed to staff, trying by call // customer given address visit customer not available informed to staff, trying by call</t>
  </si>
  <si>
    <t xml:space="preserve">customer perment address in live customer contact 2nd PTP Sir </t>
  </si>
  <si>
    <t xml:space="preserve"> customer visit home address customer Live address not found ask no one not respond phone calls respond he submitted court notice</t>
  </si>
  <si>
    <t>customer visit home address customer Live present not available customer going to Hyderabad talk to phone PTP 2nd</t>
  </si>
  <si>
    <t xml:space="preserve">costumer present not available call answered call back today evening sir </t>
  </si>
  <si>
    <t>24TH O</t>
  </si>
  <si>
    <t>costumer present not available call answered PTP on 30th sir</t>
  </si>
  <si>
    <t xml:space="preserve">customer given address skip call not answering sir </t>
  </si>
  <si>
    <t xml:space="preserve"> customer address visit customer available customer ptp on Monday </t>
  </si>
  <si>
    <t>Visited customer given address Customer live customer given PTP 1st sir</t>
  </si>
  <si>
    <t>customer address visited customer not available customer phone PTP on 1st</t>
  </si>
  <si>
    <t xml:space="preserve">cm not available sir cm call answered will call back later sir </t>
  </si>
  <si>
    <t xml:space="preserve">cm door locked sir cm call not answering sir </t>
  </si>
  <si>
    <t>customer address visit, customer not available at this address, he is shifted to another address he answered call and he is saying his wife suffering by cancer soo he is facing financial issues, he is not interested to pay asking for settlement</t>
  </si>
  <si>
    <t>customer meet in nalgonda town and customer going to hyderabad urgently and ptp on Tomorrow</t>
  </si>
  <si>
    <t>customer shop adress visit and customer prasent going to village and customer ptp on Tuesday</t>
  </si>
  <si>
    <t xml:space="preserve">visited cus adrs sir 
cus ptp next month 6 sir </t>
  </si>
  <si>
    <t xml:space="preserve">payment collected 40000/- update confirm Sir </t>
  </si>
  <si>
    <t xml:space="preserve">CUSTOMER VISIT HOME ADDRESS PTP ON 5TH </t>
  </si>
  <si>
    <t>25TH O</t>
  </si>
  <si>
    <t>coustomer payment on 7th date</t>
  </si>
  <si>
    <t xml:space="preserve">customer visit home address customer Live present not available customer living at Nizamabad meet her mother inform to mother phone calls not respond  //  customer payment done update confirm Sir </t>
  </si>
  <si>
    <t xml:space="preserve">cus not there sir 
cus respond the call sir 
cus call back 1 hour sir </t>
  </si>
  <si>
    <t xml:space="preserve">USTOMER VISIT ADDRESS PTP 7TH </t>
  </si>
  <si>
    <t>Customer given permanent house address visited customer not available living  in sangareddy phone call not responding</t>
  </si>
  <si>
    <t>visited customer Rajahmundry address customer job resion //  Not available // Visted customer new address ptp. 8nov</t>
  </si>
  <si>
    <t>Customer commitment today evening 2 pm</t>
  </si>
  <si>
    <t>26TH O</t>
  </si>
  <si>
    <t>Customer PTP tomorrow sir</t>
  </si>
  <si>
    <t>Visited customer given House address customer was live at given address but present not available at home not responding phone calls left msg to customer mother will call back afternoon revisit again</t>
  </si>
  <si>
    <t xml:space="preserve"> customer not available customer calls not responding  // customer address visited customer PTP on 5th</t>
  </si>
  <si>
    <t>Met vth cust and given ptp on 30th</t>
  </si>
  <si>
    <t>customer not available waiting for locatio</t>
  </si>
  <si>
    <t xml:space="preserve">cm not available in the given address sir cm calls not answering sir  </t>
  </si>
  <si>
    <t>27TH O</t>
  </si>
  <si>
    <t xml:space="preserve">customer Shop Live customer contact 30th November PTP Sir </t>
  </si>
  <si>
    <t xml:space="preserve">cus shifted this adrs sir 
cus present live hyd </t>
  </si>
  <si>
    <t>Feedback coustomer payment on 1date</t>
  </si>
  <si>
    <t>Feedback coustomer payment on today evening</t>
  </si>
  <si>
    <t>ustomer given address visit customer not available informed to wife, call not answer</t>
  </si>
  <si>
    <t xml:space="preserve"> customer shop address customer shop close. customer contact not respond Sir </t>
  </si>
  <si>
    <t>customer PTP on 2nd</t>
  </si>
  <si>
    <t>customer shifted siddantam</t>
  </si>
  <si>
    <t xml:space="preserve">customer given residency address location visit but door lock and enquired with surrounding people they said they have left from the given residency address to another place and called to customer she is not responding to calls sir </t>
  </si>
  <si>
    <t>customer given residency address location area visit but customer door number was not found and called to customer he responded in call and said that he already shifted from the given address to another place sir and said that he will do the bill payment today EOD sir</t>
  </si>
  <si>
    <t>cus present live in hyd sir 
cys mobile switch off sir 
inform to his mother  // cus not at this adrs sir 
cus present live hyd 
cus not respond the call</t>
  </si>
  <si>
    <t xml:space="preserve"> Remarks: Customer giving house address visit ch out off station phone calls answering commitment 30th</t>
  </si>
  <si>
    <t>coustomer payment on 1st week</t>
  </si>
  <si>
    <t xml:space="preserve">customer address door lock call not answering sir  // ustomer address visit customer not  available door lock call not answering sir </t>
  </si>
  <si>
    <t>NOT AVAILABLE CUSTOMER VISIT HOME ADDRESS CUSTOMER LIVE DORE LOCK ASK THE NYBERS HE WAS GOING TO NANDED DUE TO HEALTH ISSUES LAST 2 MONTHS BACK CUSTOMER PHONE CALLS NOT RESPONDING  // Customer visit home address customer Live meet customer customer ask the some time due to financial issue and health condition not good customer submitted the Health Reports</t>
  </si>
  <si>
    <t>customer working address visit, customer not available, answered call and customer pay it by evening // customer working address visit customer available customer PTP TODAY EVENING</t>
  </si>
  <si>
    <t>custmar not AVALIBUL COLL RESPONDED given PTP 10 // VISITED customer house ADRESS CUSTMAR not AVALIBUL COLL RESPONDED given PTP 31</t>
  </si>
  <si>
    <t>customer paid STAB amount 5050</t>
  </si>
  <si>
    <t xml:space="preserve">customer parmat address in live customer wife customer contact 7th PTP Sir </t>
  </si>
  <si>
    <t>customer give ptp on Tuesday  //  customer give ptp on 30</t>
  </si>
  <si>
    <t>customer given address visit customer not available, door locked</t>
  </si>
  <si>
    <t xml:space="preserve"> customer given working address location visit it's live and customer respond in call and said that he will do the bill payment after 2 days sir  // customer given residency address location visit it's live and meet with customer he responded and said that he will do the bill payment today EOD sir  // re-visit to customer location but customer is not available at home his mother responded and said today evening they will pay the bill payment sir customer is not respond to calls sir </t>
  </si>
  <si>
    <t>4035620358090005</t>
  </si>
  <si>
    <t>4035620666723008</t>
  </si>
  <si>
    <t>4035620915226001</t>
  </si>
  <si>
    <t>4035621166342000</t>
  </si>
  <si>
    <t>4073520292073005</t>
  </si>
  <si>
    <t>4315812066125014</t>
  </si>
  <si>
    <t>4375510765534018</t>
  </si>
  <si>
    <t>4375515885050027</t>
  </si>
  <si>
    <t>4748461080962007</t>
  </si>
  <si>
    <t>4748464710290005</t>
  </si>
  <si>
    <t>4748464736000016</t>
  </si>
  <si>
    <t>4748464742046003</t>
  </si>
  <si>
    <t>4748468182840007</t>
  </si>
  <si>
    <t>4748468365627007</t>
  </si>
  <si>
    <t>4748468801695006</t>
  </si>
  <si>
    <t>4748469632007007</t>
  </si>
  <si>
    <t>MR SANE KRANTHI REDDY</t>
  </si>
  <si>
    <t>MR PENUGONDA NAGENDRA</t>
  </si>
  <si>
    <t>MR KHAJA ABDUL RAHEEM</t>
  </si>
  <si>
    <t>MR SETTYVARI RANGA SAI</t>
  </si>
  <si>
    <t>MR GUNDU SRIHARI</t>
  </si>
  <si>
    <t>MR Srikanth Chowturu</t>
  </si>
  <si>
    <t>MR. DASARI VENU</t>
  </si>
  <si>
    <t>MR. MAHESH NATTI</t>
  </si>
  <si>
    <t>MR DADIGUDEM ASHOK KUMAR</t>
  </si>
  <si>
    <t>MR CHENNOJU SHRIKANTH</t>
  </si>
  <si>
    <t>MR VANNAVARAPU LAVAN KUMAR</t>
  </si>
  <si>
    <t>MR ANJANEYULU POTLACHERUVA</t>
  </si>
  <si>
    <t>MR SAMPATH KUMAR KUCHANA</t>
  </si>
  <si>
    <t>MR UPPALAPATI VARMA</t>
  </si>
  <si>
    <t>MR B RAJESH</t>
  </si>
  <si>
    <t>MR KODALI VENKATA SAI</t>
  </si>
  <si>
    <t>6300042912</t>
  </si>
  <si>
    <t>9494912669</t>
  </si>
  <si>
    <t>8096079580</t>
  </si>
  <si>
    <t>9985045091</t>
  </si>
  <si>
    <t>9963538131</t>
  </si>
  <si>
    <t>9908736006</t>
  </si>
  <si>
    <t>9505880066</t>
  </si>
  <si>
    <t>7382543816</t>
  </si>
  <si>
    <t>9676720612</t>
  </si>
  <si>
    <t>9704243258</t>
  </si>
  <si>
    <t>9441847429</t>
  </si>
  <si>
    <t>9059913441</t>
  </si>
  <si>
    <t>7013302768</t>
  </si>
  <si>
    <t>8688207664</t>
  </si>
  <si>
    <t>9000964264</t>
  </si>
  <si>
    <t>7997651667</t>
  </si>
  <si>
    <t>5-62, SANEVARI PALLI, VANKARAKUNTA POST NALLAMADA MANDAL, ANANTHAPUR SANEVARI PALLI HINDUPUR ANP 515501</t>
  </si>
  <si>
    <t>4-194/6 PANCHAITHI VEEDI  WEST GODAVARI West Godavari ANP 534305</t>
  </si>
  <si>
    <t>14-270 LIG I 261 H B COLONY  MAHABUBNAGAR WANAPARTHY TNG 509209</t>
  </si>
  <si>
    <t>000 KRISHNAM SETTI PALLE VILLAGE  PRAKASAM NANDYAL ANP 523357</t>
  </si>
  <si>
    <t>HOUSE NUMBER11-19-7 WARANGAL KASHIBUGGA WARANGAL WARANGAL TNG 506002</t>
  </si>
  <si>
    <t>C-5 Sullurupeta Mandal D O S Colony Nellore GUDUR ANP 524121</t>
  </si>
  <si>
    <t>HNO C7VL QUATERS RDO BUNGALOW ACC MANCHERIAL  NEAR BUS STAND ADILABAD TNG 504208</t>
  </si>
  <si>
    <t>D.NO.4-157/B,GOKARAM POST,GOKARAM - NALGONDA - NALGONDA TNG 508252</t>
  </si>
  <si>
    <t>2-64,Ground fl,CHETLA POTHARAM Chetla P,Chetla Potharam Gadda Potharam Grammapachayat SANGAREDDY TNG 502319</t>
  </si>
  <si>
    <t>6-100 AREPALLY  WARANGAL WARANGAL TNG 506006</t>
  </si>
  <si>
    <t>2-108   KRISHNA VIJAYAWADA ANP 521402</t>
  </si>
  <si>
    <t>HNO 22-13-64 LALAPET GUNTUR NEAR NOOKALAMMA TEMPLE GUNTUR ANP 522003</t>
  </si>
  <si>
    <t>11-23-878 LB NAGAR WARANGAL OPP DMART WARANGAL TNG 506002</t>
  </si>
  <si>
    <t>8-103,FLAT NO 101 ANVITHA,PLAZA FLR,,JAM MICHETTU BAZAR,PRASADAMPADU,  OPP OLD KASTURI SCHOOL VIJAYAWADA ANP 521108</t>
  </si>
  <si>
    <t>5-167 KILCHIN PETA  ADONI KURNOOL ANP 518301</t>
  </si>
  <si>
    <t>2-285 B.C.COLONY SCHOOL BAZAR  MACHILIPATNAM ANP 521165</t>
  </si>
  <si>
    <t>KVR FINANCE PVT LTD 1-169-B-1, SBI EXTENSION COLONY MADANAPALLE MADANAPALLE MADANAPALLE ANP 517325</t>
  </si>
  <si>
    <t>TRANSCO ANDHRA PRADESH 220  KV SUB STATION APTRANSCO BOMMURU STATION APTRANSCO BOMMURU RAJAHMUNDRY ANP 533124</t>
  </si>
  <si>
    <t>GOVT HOSPITAL KOLLAPUR ROAD NO.2 MALLESWAR KOLLAPUR TELANAGANA KOLLAPUR TELANAGANA WANAPARTHY TNG 509102</t>
  </si>
  <si>
    <t>WHAM INFOCOM PVT LTD 7-87,GANDHINAGAR KALWAKURTHY ,NAGR KARNOOL KALWAKURTHY ,NAGR KARNOOL WANAPARTHY TNG 509324</t>
  </si>
  <si>
    <t>GOVERNMENT OF TELANGANA C/O GWMC,H NO 15-3-158,SAINATH ARCADE MG ROAD,SHERPURA,WARANGAL MG ROAD,SHERPURA,WARANGAL WARANGAL TNG 506002</t>
  </si>
  <si>
    <t>ISRO SDSC SHAR SRIHARIKOTA SPROB MIXING SRIHARIKOTA DO  DO DO  DO GUDUR ANP 524124</t>
  </si>
  <si>
    <t>GOVT OF TELANGANA REVENUE DEPARTMENT GOVT OF TELANGANA RDO OFFICE MANCHERIAL MANCHERIAL MANCHERIAL ADILABAD TNG 504208</t>
  </si>
  <si>
    <t>HYDERABAD METROPOLITAN DEVELOPMENT AUTHORITY HMDA COMPLEX TARNAKA SECUNDRABAD   Hyderabad TNG 500007</t>
  </si>
  <si>
    <t>TECH MAHINDRA LIMITED SURVEY NO 62/1A GANDIMAISAMMA DUNDIGAL GANDIMAISAMMA DUNDIGAL HYDERABAD TNG 500043</t>
  </si>
  <si>
    <t>NORTHERN POWER LIMITED KESHAPUR DUGGONDI NARSAMPET WARANGAL NARSAMPET WARANGAL WARANGAL TNG 506331</t>
  </si>
  <si>
    <t>OPERATIONAL ENERGY GROUP INDIA PVT LTD SY NO 34 RAMCO CEMENT KALVATALA KOLIMIGU NDLA KURNOOL NEAR RAMCO GUEST HOUSE NDLA KURNOOL NEAR RAMCO GUEST HOUSE NANDYAL ANP 518123</t>
  </si>
  <si>
    <t>V RETAIL PVT LTD CENTRO DNO 5-87/40/3 LAKSHMIPURAM MAIN ROAD GUNTUR LAKSHMIPURAM MAIN ROAD GUNTUR GUNTUR ANP 522004</t>
  </si>
  <si>
    <t>GREENWOOD HIGH SCHOOL HUNTERROAD WARANGAL WARANGAL WARANGAL TNG 506002</t>
  </si>
  <si>
    <t>KALPATARU POWER TRANSMISSION LIMITED 37/A 1 ANANDANILAYAM 2ND STREET , KAMARAJAPURAM 2ND STREET , KAMARAJAPURAM MADURAI TMN 625706</t>
  </si>
  <si>
    <t>BITCHE PADANAGAPPA SONS BITCHE PADANAGAPPA SON SHOP NO 22 MARKET YARD ADONI DIST KARNOOL MARKET YARD ADONI DIST KARNOOL KURNOOL ANP 518301</t>
  </si>
  <si>
    <t>GOVT OF AP VADLAMANU GRAMA SACHIVALAYAM VADLAMANU,AGIRIPALLI VADLAMANU,AGIRIPALLI VIJAYAWADA ANP 521211</t>
  </si>
  <si>
    <t>WEST GODAVARI</t>
  </si>
  <si>
    <t>MACHILIPATNAM</t>
  </si>
  <si>
    <t>0000000021372427</t>
  </si>
  <si>
    <t>0000000023460120</t>
  </si>
  <si>
    <t>0000000024942474</t>
  </si>
  <si>
    <t>0000000026207234</t>
  </si>
  <si>
    <t>0000000026937130</t>
  </si>
  <si>
    <t>0000000019872356</t>
  </si>
  <si>
    <t>0000000008789471</t>
  </si>
  <si>
    <t>0000000009733583</t>
  </si>
  <si>
    <t>0000000020883166</t>
  </si>
  <si>
    <t>0000000023713664</t>
  </si>
  <si>
    <t>0000000026715846</t>
  </si>
  <si>
    <t>0000000027963771</t>
  </si>
  <si>
    <t>0000000019318786</t>
  </si>
  <si>
    <t>0000000021389289</t>
  </si>
  <si>
    <t>0000000025471094</t>
  </si>
  <si>
    <t>0000000028799205</t>
  </si>
  <si>
    <t>27TH OCT</t>
  </si>
  <si>
    <t>customer given address visit customer met said have financial problems, asking time to settlement</t>
  </si>
  <si>
    <t>NAGARAJU/GTR , 6281603130</t>
  </si>
  <si>
    <t>SAITEJA/TS , 9398682012</t>
  </si>
  <si>
    <t>FO076</t>
  </si>
  <si>
    <t>SUMAN/PRODDATUR , 8008697833</t>
  </si>
  <si>
    <t xml:space="preserve">FO124 </t>
  </si>
  <si>
    <t>28TH O</t>
  </si>
  <si>
    <t>customer given address visit address not found, call not answer // ustomer given address visit customer address not found, trying by call // Customer office address visit customer not available call not answer</t>
  </si>
  <si>
    <t>customer work address visit customer not available and not lifting call also, revisit by evening // Customer adress visit and customer said payment done please check sir</t>
  </si>
  <si>
    <t>Customer address visited customer house door locked 
Customer calls not responding</t>
  </si>
  <si>
    <t>Customer adress visit and customer said his accounts all Cyber crime so customer prasent not interested to paid Amount</t>
  </si>
  <si>
    <t>House door locked and cust no respond to calls  // House door locked and cust no respond to calls // Revisited house door locked and cust no respond to calls</t>
  </si>
  <si>
    <t>Customer house shifted 
Customer calls not responding</t>
  </si>
  <si>
    <t>Customer house address visit customer house door lock customer mobile not responding</t>
  </si>
  <si>
    <t>customer given address visit customer not available informed to relatives // Customer given address visit customer not available informed to relatives, trying by call</t>
  </si>
  <si>
    <t>29TH O</t>
  </si>
  <si>
    <t xml:space="preserve">Customer given House address visited customer live but present not available at home door locked enquired with neighbour's customer went outside not responding phone calls will revisit again  // Customer given House address revisited customer not available at home will revisit again afternoon </t>
  </si>
  <si>
    <t xml:space="preserve"> customer shop close customer in contact 14th PTP Sir </t>
  </si>
  <si>
    <t>visited customer adress customer live in adress customer paid stab amount</t>
  </si>
  <si>
    <t xml:space="preserve">cus not at adrs sir 
cus went out side 
cus not respond the call 
inform to his wife sir  // cys ptp next month 5 sir </t>
  </si>
  <si>
    <t xml:space="preserve">ustomer permanent address in live customer contact 19th PTP Sir </t>
  </si>
  <si>
    <t xml:space="preserve">Customer out of station.not visited again sir // customer not available he is out of station.not responding for calls . visit again // customer not available give ptp by phone </t>
  </si>
  <si>
    <t xml:space="preserve">Cust not available cust staying in hyd and no respond to calls will update </t>
  </si>
  <si>
    <t xml:space="preserve">Customer not available and number switch off  // Customer not available and number switch off  // Customer not available and cust number not working  // Customer not available and number switch off  // Customer not available and number switch off </t>
  </si>
  <si>
    <t>Customer given address visit customer not available informed to relatives // Customer office address visit customer not available informed to relatives, trying by call //  customer given address visit customer not available informed to relatives, trying by call</t>
  </si>
  <si>
    <t>Customer given address visit customer not living in address information from neighbors, call not answer // customer given address visit customer not living in address, no information from neighbors, call not answer</t>
  </si>
  <si>
    <t xml:space="preserve">cm door locked sir cm call not answering sir // cus not respond the call 
taken kyc </t>
  </si>
  <si>
    <t>isited cus given adrs sir cus  not there neighbors told that name person not there sir taken kyc sir kyc details mobile number also not respond the call sir// 4748460916424000</t>
  </si>
  <si>
    <t xml:space="preserve">customer given residency address location area visit but customer door number was not found searching for customer door number was not found and customer not responding to calls sir  //  customer given residency address visit but customer has shifted from the given residency to present new address visit it's live but customer is not available at home his parents are responded and inform to them they are asking for time to pay the bill payment ., customer parents are not giving the customer alt number sir </t>
  </si>
  <si>
    <t xml:space="preserve">cm not available sir cm call answered cm said paid the amount last 3 days please check once sir </t>
  </si>
  <si>
    <t xml:space="preserve">cm not available sir cm call not answering sir  //  cm shifted from here sir cm call not answering sir </t>
  </si>
  <si>
    <t xml:space="preserve">customer given residency address location visit it's live but customer is not available at home his mother responded, saying that he has shifted from the residency address to another place 4 years back sir called to customer he is not responding to calls sir </t>
  </si>
  <si>
    <t>CAT I</t>
  </si>
  <si>
    <t>CAT J</t>
  </si>
  <si>
    <t>casutmor calls back  // Met customer //  Not available</t>
  </si>
  <si>
    <t>: calls back  //  Met customer // Not available</t>
  </si>
  <si>
    <t xml:space="preserve"> customer address visit customer not available at this address, he  is living in jubile hills and not responding to calls </t>
  </si>
  <si>
    <t>30TH O</t>
  </si>
  <si>
    <t>customer given address visit customer not living in address, skip from address call not answer // customer given address visit customer not living in address, skip from address call not answer</t>
  </si>
  <si>
    <t xml:space="preserve"> Remarks: Customer giving office address visit ch tomorrow</t>
  </si>
  <si>
    <t>Cust not available respond to call and given ptp on 02nd</t>
  </si>
  <si>
    <t xml:space="preserve">Customer not available and no respond to calls will update  // Visited to cust second address Cust not available and no respond to calls // House door locked and cust no respond to calls </t>
  </si>
  <si>
    <t>customer given address visit customer not available informed to relatives // customer given address visit customer not available informed to relatives // customer given address visit customer not available informed to relatives, trying by call</t>
  </si>
  <si>
    <t xml:space="preserve"> cm not available sir cm call not answering sir </t>
  </si>
  <si>
    <t xml:space="preserve">customer address visit customer not available skip address </t>
  </si>
  <si>
    <t xml:space="preserve">customer live customer PTP 4th </t>
  </si>
  <si>
    <t>customer live customer PTP 1st</t>
  </si>
  <si>
    <t xml:space="preserve">customer given permanent house address visited customer not available went to work phone call not responding </t>
  </si>
  <si>
    <t xml:space="preserve">customer house address not found mobile not responding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</si>
</sst>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200" formatCode="&quot;₹&quot;#,##0"/>
    <numFmt numFmtId="201" formatCode="0.0%"/>
  </numFmts>
  <fonts count="13" x14ac:knownFonts="1">
    <font>
      <sz val="11"/>
      <color theme="1"/>
      <name val="Calibri"/>
      <family val="2"/>
      <scheme val="minor"/>
    </font>
    <font>
      <b/>
      <sz val="11"/>
      <color theme="0"/>
      <name val="Calibri"/>
      <family val="2"/>
    </font>
    <font>
      <b/>
      <sz val="11"/>
      <name val="Calibri"/>
      <family val="2"/>
    </font>
    <font>
      <sz val="11"/>
      <color theme="1"/>
      <name val="Calibri"/>
      <family val="2"/>
      <scheme val="minor"/>
    </font>
    <font>
      <sz val="8"/>
      <name val="Calibri"/>
      <family val="2"/>
      <scheme val="minor"/>
    </font>
    <font>
      <sz val="11"/>
      <name val="Calibri"/>
      <family val="2"/>
      <scheme val="minor"/>
    </font>
    <font>
      <b/>
      <sz val="11"/>
      <color theme="1"/>
      <name val="Calibri"/>
      <family val="2"/>
      <scheme val="minor"/>
    </font>
    <font>
      <sz val="11"/>
      <color rgb="FF0F1B2D"/>
      <name val="Calibri"/>
      <family val="2"/>
      <scheme val="minor"/>
    </font>
    <font>
      <b/>
      <sz val="10"/>
      <color rgb="FFFFFFFF"/>
      <name val="Calibri"/>
      <family val="2"/>
    </font>
    <font>
      <b/>
      <sz val="10"/>
      <color rgb="FF0F2747"/>
      <name val="Calibri"/>
      <family val="2"/>
    </font>
    <font>
      <b/>
      <sz val="10"/>
      <color rgb="FF92400E"/>
      <name val="Calibri"/>
      <family val="2"/>
    </font>
    <font>
      <sz val="10"/>
      <color rgb="FF1F2937"/>
      <name val="Calibri"/>
      <family val="2"/>
    </font>
    <font>
      <b/>
      <sz val="11"/>
      <color rgb="FFFFFFFF"/>
      <name val="Calibri"/>
      <family val="2"/>
    </font>
  </fonts>
  <fills count="19">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5"/>
        <bgColor indexed="64"/>
      </patternFill>
    </fill>
    <fill>
      <patternFill patternType="solid">
        <fgColor theme="9"/>
        <bgColor indexed="64"/>
      </patternFill>
    </fill>
    <fill>
      <patternFill patternType="solid">
        <fgColor theme="4" tint="0.59999389629810485"/>
        <bgColor indexed="64"/>
      </patternFill>
    </fill>
    <fill>
      <patternFill patternType="solid">
        <fgColor rgb="FF002060"/>
        <bgColor indexed="64"/>
      </patternFill>
    </fill>
    <fill>
      <patternFill patternType="solid">
        <fgColor rgb="FF0F2747"/>
        <bgColor indexed="64"/>
      </patternFill>
    </fill>
    <fill>
      <patternFill patternType="solid">
        <fgColor rgb="FF1D4ED8"/>
        <bgColor indexed="64"/>
      </patternFill>
    </fill>
    <fill>
      <patternFill patternType="solid">
        <fgColor rgb="FFDCE6FA"/>
        <bgColor indexed="64"/>
      </patternFill>
    </fill>
    <fill>
      <patternFill patternType="solid">
        <fgColor rgb="FFFFF7D6"/>
        <bgColor indexed="64"/>
      </patternFill>
    </fill>
    <fill>
      <patternFill patternType="solid">
        <fgColor rgb="FF15803D"/>
        <bgColor indexed="64"/>
      </patternFill>
    </fill>
    <fill>
      <patternFill patternType="solid">
        <fgColor rgb="FFB91C1C"/>
        <bgColor indexed="64"/>
      </patternFill>
    </fill>
    <fill>
      <patternFill patternType="solid">
        <fgColor rgb="FFB45309"/>
        <bgColor indexed="64"/>
      </patternFill>
    </fill>
    <fill>
      <patternFill patternType="solid">
        <fgColor rgb="FF7C3AED"/>
        <bgColor indexed="64"/>
      </patternFill>
    </fill>
    <fill>
      <patternFill patternType="solid">
        <fgColor rgb="FF64748B"/>
        <bgColor indexed="64"/>
      </patternFill>
    </fill>
    <fill>
      <patternFill patternType="solid">
        <fgColor rgb="FF0369A1"/>
        <bgColor indexed="64"/>
      </patternFill>
    </fill>
    <fill>
      <patternFill patternType="solid">
        <fgColor rgb="FFEEF3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6DEEA"/>
      </left>
      <right style="thin">
        <color rgb="FFD6DEEA"/>
      </right>
      <top style="thin">
        <color rgb="FFD6DEEA"/>
      </top>
      <bottom style="thin">
        <color rgb="FFD6DEEA"/>
      </bottom>
      <diagonal/>
    </border>
  </borders>
  <cellStyleXfs count="2">
    <xf numFmtId="0" fontId="0" fillId="0" borderId="0"/>
    <xf numFmtId="9" fontId="3" fillId="0" borderId="0" applyFont="0" applyFill="0" applyBorder="0" applyAlignment="0" applyProtection="0"/>
  </cellStyleXfs>
  <cellXfs count="81">
    <xf numFmtId="0" fontId="0" fillId="0" borderId="0" xfId="0"/>
    <xf numFmtId="0" fontId="0" fillId="0" borderId="1" xfId="0" applyBorder="1" applyAlignment="1">
      <alignment horizontal="left" vertical="top"/>
    </xf>
    <xf numFmtId="0" fontId="0" fillId="0" borderId="0" xfId="0" applyAlignment="1">
      <alignment horizontal="center" vertical="center"/>
    </xf>
    <xf numFmtId="0" fontId="0" fillId="0" borderId="0" xfId="0" pivotButton="1" applyAlignment="1">
      <alignment horizontal="center" vertical="center"/>
    </xf>
    <xf numFmtId="10" fontId="0" fillId="0" borderId="0" xfId="0" applyNumberFormat="1" applyAlignment="1">
      <alignment horizontal="center" vertical="center"/>
    </xf>
    <xf numFmtId="0" fontId="0" fillId="5" borderId="0" xfId="0" applyFill="1" applyAlignment="1">
      <alignment horizontal="center" vertical="center"/>
    </xf>
    <xf numFmtId="0" fontId="0" fillId="6" borderId="0" xfId="0" applyFill="1" applyAlignment="1">
      <alignment horizontal="center" vertical="center"/>
    </xf>
    <xf numFmtId="10" fontId="0" fillId="6" borderId="0" xfId="0" applyNumberFormat="1" applyFill="1" applyAlignment="1">
      <alignment horizontal="center" vertical="center"/>
    </xf>
    <xf numFmtId="0" fontId="1" fillId="7" borderId="1" xfId="0" applyFont="1" applyFill="1" applyBorder="1" applyAlignment="1">
      <alignment horizontal="center" vertical="center"/>
    </xf>
    <xf numFmtId="0" fontId="2" fillId="3" borderId="1" xfId="0" applyFont="1" applyFill="1" applyBorder="1" applyAlignment="1">
      <alignment horizontal="center" vertical="center"/>
    </xf>
    <xf numFmtId="9" fontId="0" fillId="0" borderId="0" xfId="0" applyNumberFormat="1" applyAlignment="1">
      <alignment horizontal="center" vertical="center"/>
    </xf>
    <xf numFmtId="0" fontId="0" fillId="0" borderId="1" xfId="0" applyBorder="1" applyAlignment="1">
      <alignment horizontal="center" vertical="center"/>
    </xf>
    <xf numFmtId="10" fontId="0" fillId="0" borderId="0" xfId="1" applyNumberFormat="1" applyFont="1" applyAlignment="1">
      <alignment horizontal="center" vertical="center"/>
    </xf>
    <xf numFmtId="10" fontId="2" fillId="3" borderId="1" xfId="1" applyNumberFormat="1" applyFont="1" applyFill="1" applyBorder="1" applyAlignment="1">
      <alignment horizontal="center" vertical="center"/>
    </xf>
    <xf numFmtId="10" fontId="0" fillId="0" borderId="1" xfId="1" applyNumberFormat="1" applyFont="1" applyBorder="1" applyAlignment="1">
      <alignment horizontal="center" vertical="center"/>
    </xf>
    <xf numFmtId="1" fontId="0" fillId="0" borderId="1" xfId="0" applyNumberFormat="1" applyBorder="1" applyAlignment="1">
      <alignment horizontal="left" vertical="top"/>
    </xf>
    <xf numFmtId="1" fontId="5" fillId="0" borderId="0" xfId="0" applyNumberFormat="1" applyFont="1" applyAlignment="1">
      <alignment horizontal="left" vertical="top"/>
    </xf>
    <xf numFmtId="0" fontId="0" fillId="5" borderId="1" xfId="0" applyFill="1" applyBorder="1" applyAlignment="1">
      <alignment horizontal="center" vertical="center"/>
    </xf>
    <xf numFmtId="9" fontId="0" fillId="0" borderId="0" xfId="1" applyFont="1" applyAlignment="1">
      <alignment horizontal="center" vertical="center"/>
    </xf>
    <xf numFmtId="9" fontId="0" fillId="0" borderId="0" xfId="1" applyFont="1"/>
    <xf numFmtId="0" fontId="5" fillId="0" borderId="3" xfId="0" applyFont="1" applyBorder="1" applyAlignment="1">
      <alignment horizontal="left" vertical="top"/>
    </xf>
    <xf numFmtId="0" fontId="5" fillId="0" borderId="1" xfId="0" applyFont="1" applyBorder="1" applyAlignment="1">
      <alignment horizontal="left" vertical="top"/>
    </xf>
    <xf numFmtId="1" fontId="5" fillId="0" borderId="1" xfId="0" applyNumberFormat="1" applyFont="1" applyBorder="1" applyAlignment="1">
      <alignment horizontal="left" vertical="top"/>
    </xf>
    <xf numFmtId="14" fontId="5" fillId="0" borderId="1" xfId="0" applyNumberFormat="1" applyFont="1" applyBorder="1" applyAlignment="1">
      <alignment horizontal="left" vertical="top"/>
    </xf>
    <xf numFmtId="14" fontId="5" fillId="0" borderId="2" xfId="0" applyNumberFormat="1" applyFont="1" applyBorder="1" applyAlignment="1">
      <alignment horizontal="left" vertical="top"/>
    </xf>
    <xf numFmtId="0" fontId="0" fillId="0" borderId="1" xfId="0" pivotButton="1" applyBorder="1" applyAlignment="1">
      <alignment horizontal="center" vertical="center"/>
    </xf>
    <xf numFmtId="9" fontId="1" fillId="7" borderId="1" xfId="1" applyFont="1" applyFill="1" applyBorder="1" applyAlignment="1">
      <alignment horizontal="center" vertical="center"/>
    </xf>
    <xf numFmtId="9" fontId="0" fillId="0" borderId="1" xfId="1" applyFont="1" applyBorder="1" applyAlignment="1">
      <alignment horizontal="center" vertical="center"/>
    </xf>
    <xf numFmtId="0" fontId="5" fillId="0" borderId="7" xfId="0" applyFont="1" applyBorder="1" applyAlignment="1">
      <alignment horizontal="left" vertical="top"/>
    </xf>
    <xf numFmtId="0" fontId="0" fillId="0" borderId="0" xfId="0" applyAlignment="1">
      <alignment horizontal="left" vertical="top" wrapText="1"/>
    </xf>
    <xf numFmtId="0" fontId="0" fillId="0" borderId="0" xfId="0" applyAlignment="1">
      <alignment horizontal="center" vertical="center" wrapText="1"/>
    </xf>
    <xf numFmtId="0" fontId="0" fillId="0" borderId="1" xfId="0" applyBorder="1" applyAlignment="1">
      <alignment horizontal="center" vertical="center" wrapText="1"/>
    </xf>
    <xf numFmtId="0" fontId="5" fillId="0" borderId="1" xfId="0" applyFont="1" applyBorder="1" applyAlignment="1">
      <alignment horizontal="left" vertical="top" wrapText="1"/>
    </xf>
    <xf numFmtId="0" fontId="0" fillId="0" borderId="0" xfId="0" applyAlignment="1">
      <alignment vertical="top" wrapText="1"/>
    </xf>
    <xf numFmtId="1" fontId="0" fillId="3" borderId="1" xfId="0" applyNumberFormat="1" applyFill="1" applyBorder="1" applyAlignment="1">
      <alignment horizontal="left" vertical="top"/>
    </xf>
    <xf numFmtId="1" fontId="5" fillId="3" borderId="1" xfId="0" applyNumberFormat="1" applyFont="1" applyFill="1" applyBorder="1" applyAlignment="1">
      <alignment horizontal="left" vertical="top"/>
    </xf>
    <xf numFmtId="0" fontId="5" fillId="0" borderId="2" xfId="0" applyFont="1" applyBorder="1" applyAlignment="1">
      <alignment horizontal="left" vertical="top"/>
    </xf>
    <xf numFmtId="0" fontId="0" fillId="2" borderId="1" xfId="0" applyFill="1" applyBorder="1" applyAlignment="1">
      <alignment horizontal="left" vertical="top" wrapText="1"/>
    </xf>
    <xf numFmtId="0" fontId="0" fillId="2" borderId="1" xfId="0" applyFill="1" applyBorder="1" applyAlignment="1">
      <alignment horizontal="left" vertical="top"/>
    </xf>
    <xf numFmtId="0" fontId="0" fillId="4" borderId="1" xfId="0" applyFill="1" applyBorder="1" applyAlignment="1">
      <alignment horizontal="left" vertical="top"/>
    </xf>
    <xf numFmtId="0" fontId="0" fillId="5" borderId="1" xfId="0" applyFill="1" applyBorder="1" applyAlignment="1">
      <alignment horizontal="left" vertical="top"/>
    </xf>
    <xf numFmtId="0" fontId="0" fillId="3" borderId="1" xfId="0" applyFill="1" applyBorder="1" applyAlignment="1">
      <alignment horizontal="left" vertical="top"/>
    </xf>
    <xf numFmtId="0" fontId="6" fillId="0" borderId="0" xfId="0" applyFont="1" applyAlignment="1">
      <alignment horizontal="center" vertical="center"/>
    </xf>
    <xf numFmtId="10" fontId="6" fillId="0" borderId="0" xfId="0" applyNumberFormat="1" applyFont="1" applyAlignment="1">
      <alignment horizontal="center" vertical="center"/>
    </xf>
    <xf numFmtId="0" fontId="0" fillId="2" borderId="4" xfId="0" applyFill="1" applyBorder="1" applyAlignment="1">
      <alignment horizontal="left" vertical="top"/>
    </xf>
    <xf numFmtId="0" fontId="0" fillId="2" borderId="5" xfId="0" applyFill="1" applyBorder="1" applyAlignment="1">
      <alignment horizontal="left" vertical="top"/>
    </xf>
    <xf numFmtId="1" fontId="0" fillId="3" borderId="5" xfId="0" applyNumberFormat="1" applyFill="1" applyBorder="1" applyAlignment="1">
      <alignment horizontal="left" vertical="top"/>
    </xf>
    <xf numFmtId="0" fontId="0" fillId="4" borderId="5" xfId="0" applyFill="1" applyBorder="1" applyAlignment="1">
      <alignment horizontal="left" vertical="top"/>
    </xf>
    <xf numFmtId="0" fontId="0" fillId="5" borderId="5" xfId="0" applyFill="1" applyBorder="1" applyAlignment="1">
      <alignment horizontal="left" vertical="top"/>
    </xf>
    <xf numFmtId="0" fontId="0" fillId="3" borderId="5" xfId="0" applyFill="1" applyBorder="1" applyAlignment="1">
      <alignment horizontal="left" vertical="top"/>
    </xf>
    <xf numFmtId="0" fontId="0" fillId="2" borderId="6" xfId="0" applyFill="1" applyBorder="1" applyAlignment="1">
      <alignment horizontal="left" vertical="top"/>
    </xf>
    <xf numFmtId="0" fontId="0" fillId="0" borderId="3" xfId="0" applyBorder="1" applyAlignment="1">
      <alignment horizontal="left" vertical="top"/>
    </xf>
    <xf numFmtId="14" fontId="0" fillId="0" borderId="1" xfId="0" applyNumberFormat="1" applyBorder="1" applyAlignment="1">
      <alignment horizontal="left" vertical="top"/>
    </xf>
    <xf numFmtId="14" fontId="0" fillId="0" borderId="2" xfId="0" applyNumberFormat="1" applyBorder="1" applyAlignment="1">
      <alignment horizontal="left" vertical="top"/>
    </xf>
    <xf numFmtId="0" fontId="5" fillId="0" borderId="9" xfId="0" applyFont="1" applyBorder="1" applyAlignment="1">
      <alignment horizontal="left" vertical="top"/>
    </xf>
    <xf numFmtId="1" fontId="5" fillId="0" borderId="7" xfId="0" applyNumberFormat="1" applyFont="1" applyBorder="1" applyAlignment="1">
      <alignment horizontal="left" vertical="top"/>
    </xf>
    <xf numFmtId="1" fontId="5" fillId="3" borderId="7" xfId="0" applyNumberFormat="1" applyFont="1" applyFill="1" applyBorder="1" applyAlignment="1">
      <alignment horizontal="left" vertical="top"/>
    </xf>
    <xf numFmtId="14" fontId="5" fillId="0" borderId="7" xfId="0" applyNumberFormat="1" applyFont="1" applyBorder="1" applyAlignment="1">
      <alignment horizontal="left" vertical="top"/>
    </xf>
    <xf numFmtId="14" fontId="5" fillId="0" borderId="8" xfId="0" applyNumberFormat="1" applyFont="1" applyBorder="1" applyAlignment="1">
      <alignment horizontal="left" vertical="top"/>
    </xf>
    <xf numFmtId="0" fontId="7" fillId="0" borderId="1" xfId="0" applyFont="1" applyBorder="1"/>
    <xf numFmtId="0" fontId="5" fillId="0" borderId="0" xfId="0" applyFont="1"/>
    <xf numFmtId="0" fontId="0" fillId="0" borderId="0" xfId="0" applyNumberFormat="1" applyAlignment="1">
      <alignment horizontal="center" vertical="center"/>
    </xf>
    <xf numFmtId="0" fontId="0" fillId="0" borderId="1" xfId="0" applyNumberFormat="1" applyBorder="1" applyAlignment="1">
      <alignment horizontal="center" vertical="center"/>
    </xf>
    <xf numFmtId="0" fontId="8" fillId="8" borderId="10" xfId="0" applyNumberFormat="1" applyFont="1" applyFill="1" applyBorder="1" applyAlignment="1">
      <alignment horizontal="center" vertical="center" wrapText="1"/>
    </xf>
    <xf numFmtId="0" fontId="8" fillId="9" borderId="10" xfId="0" applyNumberFormat="1" applyFont="1" applyFill="1" applyBorder="1" applyAlignment="1">
      <alignment horizontal="center" vertical="center" wrapText="1"/>
    </xf>
    <xf numFmtId="0" fontId="8" fillId="12" borderId="10" xfId="0" applyNumberFormat="1" applyFont="1" applyFill="1" applyBorder="1" applyAlignment="1">
      <alignment horizontal="center" vertical="center" wrapText="1"/>
    </xf>
    <xf numFmtId="0" fontId="8" fillId="13" borderId="10" xfId="0" applyNumberFormat="1" applyFont="1" applyFill="1" applyBorder="1" applyAlignment="1">
      <alignment horizontal="center" vertical="center" wrapText="1"/>
    </xf>
    <xf numFmtId="0" fontId="8" fillId="14" borderId="10" xfId="0" applyNumberFormat="1" applyFont="1" applyFill="1" applyBorder="1" applyAlignment="1">
      <alignment horizontal="center" vertical="center" wrapText="1"/>
    </xf>
    <xf numFmtId="0" fontId="8" fillId="16" borderId="10" xfId="0" applyNumberFormat="1" applyFont="1" applyFill="1" applyBorder="1" applyAlignment="1">
      <alignment horizontal="center" vertical="center" wrapText="1"/>
    </xf>
    <xf numFmtId="0" fontId="8" fillId="17" borderId="10" xfId="0" applyNumberFormat="1" applyFont="1" applyFill="1" applyBorder="1" applyAlignment="1">
      <alignment horizontal="center" vertical="center" wrapText="1"/>
    </xf>
    <xf numFmtId="0" fontId="12" fillId="15" borderId="10" xfId="0" applyNumberFormat="1" applyFont="1" applyFill="1" applyBorder="1" applyAlignment="1">
      <alignment horizontal="left" vertical="center"/>
    </xf>
    <xf numFmtId="0" fontId="11" fillId="0" borderId="10" xfId="0" applyNumberFormat="1" applyFont="1" applyFill="1" applyBorder="1" applyAlignment="1">
      <alignment horizontal="left" vertical="center"/>
    </xf>
    <xf numFmtId="3" fontId="11" fillId="0" borderId="10" xfId="0" applyNumberFormat="1" applyFont="1" applyFill="1" applyBorder="1" applyAlignment="1">
      <alignment horizontal="center" vertical="center"/>
    </xf>
    <xf numFmtId="200" fontId="11" fillId="0" borderId="10" xfId="0" applyNumberFormat="1" applyFont="1" applyFill="1" applyBorder="1" applyAlignment="1">
      <alignment horizontal="center" vertical="center"/>
    </xf>
    <xf numFmtId="201" fontId="11" fillId="0" borderId="10" xfId="0" applyNumberFormat="1" applyFont="1" applyFill="1" applyBorder="1" applyAlignment="1">
      <alignment horizontal="center" vertical="center"/>
    </xf>
    <xf numFmtId="9" fontId="10" fillId="11" borderId="10" xfId="0" applyNumberFormat="1" applyFont="1" applyFill="1" applyBorder="1" applyAlignment="1">
      <alignment horizontal="center" vertical="center"/>
    </xf>
    <xf numFmtId="0" fontId="9" fillId="10" borderId="10" xfId="0" applyNumberFormat="1" applyFont="1" applyFill="1" applyBorder="1" applyAlignment="1">
      <alignment horizontal="left" vertical="center"/>
    </xf>
    <xf numFmtId="3" fontId="9" fillId="10" borderId="10" xfId="0" applyNumberFormat="1" applyFont="1" applyFill="1" applyBorder="1" applyAlignment="1">
      <alignment horizontal="center" vertical="center"/>
    </xf>
    <xf numFmtId="200" fontId="9" fillId="10" borderId="10" xfId="0" applyNumberFormat="1" applyFont="1" applyFill="1" applyBorder="1" applyAlignment="1">
      <alignment horizontal="center" vertical="center"/>
    </xf>
    <xf numFmtId="201" fontId="9" fillId="10" borderId="10" xfId="0" applyNumberFormat="1" applyFont="1" applyFill="1" applyBorder="1" applyAlignment="1">
      <alignment horizontal="center" vertical="center"/>
    </xf>
    <xf numFmtId="9" fontId="9" fillId="10" borderId="10" xfId="0" applyNumberFormat="1" applyFont="1" applyFill="1" applyBorder="1" applyAlignment="1">
      <alignment horizontal="center" vertical="center"/>
    </xf>
  </cellXfs>
  <cellStyles count="2">
    <cellStyle name="Normal" xfId="0" builtinId="0"/>
    <cellStyle name="Percent" xfId="1" builtinId="5"/>
  </cellStyles>
  <dxfs count="181">
    <dxf>
      <alignment vertical="center" indent="0" readingOrder="0"/>
    </dxf>
    <dxf>
      <alignment horizontal="center" readingOrder="0"/>
    </dxf>
    <dxf>
      <alignment vertic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patternFill>
      </fill>
    </dxf>
    <dxf>
      <fill>
        <patternFill patternType="solid">
          <bgColor theme="9"/>
        </patternFill>
      </fill>
    </dxf>
    <dxf>
      <alignment vertical="center" indent="0" readingOrder="0"/>
    </dxf>
    <dxf>
      <alignment horizontal="center" readingOrder="0"/>
    </dxf>
    <dxf>
      <alignment vertical="center" readingOrder="0"/>
    </dxf>
    <dxf>
      <alignment horizontal="center" readingOrder="0"/>
    </dxf>
    <dxf>
      <alignment vertical="center" indent="0" readingOrder="0"/>
    </dxf>
    <dxf>
      <alignment horizontal="center" readingOrder="0"/>
    </dxf>
    <dxf>
      <alignment vertical="center" readingOrder="0"/>
    </dxf>
    <dxf>
      <alignment horizontal="center" readingOrder="0"/>
    </dxf>
    <dxf>
      <fill>
        <patternFill patternType="solid">
          <bgColor theme="9"/>
        </patternFill>
      </fill>
    </dxf>
    <dxf>
      <numFmt numFmtId="164" formatCode="0.00,,"/>
    </dxf>
    <dxf>
      <numFmt numFmtId="0" formatCode="General"/>
    </dxf>
    <dxf>
      <alignment vertical="center" indent="0" readingOrder="0"/>
    </dxf>
    <dxf>
      <alignment horizontal="center" readingOrder="0"/>
    </dxf>
    <dxf>
      <fill>
        <patternFill patternType="solid">
          <bgColor theme="4" tint="0.59999389629810485"/>
        </patternFill>
      </fill>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4" tint="0.59999389629810485"/>
        </patternFill>
      </fill>
    </dxf>
    <dxf>
      <alignment vertical="center" readingOrder="0"/>
    </dxf>
    <dxf>
      <alignment horizontal="center" readingOrder="0"/>
    </dxf>
    <dxf>
      <alignment vertical="center" indent="0" readingOrder="0"/>
    </dxf>
    <dxf>
      <alignment horizontal="center" readingOrder="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numFmt numFmtId="14" formatCode="0.0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alignment vertical="center" readingOrder="0"/>
    </dxf>
    <dxf>
      <alignment horizontal="center" readingOrder="0"/>
    </dxf>
    <dxf>
      <numFmt numFmtId="14" formatCode="0.00%"/>
    </dxf>
    <dxf>
      <fill>
        <patternFill patternType="solid">
          <bgColor theme="9"/>
        </patternFill>
      </fill>
    </dxf>
    <dxf>
      <font>
        <b/>
      </font>
    </dxf>
    <dxf>
      <alignment vertical="center" indent="0" readingOrder="0"/>
    </dxf>
    <dxf>
      <alignment horizontal="center" readingOrder="0"/>
    </dxf>
    <dxf>
      <fill>
        <patternFill patternType="solid">
          <bgColor theme="4" tint="0.59999389629810485"/>
        </patternFill>
      </fill>
    </dxf>
    <dxf>
      <fill>
        <patternFill patternType="solid">
          <bgColor theme="9"/>
        </patternFill>
      </fill>
    </dxf>
    <dxf>
      <alignment vertical="center" readingOrder="0"/>
    </dxf>
    <dxf>
      <alignment horizontal="center" readingOrder="0"/>
    </dxf>
    <dxf>
      <font>
        <strike val="0"/>
        <outline val="0"/>
        <shadow val="0"/>
        <u val="none"/>
        <vertAlign val="baseline"/>
        <sz val="11"/>
        <name val="Calibri"/>
        <family val="2"/>
        <scheme val="minor"/>
      </font>
      <numFmt numFmtId="19" formatCode="dd/mm/yyyy"/>
      <alignment horizontal="left" vertical="top"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9" formatCode="dd/mm/yyyy"/>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numFmt numFmtId="0" formatCode="Genera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rgb="FF0F1B2D"/>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fill>
        <patternFill patternType="solid">
          <fgColor indexed="64"/>
          <bgColor rgb="FFFFFF0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dxf>
    <dxf>
      <border>
        <bottom style="thin">
          <color indexed="64"/>
        </bottom>
      </border>
    </dxf>
    <dxf>
      <font>
        <strike val="0"/>
        <outline val="0"/>
        <shadow val="0"/>
        <u val="none"/>
        <vertAlign val="baseline"/>
        <sz val="11"/>
        <name val="Calibri"/>
        <family val="2"/>
        <scheme val="minor"/>
      </font>
      <fill>
        <patternFill patternType="solid">
          <fgColor indexed="64"/>
          <bgColor rgb="FF92D050"/>
        </patternFill>
      </fill>
      <alignment horizontal="left" vertical="top" textRotation="0" wrapText="0" indent="0" justifyLastLine="0" shrinkToFit="0" readingOrder="0"/>
      <border diagonalUp="0" diagonalDown="0" outline="0">
        <left style="thin">
          <color indexed="64"/>
        </left>
        <right style="thin">
          <color indexed="64"/>
        </right>
        <top/>
        <bottom/>
      </border>
    </dxf>
    <dxf>
      <alignment horizontal="center" readingOrder="0"/>
    </dxf>
    <dxf>
      <alignment vertical="center" readingOrder="0"/>
    </dxf>
    <dxf>
      <fill>
        <patternFill patternType="solid">
          <bgColor theme="9"/>
        </patternFill>
      </fill>
    </dxf>
    <dxf>
      <fill>
        <patternFill patternType="solid">
          <bgColor theme="4" tint="0.59999389629810485"/>
        </patternFill>
      </fill>
    </dxf>
    <dxf>
      <alignment horizontal="center" readingOrder="0"/>
    </dxf>
    <dxf>
      <alignment vertical="center" indent="0" readingOrder="0"/>
    </dxf>
    <dxf>
      <font>
        <b/>
      </font>
    </dxf>
    <dxf>
      <fill>
        <patternFill patternType="solid">
          <bgColor theme="9"/>
        </patternFill>
      </fill>
    </dxf>
    <dxf>
      <numFmt numFmtId="14" formatCode="0.00%"/>
    </dxf>
    <dxf>
      <alignment horizontal="center" readingOrder="0"/>
    </dxf>
    <dxf>
      <alignment vertical="center" readingOrder="0"/>
    </dxf>
    <dxf>
      <alignment horizontal="center" readingOrder="0"/>
    </dxf>
    <dxf>
      <alignment vertical="center" indent="0" readingOrder="0"/>
    </dxf>
    <dxf>
      <alignment horizontal="center" readingOrder="0"/>
    </dxf>
    <dxf>
      <alignment vertical="center" readingOrder="0"/>
    </dxf>
    <dxf>
      <fill>
        <patternFill patternType="solid">
          <bgColor theme="9"/>
        </patternFill>
      </fill>
    </dxf>
    <dxf>
      <numFmt numFmtId="14" formatCode="0.00%"/>
    </dxf>
    <dxf>
      <alignment horizontal="center" readingOrder="0"/>
    </dxf>
    <dxf>
      <alignment vertical="center" indent="0" readingOrder="0"/>
    </dxf>
    <dxf>
      <alignment horizontal="center" readingOrder="0"/>
    </dxf>
    <dxf>
      <alignment vertical="center" readingOrder="0"/>
    </dxf>
    <dxf>
      <fill>
        <patternFill patternType="solid">
          <bgColor theme="9"/>
        </patternFill>
      </fill>
    </dxf>
    <dxf>
      <alignment horizontal="center" readingOrder="0"/>
    </dxf>
    <dxf>
      <alignment vertical="center" indent="0" readingOrder="0"/>
    </dxf>
    <dxf>
      <alignment horizontal="center" readingOrder="0"/>
    </dxf>
    <dxf>
      <alignment vertical="center" readingOrder="0"/>
    </dxf>
    <dxf>
      <fill>
        <patternFill patternType="solid">
          <bgColor theme="4" tint="0.59999389629810485"/>
        </patternFill>
      </fill>
    </dxf>
    <dxf>
      <alignment horizontal="center" readingOrder="0"/>
    </dxf>
    <dxf>
      <alignment vertical="center" indent="0" readingOrder="0"/>
    </dxf>
    <dxf>
      <alignment horizontal="center" readingOrder="0"/>
    </dxf>
    <dxf>
      <alignment vertical="center" readingOrder="0"/>
    </dxf>
    <dxf>
      <fill>
        <patternFill patternType="solid">
          <bgColor theme="9"/>
        </patternFill>
      </fill>
    </dxf>
    <dxf>
      <alignment horizontal="center" readingOrder="0"/>
    </dxf>
    <dxf>
      <alignment vertical="center" indent="0" readingOrder="0"/>
    </dxf>
    <dxf>
      <alignment horizontal="center" readingOrder="0"/>
    </dxf>
    <dxf>
      <alignment vertical="center" readingOrder="0"/>
    </dxf>
    <dxf>
      <fill>
        <patternFill patternType="solid">
          <bgColor theme="9"/>
        </patternFill>
      </fill>
    </dxf>
    <dxf>
      <fill>
        <patternFill patternType="solid">
          <bgColor theme="4" tint="0.59999389629810485"/>
        </patternFill>
      </fill>
    </dxf>
    <dxf>
      <alignment horizontal="center" readingOrder="0"/>
    </dxf>
    <dxf>
      <alignment vertical="center" indent="0" readingOrder="0"/>
    </dxf>
    <dxf>
      <numFmt numFmtId="0" formatCode="General"/>
    </dxf>
    <dxf>
      <numFmt numFmtId="164" formatCode="0.00,,"/>
    </dxf>
    <dxf>
      <fill>
        <patternFill patternType="solid">
          <bgColor theme="9"/>
        </patternFill>
      </fill>
    </dxf>
    <dxf>
      <alignment horizontal="center" readingOrder="0"/>
    </dxf>
    <dxf>
      <alignment vertical="center" readingOrder="0"/>
    </dxf>
    <dxf>
      <alignment horizontal="center" readingOrder="0"/>
    </dxf>
    <dxf>
      <alignment vertical="center" indent="0" readingOrder="0"/>
    </dxf>
    <dxf>
      <alignment horizontal="center" readingOrder="0"/>
    </dxf>
    <dxf>
      <alignment vertical="center" readingOrder="0"/>
    </dxf>
    <dxf>
      <alignment horizontal="center" readingOrder="0"/>
    </dxf>
    <dxf>
      <alignment vertical="center" indent="0" readingOrder="0"/>
    </dxf>
    <dxf>
      <fill>
        <patternFill patternType="solid">
          <bgColor theme="9"/>
        </patternFill>
      </fill>
    </dxf>
    <dxf>
      <fill>
        <patternFill patternType="solid">
          <bgColor theme="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vertical="center" readingOrder="0"/>
    </dxf>
    <dxf>
      <alignment horizontal="center" readingOrder="0"/>
    </dxf>
    <dxf>
      <alignment vertical="center" indent="0" readingOrder="0"/>
    </dxf>
    <dxf>
      <font>
        <color rgb="FF1F2937"/>
      </font>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FFFFFF"/>
      </font>
      <fill>
        <patternFill patternType="solid">
          <bgColor rgb="FF0F2747"/>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FFFFFF"/>
      </font>
      <fill>
        <patternFill patternType="solid">
          <bgColor rgb="FF0F2747"/>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0F2747"/>
      </font>
      <fill>
        <patternFill patternType="solid">
          <bgColor rgb="FFDCE6FA"/>
        </patternFill>
      </fill>
      <border>
        <left style="thin">
          <color rgb="FFD6DEEA"/>
        </left>
        <right style="thin">
          <color rgb="FFD6DEEA"/>
        </right>
        <top style="medium">
          <color rgb="FF0F2747"/>
        </top>
        <bottom style="thin">
          <color rgb="FFD6DEEA"/>
        </bottom>
        <vertical style="thin">
          <color rgb="FFD6DEEA"/>
        </vertical>
        <horizontal style="thin">
          <color rgb="FFD6DEEA"/>
        </horizontal>
      </border>
    </dxf>
    <dxf>
      <font>
        <b/>
        <color rgb="FF0F2747"/>
      </font>
      <fill>
        <patternFill patternType="solid">
          <bgColor rgb="FFEEF3FF"/>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0F2747"/>
      </font>
      <border>
        <left style="thin">
          <color rgb="FFD6DEEA"/>
        </left>
        <right style="thin">
          <color rgb="FFD6DEEA"/>
        </right>
        <top style="thin">
          <color rgb="FFD6DEEA"/>
        </top>
        <bottom style="thin">
          <color rgb="FFD6DEEA"/>
        </bottom>
        <vertical style="thin">
          <color rgb="FFD6DEEA"/>
        </vertical>
        <horizontal style="thin">
          <color rgb="FFD6DEEA"/>
        </horizontal>
      </border>
    </dxf>
    <dxf>
      <fill>
        <patternFill patternType="solid">
          <bgColor rgb="FFF7F9FC"/>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FFFFFF"/>
      </font>
      <fill>
        <patternFill patternType="solid">
          <bgColor rgb="FF1D4ED8"/>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FFFFFF"/>
      </font>
      <fill>
        <patternFill patternType="solid">
          <bgColor rgb="FF3B82F6"/>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0F2747"/>
      </font>
      <fill>
        <patternFill patternType="solid">
          <bgColor rgb="FFEEF3FF"/>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0F2747"/>
      </font>
      <fill>
        <patternFill patternType="solid">
          <bgColor rgb="FFEEF3FF"/>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0F2747"/>
      </font>
      <fill>
        <patternFill patternType="solid">
          <bgColor rgb="FFEEF3FF"/>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0F2747"/>
      </font>
      <fill>
        <patternFill patternType="solid">
          <bgColor rgb="FFEEF3FF"/>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92400E"/>
      </font>
      <fill>
        <patternFill patternType="solid">
          <bgColor rgb="FFFFF7D6"/>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s>
  <tableStyles count="1" defaultTableStyle="TableStyleMedium2" defaultPivotStyle="PivotStyleLight16">
    <tableStyle name="RecoverIQ Pivot" table="0" count="14">
      <tableStyleElement type="wholeTable" dxfId="167"/>
      <tableStyleElement type="headerRow" dxfId="168"/>
      <tableStyleElement type="firstHeaderCell" dxfId="169"/>
      <tableStyleElement type="totalRow" dxfId="170"/>
      <tableStyleElement type="lastColumn" dxfId="171"/>
      <tableStyleElement type="firstColumn" dxfId="172"/>
      <tableStyleElement type="firstRowStripe" dxfId="173"/>
      <tableStyleElement type="firstColumnSubheading" dxfId="174"/>
      <tableStyleElement type="secondColumnSubheading" dxfId="175"/>
      <tableStyleElement type="firstSubtotalColumn" dxfId="176"/>
      <tableStyleElement type="firstRowSubheading" dxfId="177"/>
      <tableStyleElement type="firstSubtotalRow" dxfId="178"/>
      <tableStyleElement type="pageFieldLabels" dxfId="179"/>
      <tableStyleElement type="pageFieldValues" dxfId="18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7</xdr:col>
      <xdr:colOff>217954</xdr:colOff>
      <xdr:row>0</xdr:row>
      <xdr:rowOff>0</xdr:rowOff>
    </xdr:from>
    <xdr:to>
      <xdr:col>8</xdr:col>
      <xdr:colOff>156882</xdr:colOff>
      <xdr:row>19</xdr:row>
      <xdr:rowOff>33618</xdr:rowOff>
    </xdr:to>
    <mc:AlternateContent xmlns:mc="http://schemas.openxmlformats.org/markup-compatibility/2006" xmlns:a14="http://schemas.microsoft.com/office/drawing/2010/main">
      <mc:Choice Requires="a14">
        <xdr:graphicFrame macro="">
          <xdr:nvGraphicFramePr>
            <xdr:cNvPr id="2" name="CYC">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CYC"/>
            </a:graphicData>
          </a:graphic>
        </xdr:graphicFrame>
      </mc:Choice>
      <mc:Fallback xmlns="">
        <xdr:sp macro="" textlink="">
          <xdr:nvSpPr>
            <xdr:cNvPr id="0" name=""/>
            <xdr:cNvSpPr>
              <a:spLocks noTextEdit="1"/>
            </xdr:cNvSpPr>
          </xdr:nvSpPr>
          <xdr:spPr>
            <a:xfrm>
              <a:off x="5641601" y="0"/>
              <a:ext cx="958663" cy="36531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289810</xdr:colOff>
      <xdr:row>20</xdr:row>
      <xdr:rowOff>35158</xdr:rowOff>
    </xdr:from>
    <xdr:to>
      <xdr:col>7</xdr:col>
      <xdr:colOff>896608</xdr:colOff>
      <xdr:row>29</xdr:row>
      <xdr:rowOff>6583</xdr:rowOff>
    </xdr:to>
    <mc:AlternateContent xmlns:mc="http://schemas.openxmlformats.org/markup-compatibility/2006" xmlns:a14="http://schemas.microsoft.com/office/drawing/2010/main">
      <mc:Choice Requires="a14">
        <xdr:graphicFrame macro="">
          <xdr:nvGraphicFramePr>
            <xdr:cNvPr id="4" name="CALLER">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CALLER"/>
            </a:graphicData>
          </a:graphic>
        </xdr:graphicFrame>
      </mc:Choice>
      <mc:Fallback xmlns="">
        <xdr:sp macro="" textlink="">
          <xdr:nvSpPr>
            <xdr:cNvPr id="0" name=""/>
            <xdr:cNvSpPr>
              <a:spLocks noTextEdit="1"/>
            </xdr:cNvSpPr>
          </xdr:nvSpPr>
          <xdr:spPr>
            <a:xfrm>
              <a:off x="5242810" y="3845158"/>
              <a:ext cx="1010210" cy="1685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245269</xdr:colOff>
      <xdr:row>13</xdr:row>
      <xdr:rowOff>157163</xdr:rowOff>
    </xdr:from>
    <xdr:to>
      <xdr:col>8</xdr:col>
      <xdr:colOff>1257300</xdr:colOff>
      <xdr:row>25</xdr:row>
      <xdr:rowOff>40481</xdr:rowOff>
    </xdr:to>
    <mc:AlternateContent xmlns:mc="http://schemas.openxmlformats.org/markup-compatibility/2006" xmlns:a14="http://schemas.microsoft.com/office/drawing/2010/main">
      <mc:Choice Requires="a14">
        <xdr:graphicFrame macro="">
          <xdr:nvGraphicFramePr>
            <xdr:cNvPr id="5" name="AREA">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6893719" y="2633663"/>
              <a:ext cx="1012031" cy="2169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382681</xdr:colOff>
      <xdr:row>27</xdr:row>
      <xdr:rowOff>35859</xdr:rowOff>
    </xdr:from>
    <xdr:to>
      <xdr:col>9</xdr:col>
      <xdr:colOff>1865</xdr:colOff>
      <xdr:row>40</xdr:row>
      <xdr:rowOff>100947</xdr:rowOff>
    </xdr:to>
    <mc:AlternateContent xmlns:mc="http://schemas.openxmlformats.org/markup-compatibility/2006" xmlns:a14="http://schemas.microsoft.com/office/drawing/2010/main">
      <mc:Choice Requires="a14">
        <xdr:graphicFrame macro="">
          <xdr:nvGraphicFramePr>
            <xdr:cNvPr id="6" name="FOS NAME">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FOS NAME"/>
            </a:graphicData>
          </a:graphic>
        </xdr:graphicFrame>
      </mc:Choice>
      <mc:Fallback xmlns="">
        <xdr:sp macro="" textlink="">
          <xdr:nvSpPr>
            <xdr:cNvPr id="0" name=""/>
            <xdr:cNvSpPr>
              <a:spLocks noTextEdit="1"/>
            </xdr:cNvSpPr>
          </xdr:nvSpPr>
          <xdr:spPr>
            <a:xfrm>
              <a:off x="7285505" y="5179359"/>
              <a:ext cx="1101771" cy="2541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73</xdr:col>
      <xdr:colOff>609600</xdr:colOff>
      <xdr:row>16</xdr:row>
      <xdr:rowOff>133350</xdr:rowOff>
    </xdr:from>
    <xdr:to>
      <xdr:col>76</xdr:col>
      <xdr:colOff>438150</xdr:colOff>
      <xdr:row>29</xdr:row>
      <xdr:rowOff>180975</xdr:rowOff>
    </xdr:to>
    <mc:AlternateContent xmlns:mc="http://schemas.openxmlformats.org/markup-compatibility/2006" xmlns:a14="http://schemas.microsoft.com/office/drawing/2010/main">
      <mc:Choice Requires="a14">
        <xdr:graphicFrame macro="">
          <xdr:nvGraphicFramePr>
            <xdr:cNvPr id="7" name="DATE">
              <a:extLst>
                <a:ext uri="{FF2B5EF4-FFF2-40B4-BE49-F238E27FC236}">
                  <a16:creationId xmlns:a16="http://schemas.microsoft.com/office/drawing/2014/main" id="{1B880778-CF6B-0B32-6FA8-1088AA93468D}"/>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64579500" y="3181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73</xdr:col>
      <xdr:colOff>447675</xdr:colOff>
      <xdr:row>2</xdr:row>
      <xdr:rowOff>180975</xdr:rowOff>
    </xdr:from>
    <xdr:to>
      <xdr:col>76</xdr:col>
      <xdr:colOff>276225</xdr:colOff>
      <xdr:row>16</xdr:row>
      <xdr:rowOff>38100</xdr:rowOff>
    </xdr:to>
    <mc:AlternateContent xmlns:mc="http://schemas.openxmlformats.org/markup-compatibility/2006" xmlns:a14="http://schemas.microsoft.com/office/drawing/2010/main">
      <mc:Choice Requires="a14">
        <xdr:graphicFrame macro="">
          <xdr:nvGraphicFramePr>
            <xdr:cNvPr id="8" name="V DATE">
              <a:extLst>
                <a:ext uri="{FF2B5EF4-FFF2-40B4-BE49-F238E27FC236}">
                  <a16:creationId xmlns:a16="http://schemas.microsoft.com/office/drawing/2014/main" id="{8EF68625-C7DE-71C3-CA0B-0B38E2231DF8}"/>
                </a:ext>
              </a:extLst>
            </xdr:cNvPr>
            <xdr:cNvGraphicFramePr/>
          </xdr:nvGraphicFramePr>
          <xdr:xfrm>
            <a:off x="0" y="0"/>
            <a:ext cx="0" cy="0"/>
          </xdr:xfrm>
          <a:graphic>
            <a:graphicData uri="http://schemas.microsoft.com/office/drawing/2010/slicer">
              <sle:slicer xmlns:sle="http://schemas.microsoft.com/office/drawing/2010/slicer" name="V DATE"/>
            </a:graphicData>
          </a:graphic>
        </xdr:graphicFrame>
      </mc:Choice>
      <mc:Fallback xmlns="">
        <xdr:sp macro="" textlink="">
          <xdr:nvSpPr>
            <xdr:cNvPr id="0" name=""/>
            <xdr:cNvSpPr>
              <a:spLocks noTextEdit="1"/>
            </xdr:cNvSpPr>
          </xdr:nvSpPr>
          <xdr:spPr>
            <a:xfrm>
              <a:off x="64274700" y="561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CT''26/DR%20ICICI%20X-BKT%20OCT''26.xlsx" TargetMode="External"/><Relationship Id="rId2" Type="http://schemas.openxmlformats.org/officeDocument/2006/relationships/externalLinkPath" Target="file:///D:\SRAVANI%20OFFICE\sravani%2012-08-2024\sravani%20updated\ICICI\CC\ICICI%20DR\2026\OCT''26\DR%20ICICI%20X-BKT%20OCT''26.xlsx" TargetMode="External"/><Relationship Id="rId1" Type="http://schemas.openxmlformats.org/officeDocument/2006/relationships/externalLinkPath" Target="/SRAVANI%20OFFICE/sravani%2012-08-2024/sravani%20updated/ICICI/CC/ICICI%20DR/2026/OCT''26/DR%20ICICI%20X-BKT%20OCT''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IS"/>
      <sheetName val="MAIN"/>
      <sheetName val="RE"/>
      <sheetName val="Sheet2"/>
      <sheetName val="file"/>
      <sheetName val="DR ICICI X-BKT OCT''26"/>
    </sheetNames>
    <sheetDataSet>
      <sheetData sheetId="0" refreshError="1"/>
      <sheetData sheetId="1"/>
      <sheetData sheetId="2" refreshError="1"/>
      <sheetData sheetId="3" refreshError="1"/>
      <sheetData sheetId="4" refreshError="1"/>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refreshOnLoad="1" mc:Ignorable="xr" r:id="rId1" refreshedBy="SRAVS" refreshedDate="46325.716380902777" createdVersion="4" refreshedVersion="8" minRefreshableVersion="3" recordCount="268" xr:uid="{00000000-000A-0000-FFFF-FFFF18000000}">
  <cacheSource type="worksheet">
    <worksheetSource name="Table1"/>
  </cacheSource>
  <cacheFields count="46">
    <cacheField name="ACC.NO" numFmtId="0">
      <sharedItems/>
    </cacheField>
    <cacheField name="NAMES" numFmtId="0">
      <sharedItems/>
    </cacheField>
    <cacheField name="O/N" numFmtId="0">
      <sharedItems/>
    </cacheField>
    <cacheField name="CYC" numFmtId="0">
      <sharedItems containsSemiMixedTypes="0" containsString="0" containsNumber="1" containsInteger="1" minValue="1" maxValue="30" count="28">
        <n v="1"/>
        <n v="2"/>
        <n v="3"/>
        <n v="5"/>
        <n v="7"/>
        <n v="8"/>
        <n v="11"/>
        <n v="12"/>
        <n v="14"/>
        <n v="15"/>
        <n v="16"/>
        <n v="18"/>
        <n v="20"/>
        <n v="21"/>
        <n v="24"/>
        <n v="25"/>
        <n v="23"/>
        <n v="13" u="1"/>
        <n v="19" u="1"/>
        <n v="28" u="1"/>
        <n v="4" u="1"/>
        <n v="10" u="1"/>
        <n v="17" u="1"/>
        <n v="22" u="1"/>
        <n v="26" u="1"/>
        <n v="27" u="1"/>
        <n v="30" u="1"/>
        <n v="6" u="1"/>
      </sharedItems>
    </cacheField>
    <cacheField name="MOBILE" numFmtId="0">
      <sharedItems/>
    </cacheField>
    <cacheField name="BLOCK" numFmtId="0">
      <sharedItems/>
    </cacheField>
    <cacheField name="EXCESS LIMIT" numFmtId="1">
      <sharedItems containsSemiMixedTypes="0" containsString="0" containsNumber="1" minValue="-314115.71000000002" maxValue="1588962.75"/>
    </cacheField>
    <cacheField name="CREDIT" numFmtId="0">
      <sharedItems containsSemiMixedTypes="0" containsString="0" containsNumber="1" containsInteger="1" minValue="20000" maxValue="787000"/>
    </cacheField>
    <cacheField name="ENR" numFmtId="1">
      <sharedItems containsSemiMixedTypes="0" containsString="0" containsNumber="1" minValue="22130.53" maxValue="2288962.75"/>
    </cacheField>
    <cacheField name="EMI 0/S" numFmtId="1">
      <sharedItems containsMixedTypes="1" containsNumber="1" minValue="899.54" maxValue="1759975.61"/>
    </cacheField>
    <cacheField name="CURR_BAL" numFmtId="1">
      <sharedItems containsSemiMixedTypes="0" containsString="0" containsNumber="1" minValue="7783.59" maxValue="556407.03"/>
    </cacheField>
    <cacheField name="PRI" numFmtId="1">
      <sharedItems containsSemiMixedTypes="0" containsString="0" containsNumber="1" minValue="5653.63" maxValue="499830"/>
    </cacheField>
    <cacheField name="NORM" numFmtId="0">
      <sharedItems containsSemiMixedTypes="0" containsString="0" containsNumber="1" minValue="2970" maxValue="257720"/>
    </cacheField>
    <cacheField name="STAB" numFmtId="1">
      <sharedItems containsSemiMixedTypes="0" containsString="0" containsNumber="1" minValue="100" maxValue="132940"/>
    </cacheField>
    <cacheField name="PAID/UNPAID" numFmtId="0">
      <sharedItems count="2">
        <s v="PAID"/>
        <s v="UNPAID"/>
      </sharedItems>
    </cacheField>
    <cacheField name="STATUS" numFmtId="0">
      <sharedItems count="4">
        <s v="NORM"/>
        <s v="RF"/>
        <s v="STAB"/>
        <s v="S" u="1"/>
      </sharedItems>
    </cacheField>
    <cacheField name="AMOUNT" numFmtId="1">
      <sharedItems containsSemiMixedTypes="0" containsString="0" containsNumber="1" minValue="0" maxValue="300680"/>
    </cacheField>
    <cacheField name="PENDING" numFmtId="1">
      <sharedItems containsSemiMixedTypes="0" containsString="0" containsNumber="1" minValue="-225767.39" maxValue="132940"/>
    </cacheField>
    <cacheField name="DATE" numFmtId="0">
      <sharedItems containsMixedTypes="1" containsNumber="1" containsInteger="1" minValue="0" maxValue="0" count="18">
        <s v="20TH O"/>
        <n v="0"/>
        <s v="14TH O"/>
        <s v="22ND O"/>
        <s v="29TH O"/>
        <s v="21ST O"/>
        <s v="8TH O"/>
        <s v="30TH O"/>
        <s v="13TH O"/>
        <s v="12TH O"/>
        <s v="18TH O"/>
        <s v="27TH O"/>
        <s v="26TH O"/>
        <s v="17TH O"/>
        <s v="23RD O"/>
        <s v="16TH O"/>
        <s v="15TH O"/>
        <s v="24TH O"/>
      </sharedItems>
    </cacheField>
    <cacheField name="DONE BY" numFmtId="0">
      <sharedItems/>
    </cacheField>
    <cacheField name="MODE" numFmtId="0">
      <sharedItems containsSemiMixedTypes="0" containsString="0" containsNumber="1" containsInteger="1" minValue="0" maxValue="0"/>
    </cacheField>
    <cacheField name="TL ID" numFmtId="0">
      <sharedItems/>
    </cacheField>
    <cacheField name="CALLER" numFmtId="0">
      <sharedItems containsBlank="1" count="17">
        <s v="SAMEERA"/>
        <s v="DEVI"/>
        <s v="BVR"/>
        <s v="JHANSI"/>
        <m u="1"/>
        <s v="RENU" u="1"/>
        <s v="SAI" u="1"/>
        <s v="SUDHA" u="1"/>
        <s v="L" u="1"/>
        <s v="VARSHA" u="1"/>
        <s v="DURGA SIR" u="1"/>
        <s v="SUDHAKAR" u="1"/>
        <s v="MANI" u="1"/>
        <s v="RAMANA SIR" u="1"/>
        <s v="SRAVANI" u="1"/>
        <s v="RENUKA" u="1"/>
        <s v="AYESHA" u="1"/>
      </sharedItems>
    </cacheField>
    <cacheField name="CALLER ID" numFmtId="0">
      <sharedItems/>
    </cacheField>
    <cacheField name="CAT ALLO" numFmtId="0">
      <sharedItems containsMixedTypes="1" containsNumber="1" containsInteger="1" minValue="0" maxValue="0" count="3">
        <s v="CAT J"/>
        <s v="CAT I"/>
        <n v="0" u="1"/>
      </sharedItems>
    </cacheField>
    <cacheField name="ADD 1" numFmtId="0">
      <sharedItems/>
    </cacheField>
    <cacheField name="ADD 2" numFmtId="0">
      <sharedItems/>
    </cacheField>
    <cacheField name="LOCATION" numFmtId="0">
      <sharedItems/>
    </cacheField>
    <cacheField name="AREA" numFmtId="0">
      <sharedItems containsBlank="1" count="13">
        <s v="KDP"/>
        <s v="GTR"/>
        <s v="TS"/>
        <s v="EG&amp;WG"/>
        <s v="VJW"/>
        <s v="NLR"/>
        <s v="OGL"/>
        <m u="1"/>
        <s v="VSP" u="1"/>
        <s v="NL" u="1"/>
        <s v="DPR" u="1"/>
        <s v="TC" u="1"/>
        <s v="MANI" u="1"/>
      </sharedItems>
    </cacheField>
    <cacheField name="FOS NAME" numFmtId="0">
      <sharedItems containsBlank="1" count="148">
        <s v="SEKAR/TIRUPATI , 8500444601"/>
        <s v="SRINU/GTR , 9704963641"/>
        <s v="SAITEJA/TS , 9398682012"/>
        <s v="LIKITH/KHAMMAM , 7981063429"/>
        <s v="SRIKANTH/NALGONDA , 9603185469"/>
        <s v="UDAY/KAKINADA , 9032220101"/>
        <s v="SRIKANTH/ANANTHAPUR , 7569476738"/>
        <s v="SUDHAKAR/VJW , 8179698034"/>
        <s v="PRASHANTH/TS , 9652386391"/>
        <s v="PRAVEEN/ADILABAD , 8639562425"/>
        <s v="INAMUL/GTR , 8367073588"/>
        <s v="B RANJITH/BADRACHALAM , 9154994666"/>
        <s v="KIRAN/CHITTOOR , 9440471742"/>
        <s v="SRINIVAS/SURYAPET , 7989908024"/>
        <s v="SRINIU/WEST , 9154934446"/>
        <s v="VALLI/ADONI , 9963854572"/>
        <s v="VAMSI/KDP , 9573098703"/>
        <s v="KOTI/MACHILIPATNAM , 8247838027"/>
        <s v="SAGAR/WARANGAL , 7396297747"/>
        <s v="TIRMURTHULU/TADEPALLIGUDEM , 9542330423"/>
        <s v="MADHU/NANDYAL , 9110727784"/>
        <s v="TULASI/NELLORE , 8897907043"/>
        <s v="SWAGATH/ADILABAD , 9666210999"/>
        <s v="SUMAN/PRODDATUR , 8008697833"/>
        <s v="ONGOLE"/>
        <s v="RAJKUMAR/MEDAK , 8333040628"/>
        <s v="MAHESH/NIZAMABAD , 9177861515"/>
        <s v="NARESH/NALGONDA , 9640034563"/>
        <s v="SANTHOSH/KARIMNAGAR , 9963176593"/>
        <s v="KUMAR/ELLURU , 6305251195"/>
        <s v="RAHUL/TS , 9642288392"/>
        <s v="RANJITH/TS , 7794980652"/>
        <s v="NAGARAJU/GTR , 6281603130"/>
        <s v="ARAVIND/GTR , 9154094854"/>
        <s v="VIJAYBABU/GTR , 9885269778"/>
        <s v="RABBANI/KURNOOL , 9052323785"/>
        <s v="RAKESH/WEST , 9121493562"/>
        <s v="KISHORE/GTR , 8688104987"/>
        <s v="CHARANTEJA/WANAPARTHY , 7993129892"/>
        <s v="PRASHANTH/PEDDAPALLI , 9182646612"/>
        <s v="NO FOS"/>
        <s v="TUNI"/>
        <s v="NAGARAJU/TS , 6281603130" u="1"/>
        <s v="PRODDATUR" u="1"/>
        <s v="PRUDHVI/GTR , 8185079989" u="1"/>
        <m u="1"/>
        <s v="PRIYABANDU/OOGOLE , 7287894350" u="1"/>
        <s v="SIVARAM/MARKAPURAM , 9912893213" u="1"/>
        <s v="SATISH/HINDUPUR , 6281697139" u="1"/>
        <s v="NAYAB/PRODDATUR , 6305351203" u="1"/>
        <s v="SUDHAKAR/VJW , 7893124290" u="1"/>
        <s v="MADHU/NANDYAL , 9550812050" u="1"/>
        <s v="SRIKANTH/ANANTHAPUR , 9182336153" u="1"/>
        <s v="B RANJITH/SURYAPET , 9154994666" u="1"/>
        <s v="KARTHIK/BADRACHALAM , 8688997363" u="1"/>
        <s v="MANAIH/SANGAREDDY , 9440683493" u="1"/>
        <s v="SUBBU ,  9985844576" u="1"/>
        <s v="HUSSAIN/GTR , 9581868329" u="1"/>
        <s v="KRISHNA/EAST , 8985743534" u="1"/>
        <s v="MUJEEB/CHITTOOR , 6281127494" u="1"/>
        <s v="KUMAR/ELLURU , 8639680560" u="1"/>
        <s v="AJEES/OOGOLE , 7093700713" u="1"/>
        <s v="IMAM/GTR , 6302979798" u="1"/>
        <s v="RAJKUMAR/MEDAK , 7670935091" u="1"/>
        <s v="LAXMAN/SKLM , 9966690320" u="1"/>
        <s v="GANESH/GTR , 7013441521" u="1"/>
        <s v="SRINIVAS/GTR , 9966922101" u="1"/>
        <s v="MAHBOOBNAGAR" u="1"/>
        <s v="DURGA SIR" u="1"/>
        <s v="VIJAY/PEDDAPALLI , 9666173630" u="1"/>
        <s v="SUBBU" u="1"/>
        <s v="MADHUSUDHAN/TS , 8367481163" u="1"/>
        <s v="SRINIVAS/PEDDAPALLI , 9908649882" u="1"/>
        <s v="GAFOOR/KDP , 9392457562" u="1"/>
        <s v="SIVAKUMAR/NALGONDA , 9100418645" u="1"/>
        <s v="TRISHANTH/KDP , 7780707644" u="1"/>
        <s v="DPR" u="1"/>
        <s v="VALLI/GTR , 9963854572" u="1"/>
        <s v="PEDDAPALLI" u="1"/>
        <s v="KAKINADA" u="1"/>
        <s v="LOHITH/ELLURU , 9705411758" u="1"/>
        <s v="SHIVA/MAHBOOBNAGAR , 8523001416" u="1"/>
        <s v="SATISH/PEDDAPALLI , 9866940714" u="1"/>
        <s v="SRIKANTH/ANAPAHAPUR , 9158336153" u="1"/>
        <s v="RAVI/MAHBOOBNAGAR , 7842719686" u="1"/>
        <s v="ESWARRAO/TIRUPATI , 9030151410" u="1"/>
        <s v="ANIL KUMAR/TS , 6305285702" u="1"/>
        <s v="OS" u="1"/>
        <s v="SARAT/WANAPARTHY , 7075528506" u="1"/>
        <e v="#N/A" u="1"/>
        <s v="SANGAREDDY" u="1"/>
        <s v="CHIRALA" u="1"/>
        <s v="P KUMAR/NALGONDA , 9133682546" u="1"/>
        <s v="CHITTOOR" u="1"/>
        <s v="SAIHARI/KADAPA , 9381772983" u="1"/>
        <s v="LEELAPRASAD/RJY , 6281320071" u="1"/>
        <s v="MADANAPALLE" u="1"/>
        <s v="CALLER" u="1"/>
        <s v="TIRUPATHI" u="1"/>
        <s v="AMAR/GWK , 8500043923" u="1"/>
        <s v="MACHERLA" u="1"/>
        <s v="MEDAK" u="1"/>
        <s v="KISHORE/ANKP , 8074601644" u="1"/>
        <s v="PAVAN/KAKINADA , 6305142227" u="1"/>
        <s v="NAGARAJU , 6281603130" u="1"/>
        <s v="SURENDRA/GTR , 9052794389" u="1"/>
        <s v="GAFOOR/KURNOOL , 9392457562" u="1"/>
        <s v="ABBAS/KURNOOL , 7993844855" u="1"/>
        <s v="RAJU KUMAR/MEDAK,833040628" u="1"/>
        <s v="B RANJITH/BHADRACHALAM,915994666" u="1"/>
        <s v="VENUGOPAL/KARIMNAGAR , 6281392390" u="1"/>
        <s v="GOWTHAM/NALGONDA , 8466828379" u="1"/>
        <s v="KALYAN/MADANAPALLE , 6304776131" u="1"/>
        <s v="INAMUL" u="1"/>
        <s v="ALI/KARIMNAGAR , 6302361548" u="1"/>
        <s v="VARMA/KAKINADA , 9849251803" u="1"/>
        <s v="AJEES/ONGOLE , 7093700713" u="1"/>
        <s v="GAFOOR/GTR , 9392457562" u="1"/>
        <s v="NARASIMHA/GTR , 6309581043" u="1"/>
        <s v="PRADEEP , 7995803893" u="1"/>
        <s v="ASHOK/GTR , 8497936372" u="1"/>
        <s v="KIRAN/MADANAPALLE , 9701432134" u="1"/>
        <s v="NARAYANA/KAKINADA , 9949928322" u="1"/>
        <s v="GANI , 7013441521" u="1"/>
        <s v="GANESH/CHITTOOR , 8106171906" u="1"/>
        <s v="PAVAN/GTR , 8019367695" u="1"/>
        <s v="SATTIREDDY/KAKINADA , 9959229827" u="1"/>
        <s v="ABHILASH/MEDAK , 6303931254" u="1"/>
        <s v="VSP" u="1"/>
        <s v="SWAROOP/KADAPA , 8106788719" u="1"/>
        <s v="HINDUPUR" u="1"/>
        <s v="KUMAR/KAKINADA , 9949560520" u="1"/>
        <s v="MARKAPUR" u="1"/>
        <s v="ESWARAIYYA/ANANTHAPUR , 7799440558" u="1"/>
        <s v="YAHENULLA/HINDUPUR , 8310676067" u="1"/>
        <s v="AMBRESH/PDT , 9573554482" u="1"/>
        <s v="SHIVA/WARANGAL , 8309491566" u="1"/>
        <s v="V RAMANA/ANANTHAPUR , 9885633687" u="1"/>
        <s v="MANI/SURYAPET , 7780356256" u="1"/>
        <s v="GADWAL" u="1"/>
        <s v="VIJAY/LOCAL , 8074557625" u="1"/>
        <s v="SRINIVASRAJU/JAGGAYAPETA , 6281792923" u="1"/>
        <s v="ANIL/GTR , 8247572446" u="1"/>
        <s v="SRINIVAS/WEST , 9010072805" u="1"/>
        <s v="SHIVA/SURYAPET , 8247053896" u="1"/>
        <s v="PRUDVI/KURNOOL , 9052769930" u="1"/>
        <s v="PRADEEP/NIZAMABAD , 7702511351" u="1"/>
        <s v="RK/GTR , 9640272121" u="1"/>
      </sharedItems>
    </cacheField>
    <cacheField name="FOS ID" numFmtId="0">
      <sharedItems containsBlank="1"/>
    </cacheField>
    <cacheField name="MARC" numFmtId="0">
      <sharedItems/>
    </cacheField>
    <cacheField name="MARC ID" numFmtId="0">
      <sharedItems containsSemiMixedTypes="0" containsString="0" containsNumber="1" containsInteger="1" minValue="801354813" maxValue="845041675"/>
    </cacheField>
    <cacheField name="MARC PW" numFmtId="0">
      <sharedItems/>
    </cacheField>
    <cacheField name="IQ UPLOAD" numFmtId="0">
      <sharedItems/>
    </cacheField>
    <cacheField name="TC REMARK" numFmtId="0">
      <sharedItems containsNonDate="0" containsString="0" containsBlank="1"/>
    </cacheField>
    <cacheField name="VISITS" numFmtId="0">
      <sharedItems count="3">
        <s v="VISITED"/>
        <s v="NOT VISITED"/>
        <s v="VISITS" u="1"/>
      </sharedItems>
    </cacheField>
    <cacheField name="FOS DISPO" numFmtId="0">
      <sharedItems containsBlank="1"/>
    </cacheField>
    <cacheField name="REMARKS" numFmtId="0">
      <sharedItems containsBlank="1" longText="1"/>
    </cacheField>
    <cacheField name="V DATE" numFmtId="0">
      <sharedItems containsBlank="1" count="175">
        <m/>
        <s v="23RD O"/>
        <s v="14TH O"/>
        <s v="27TH O"/>
        <s v="9TH O"/>
        <s v="15TH O"/>
        <s v="13TH O"/>
        <s v="17TH O"/>
        <s v="11TH O"/>
        <s v="26TH O"/>
        <s v="21ST O"/>
        <s v="10TH O"/>
        <s v="24TH O"/>
        <s v="28TH O"/>
        <s v="16TH O"/>
        <s v="22ND O"/>
        <s v="25TH O"/>
        <s v="29TH O"/>
        <s v="30TH O"/>
        <s v="12TH O" u="1"/>
        <s v="15TH S" u="1"/>
        <s v="29TH S" u="1"/>
        <s v="24TH S" u="1"/>
        <s v="1ST O" u="1"/>
        <s v="28TH S" u="1"/>
        <s v="30TH S" u="1"/>
        <s v="7TH S" u="1"/>
        <s v="10TH S" u="1"/>
        <s v="19TH S" u="1"/>
        <s v="22ND S" u="1"/>
        <s v="17TH S" u="1"/>
        <s v="6TH O" u="1"/>
        <s v="18TH S" u="1"/>
        <s v="21ST S" u="1"/>
        <s v="3RD O" u="1"/>
        <s v="25TH S" u="1"/>
        <s v="26TH S" u="1"/>
        <s v="2ND O" u="1"/>
        <s v="5TH O" u="1"/>
        <s v="4TH O" u="1"/>
        <s v="11TH S" u="1"/>
        <s v="23RD S" u="1"/>
        <s v="8TH A" u="1"/>
        <s v="28TH A" u="1"/>
        <s v="1ST S" u="1"/>
        <s v="19TH A" u="1"/>
        <s v="6TH A" u="1"/>
        <s v="7TH A" u="1"/>
        <s v="2ND S" u="1"/>
        <s v="11TH A" u="1"/>
        <s v="18TH A" u="1"/>
        <s v="31ST A" u="1"/>
        <s v="13TH A" u="1"/>
        <s v="26TH A" u="1"/>
        <s v="14TH A" u="1"/>
        <s v="30TH A" u="1"/>
        <s v="24TH A" u="1"/>
        <s v="16TH A" u="1"/>
        <s v="21ST A" u="1"/>
        <s v="25TH A" u="1"/>
        <s v="22ND A" u="1"/>
        <s v="4TH S" u="1"/>
        <s v="29TH A" u="1"/>
        <s v="27TH A" u="1"/>
        <s v="23RD A" u="1"/>
        <s v="20TH A" u="1"/>
        <s v="3RD S" u="1"/>
        <s v="5TH S" u="1"/>
        <s v="12TH A" u="1"/>
        <s v="10TH A" u="1"/>
        <s v="30TH JU" u="1"/>
        <s v="13TH JU" u="1"/>
        <s v="24TH JU" u="1"/>
        <s v="28TH JU" u="1"/>
        <s v="31ST JU" u="1"/>
        <s v="23RD JU" u="1"/>
        <s v="16TH JU" u="1"/>
        <s v="15TH JU" u="1"/>
        <s v="14TH JU" u="1"/>
        <s v="18TH JU" u="1"/>
        <s v="22ND JU" u="1"/>
        <s v="29TH JU" u="1"/>
        <s v="1ST A" u="1"/>
        <s v="25TH JU" u="1"/>
        <s v="4TH A" u="1"/>
        <s v="17TH JU" u="1"/>
        <s v="3RD A" u="1"/>
        <s v="27TH JU" u="1"/>
        <s v="20TH JU" u="1"/>
        <s v="11TH JU" u="1"/>
        <s v="21ST JU" u="1"/>
        <s v="17TH J" u="1"/>
        <s v="22ND J" u="1"/>
        <s v="16TH J" u="1"/>
        <s v="23RD J" u="1"/>
        <s v="24TH J" u="1"/>
        <s v="26TH J" u="1"/>
        <s v="30TH J" u="1"/>
        <s v="1ST JU" u="1"/>
        <s v="18TH J" u="1"/>
        <s v="15TH J" u="1"/>
        <s v="19TH J" u="1"/>
        <s v="6TH JU" u="1"/>
        <s v="27TH J" u="1"/>
        <s v="29TH J" u="1"/>
        <s v="7TH JU" u="1"/>
        <s v="20TH J" u="1"/>
        <s v="4TH JU" u="1"/>
        <s v="2ND JU" u="1"/>
        <s v="25TH J" u="1"/>
        <s v="3RD JU" u="1"/>
        <s v="28TH J" u="1"/>
        <s v="5TH JU" u="1"/>
        <s v="12TH J" u="1"/>
        <s v="FE" u="1"/>
        <s v="1ST J" u="1"/>
        <s v="16TH M" u="1"/>
        <s v="22ND M" u="1"/>
        <s v="30TH M" u="1"/>
        <s v="29TH M" u="1"/>
        <s v="28TH M" u="1"/>
        <s v="2ND J" u="1"/>
        <s v="25TH M" u="1"/>
        <s v="23RD M" u="1"/>
        <s v="21ST M" u="1"/>
        <s v="4TH J" u="1"/>
        <s v="8TH J" u="1"/>
        <s v="27TH M" u="1"/>
        <s v="9TH J" u="1"/>
        <s v="6TH J" u="1"/>
        <s v="3RD J" u="1"/>
        <s v="10TH J" u="1"/>
        <s v="11TH J" u="1"/>
        <s v="5TH J" u="1"/>
        <s v="31ST M" u="1"/>
        <s v="26TH M" u="1"/>
        <s v="20TH M" u="1"/>
        <s v="15TH A" u="1"/>
        <s v="2ND M" u="1"/>
        <s v="6TH M" u="1"/>
        <s v="5TH M" u="1"/>
        <s v="4TH M" u="1"/>
        <s v="7TH M" u="1"/>
        <s v="1ST M" u="1"/>
        <s v="17TH A" u="1"/>
        <s v="24TH M" u="1"/>
        <s v="17TH M" u="1"/>
        <s v="9TH A" u="1"/>
        <s v="2ND A" u="1"/>
        <s v="19TH M" u="1"/>
        <s v="16TH F" u="1"/>
        <s v="17TH F" u="1"/>
        <s v="19TH F" u="1"/>
        <s v="18TH F" u="1"/>
        <s v="26TH F" u="1"/>
        <s v="14TH F" u="1"/>
        <s v="25TH F" u="1"/>
        <s v="27TH F" u="1"/>
        <s v="24TH F" u="1"/>
        <s v="20TH F" u="1"/>
        <s v="23RD F" u="1"/>
        <s v="10TH M" u="1"/>
        <s v="3RD M" u="1"/>
        <s v="21ST F" u="1"/>
        <s v="22ND F" u="1"/>
        <s v="9TH M" u="1"/>
        <s v="28TH F" u="1"/>
        <s v="1ST F" u="1"/>
        <s v="5TH F" u="1"/>
        <s v="4TH F" u="1"/>
        <s v="7TH F" u="1"/>
        <s v="3RD F" u="1"/>
        <s v="31ST J" u="1"/>
        <s v="2ND F" u="1"/>
        <s v="6TH F" u="1"/>
      </sharedItems>
    </cacheField>
    <cacheField name="LAST PAYMENT DATE" numFmtId="14">
      <sharedItems containsDate="1" containsMixedTypes="1" minDate="2022-11-03T00:00:00" maxDate="2026-10-25T00:00:00"/>
    </cacheField>
    <cacheField name="LAST PAYMENT AMOUNT" numFmtId="0">
      <sharedItems containsSemiMixedTypes="0" containsString="0" containsNumber="1" minValue="0" maxValue="219115.77"/>
    </cacheField>
    <cacheField name="UCIC DODE" numFmtId="0">
      <sharedItems/>
    </cacheField>
    <cacheField name="CARD TYPE" numFmtId="0">
      <sharedItems/>
    </cacheField>
    <cacheField name="ALLOC DATE" numFmtId="0">
      <sharedItems/>
    </cacheField>
    <cacheField name="DueDate" numFmtId="14">
      <sharedItems containsNonDate="0" containsDate="1" containsString="0" containsBlank="1" minDate="2026-09-19T00:00:00" maxDate="2026-11-04T00:0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8">
  <r>
    <s v="4375517730085026"/>
    <s v="MR R GOPI"/>
    <s v="N"/>
    <x v="0"/>
    <s v="8951200247"/>
    <s v="X"/>
    <n v="128484.57999999996"/>
    <n v="500000"/>
    <n v="628484.57999999996"/>
    <n v="327911.24"/>
    <n v="300573.34000000003"/>
    <n v="271663.05"/>
    <n v="257720"/>
    <n v="130170"/>
    <x v="0"/>
    <x v="0"/>
    <n v="300680"/>
    <n v="-170510"/>
    <x v="0"/>
    <s v="TC"/>
    <n v="0"/>
    <s v="TL045"/>
    <x v="0"/>
    <s v="TC084"/>
    <x v="0"/>
    <s v="D NO C 1114 C BLOCK TIRUPATI KARAKAMBADI KADAPA ROAD TIRUPATHI ANP 517507"/>
    <s v="AMARA XXXXXXXXXXXXXXXXXXXXXX AMAKA XXXXXXXXXXXXXXKARAKAMBADI KARAKAMBADI TIRUPATHI ANP 517520"/>
    <s v="TIRUPATHI"/>
    <x v="0"/>
    <x v="0"/>
    <s v="FO061"/>
    <s v="S SEKHAR"/>
    <n v="845041675"/>
    <s v="Ssd@9290"/>
    <s v="UPLOADED"/>
    <m/>
    <x v="0"/>
    <m/>
    <m/>
    <x v="0"/>
    <d v="2026-08-21T00:00:00"/>
    <n v="23200"/>
    <s v="0000000011468839"/>
    <s v="ICICI Bank Expressions Credit Card"/>
    <s v="6TH OCT"/>
    <d v="2026-09-19T00:00:00"/>
  </r>
  <r>
    <s v="4315813674599004"/>
    <s v="MR Vasi Rama Krishna"/>
    <s v="N"/>
    <x v="0"/>
    <s v="9550009838"/>
    <s v="X"/>
    <n v="56007.179999999993"/>
    <n v="460000"/>
    <n v="516007.18"/>
    <n v="280746.01"/>
    <n v="235261.17"/>
    <n v="216224.26"/>
    <n v="63290"/>
    <n v="20930"/>
    <x v="1"/>
    <x v="1"/>
    <n v="0"/>
    <n v="20930"/>
    <x v="1"/>
    <s v="NA"/>
    <n v="0"/>
    <s v="TL045"/>
    <x v="1"/>
    <s v="TC003"/>
    <x v="0"/>
    <s v="10 104 F6 markapuram jawahar nagar colonyPrakasam NANDYAL ANP 523316"/>
    <s v="SV INTXXXXXXXXXXXXXXXX NEAR NXXXXXXXXXXXXXXXXXMARKAT ROAD MARKAT ROAD NANDYAL ANP 523316"/>
    <s v="NANDYAL"/>
    <x v="1"/>
    <x v="1"/>
    <s v="FO008"/>
    <s v="DURGA"/>
    <n v="801723195"/>
    <s v="Sgr@9290"/>
    <s v="UPLOADED"/>
    <m/>
    <x v="0"/>
    <s v="SKIP"/>
    <s v="customer house address visited sir customer call not responding house not traced sir // customer house address visited sir customer call not responding address not traced sir // customer house address visited sir customer payment not agree sir "/>
    <x v="1"/>
    <d v="2024-11-29T00:00:00"/>
    <n v="5000"/>
    <s v="0000000025028456"/>
    <s v="Amazon Pay ICICI Bank Credit Card"/>
    <s v="6TH OCT"/>
    <d v="2026-09-19T00:00:00"/>
  </r>
  <r>
    <s v="4501720980919012"/>
    <s v="MR DHAMMANAGARI NIKHIL REDDY"/>
    <s v="N"/>
    <x v="0"/>
    <s v="9640130530"/>
    <s v="X"/>
    <n v="21154.600000000006"/>
    <n v="190000"/>
    <n v="211154.6"/>
    <n v="44650.82"/>
    <n v="166503.78"/>
    <n v="138694.26999999999"/>
    <n v="63510"/>
    <n v="35060"/>
    <x v="1"/>
    <x v="1"/>
    <n v="0"/>
    <n v="35060"/>
    <x v="1"/>
    <s v="NA"/>
    <n v="0"/>
    <s v="TL045"/>
    <x v="1"/>
    <s v="TC003"/>
    <x v="0"/>
    <s v="FLAT,NO 501 HARSHITHA HEIGHTS,NALLURI, HEIGHTS NEW,MALLAREDDYNAGAR, SANGAREDDY- SANGAREDDY TNG 502032"/>
    <s v="SIX SAXXXXXXXXXXXXXXXXXXXXXXXXXXXXXX 2ND FLXXXXXXXXXXXXXXXXXXXXXXXXXXXXXHITECH CITY HITECH CITY HYDERABAD TNG 500081"/>
    <s v="SANGAREDDY"/>
    <x v="2"/>
    <x v="2"/>
    <s v="FO076"/>
    <s v="RADHAKRISHNA"/>
    <n v="801354813"/>
    <s v="Sgr@9290"/>
    <s v="UPLOADED"/>
    <m/>
    <x v="1"/>
    <m/>
    <m/>
    <x v="0"/>
    <d v="2026-08-03T00:00:00"/>
    <n v="32195.65"/>
    <s v="0000000022985403"/>
    <s v="ICICI Bank Rubyx Visa Credit Card"/>
    <s v="6TH OCT"/>
    <d v="2026-09-19T00:00:00"/>
  </r>
  <r>
    <s v="4748461380563000"/>
    <s v="MR GUTTHIKONDA VEERABABU"/>
    <s v="N"/>
    <x v="0"/>
    <s v="9848216903"/>
    <s v="X"/>
    <n v="-21469.72"/>
    <n v="130000"/>
    <n v="108530.28"/>
    <s v=""/>
    <n v="108530.28"/>
    <n v="101180"/>
    <n v="11090"/>
    <n v="3120"/>
    <x v="0"/>
    <x v="0"/>
    <n v="108530.28"/>
    <n v="-105410.28"/>
    <x v="2"/>
    <s v="FE"/>
    <n v="0"/>
    <s v="TL045"/>
    <x v="2"/>
    <s v="TC114"/>
    <x v="0"/>
    <s v="13-85 BRAHMANAPALLI KHAMMAM KHAMMAM TNG 507165"/>
    <s v="VEERABXXXXXXXXXXXXXXX VEERABXXXXXXXXXXXXXXXKHAMMAM KHAMMAM KHAMMAM TNG 507165"/>
    <s v="KHAMMAM"/>
    <x v="2"/>
    <x v="3"/>
    <s v="FO030"/>
    <s v="CHAITANYA"/>
    <n v="802555024"/>
    <s v="Ssde@9290"/>
    <s v="UPLOADED"/>
    <m/>
    <x v="0"/>
    <s v="LIVE"/>
    <s v="visited customer shop address customer is in live given ptp by 16th // Customer paid Total outstanding amount "/>
    <x v="2"/>
    <d v="2024-07-06T00:00:00"/>
    <n v="74500"/>
    <s v="0000000025645243"/>
    <s v="MakeMyTrip ICICI Bank Platinum Credit Card"/>
    <s v="6TH OCT"/>
    <d v="2026-09-19T00:00:00"/>
  </r>
  <r>
    <s v="6528680327846001"/>
    <s v="MR VISHWANADULA RAMESHCHARI"/>
    <s v="O"/>
    <x v="1"/>
    <s v="9959398725"/>
    <s v="X"/>
    <n v="215823.27000000002"/>
    <n v="360000"/>
    <n v="575823.27"/>
    <n v="213533.95"/>
    <n v="362289.32"/>
    <n v="341496.88"/>
    <n v="76730"/>
    <n v="41770"/>
    <x v="0"/>
    <x v="0"/>
    <n v="160000"/>
    <n v="-118230"/>
    <x v="3"/>
    <s v="FE"/>
    <n v="0"/>
    <s v="TL045"/>
    <x v="2"/>
    <s v="TC114"/>
    <x v="0"/>
    <s v="1-80 NIDAMANUR NALGONDANEAR WATER TANK NALGONDA TNG 508278"/>
    <s v="SRI VENKATARAMANA JEWELLARY MAIN ROADNIDAMANUR NIDAMANUR NALGONDA TNG 508278"/>
    <s v="NALGONDA"/>
    <x v="2"/>
    <x v="4"/>
    <s v="FO031"/>
    <s v="B SRIKANTH"/>
    <n v="803037151"/>
    <s v="Ssde@9290"/>
    <s v="UPLOADED"/>
    <m/>
    <x v="0"/>
    <m/>
    <m/>
    <x v="0"/>
    <d v="2025-04-20T00:00:00"/>
    <n v="2000"/>
    <s v="0000000028236257"/>
    <s v="ICICI Bank Coral RuPay Credit Card"/>
    <s v="6TH OCT"/>
    <d v="2026-09-20T00:00:00"/>
  </r>
  <r>
    <s v="4748469568153007"/>
    <s v="MR VASUPALLI RAJU"/>
    <s v="O"/>
    <x v="1"/>
    <s v="9182694090"/>
    <s v="X"/>
    <n v="323154.36"/>
    <n v="250000"/>
    <n v="573154.36"/>
    <n v="357974.86"/>
    <n v="215179.5"/>
    <n v="202607.7"/>
    <n v="87110"/>
    <n v="44069"/>
    <x v="0"/>
    <x v="2"/>
    <n v="44100"/>
    <n v="-31"/>
    <x v="4"/>
    <s v="TC"/>
    <n v="0"/>
    <s v="TL045"/>
    <x v="3"/>
    <s v="TC126"/>
    <x v="0"/>
    <s v="6-75, SURYARAO PETA, KAKINADA RURAL KAKINADA, EAST GODAVARI, ANDHRA PRADESH BESIDE RAMALAYAM KAKINADA ANP 533005"/>
    <s v="EASTRAN POWER DISTRUBUTION COMPANY LTD A EASTRAN POWER DISTRUBUTION, AP, RTOOFFICE RD SASIKANTH NAGAR, KAKINADA OFFICE RD SASIKANTH NAGAR, KAKINADA KAKINADA ANP 533003"/>
    <s v="KAKINADA"/>
    <x v="3"/>
    <x v="5"/>
    <s v="FO063"/>
    <s v="UDAY"/>
    <n v="801436997"/>
    <s v="Ssd@9290"/>
    <s v="UPLOADED"/>
    <m/>
    <x v="0"/>
    <s v="DL"/>
    <s v="customer address door lock call not answering sir  // ustomer address visit customer not  available door lock call not answering sir "/>
    <x v="3"/>
    <d v="2026-08-02T00:00:00"/>
    <n v="5740"/>
    <s v="0000000026779836"/>
    <s v="ICICI Bank HPCL Super Saver Visa Credit Card"/>
    <s v="6TH OCT"/>
    <d v="2026-09-20T00:00:00"/>
  </r>
  <r>
    <s v="4035621422041016"/>
    <s v="MR ARRA PARAMESHWAR"/>
    <s v="N"/>
    <x v="1"/>
    <s v="9951056955"/>
    <s v="X"/>
    <n v="15206.929999999993"/>
    <n v="200000"/>
    <n v="215206.93"/>
    <s v=""/>
    <n v="215206.93"/>
    <n v="199998"/>
    <n v="49160"/>
    <n v="10000"/>
    <x v="0"/>
    <x v="0"/>
    <n v="49160"/>
    <n v="-39160"/>
    <x v="2"/>
    <s v="TC"/>
    <n v="0"/>
    <s v="TL045"/>
    <x v="2"/>
    <s v="TC114"/>
    <x v="0"/>
    <s v="KOMMAIGUDEM KOMMAIGUDEM RAMANNAPET POST NALGONDA TNG 508113"/>
    <s v="VIGNAN INSTITUTE OF TECHNOLOGY AND MANAG DESHMUKHI VLGYADADRI BHUVANAGIRI DST YADADRI BHUVANAGIRI DST NALGONDA TNG 508252"/>
    <s v="NALGONDA"/>
    <x v="2"/>
    <x v="4"/>
    <s v="FO031"/>
    <s v="B SRIKANTH"/>
    <n v="803037151"/>
    <s v="Ssde@9290"/>
    <s v="UPLOADED"/>
    <m/>
    <x v="0"/>
    <s v="LIVE"/>
    <s v="Customer adress visit and Customer prasent not avilable, prasent going Hyderabd and call Amswer ptp on Today"/>
    <x v="4"/>
    <d v="2025-02-21T00:00:00"/>
    <n v="100000"/>
    <s v="0000000027650431"/>
    <s v="ICICI Bank Coral Credit Card"/>
    <s v="6TH OCT"/>
    <d v="2026-09-20T00:00:00"/>
  </r>
  <r>
    <s v="6528681495013002"/>
    <s v="MR BEERE BALAKRISHNA"/>
    <s v="N"/>
    <x v="1"/>
    <s v="9701116035"/>
    <s v="X"/>
    <n v="-207783.73"/>
    <n v="340000"/>
    <n v="132216.26999999999"/>
    <n v="92825.23"/>
    <n v="39391.040000000001"/>
    <n v="34239.480000000003"/>
    <n v="32190"/>
    <n v="10000"/>
    <x v="0"/>
    <x v="2"/>
    <n v="10164.129999999999"/>
    <n v="-164.1299999999992"/>
    <x v="5"/>
    <s v="TC"/>
    <n v="0"/>
    <s v="TL045"/>
    <x v="0"/>
    <s v="TC084"/>
    <x v="0"/>
    <s v="DNo 1-654-,,5-5-6 Goods Shed Kottala Road, Near Manikanta School Shanti NagarDharmavaram GUNTAKAL ANP 515671"/>
    <s v="COGNIZANT CONSULTING PVT LTD Embassy tech parkHebbal Hebbal BANGALORE KAR 560045"/>
    <s v="HINDUPUR"/>
    <x v="0"/>
    <x v="6"/>
    <s v="FO011"/>
    <s v="PAVAN"/>
    <n v="802823180"/>
    <s v="Sgr@9290"/>
    <s v="UPLOADED"/>
    <m/>
    <x v="0"/>
    <m/>
    <m/>
    <x v="0"/>
    <d v="2026-06-25T00:00:00"/>
    <n v="45397.599999999999"/>
    <s v="0000000030779083"/>
    <s v="ICICI Bank Coral RuPay Credit Card"/>
    <s v="6TH OCT"/>
    <d v="2026-09-20T00:00:00"/>
  </r>
  <r>
    <s v="4035622725499042"/>
    <s v="MR THARUN KUMAR SURYADEVARA"/>
    <s v="N"/>
    <x v="1"/>
    <s v="7569262524"/>
    <s v="X"/>
    <n v="10110.149999999994"/>
    <n v="100000"/>
    <n v="110110.15"/>
    <s v=""/>
    <n v="110110.15"/>
    <n v="99460.4"/>
    <n v="29960"/>
    <n v="4980"/>
    <x v="0"/>
    <x v="0"/>
    <n v="110110.15"/>
    <n v="-105130.15"/>
    <x v="6"/>
    <s v="TC"/>
    <n v="0"/>
    <s v="TL045"/>
    <x v="3"/>
    <s v="TC126"/>
    <x v="1"/>
    <s v="1-29B BODDURAYI CENTER KRISHNA VIJAYAWADA ANP 521180"/>
    <s v="HONEY MULTI CUSINE RESTAURANT TOLL PLAZA,CHILLAKALLUCHILLAKALLU ANDHRA PRADESH CHILLAKALLU ANDHRA PRADESH VIJAYAWADA ANP 521178"/>
    <s v="VIJAYAWADA"/>
    <x v="4"/>
    <x v="7"/>
    <s v="FO123"/>
    <s v="SUDHAKAR"/>
    <n v="802913252"/>
    <s v="Ssd@9290"/>
    <s v="UPLOADED"/>
    <m/>
    <x v="0"/>
    <m/>
    <m/>
    <x v="0"/>
    <d v="2026-01-18T00:00:00"/>
    <n v="34847.949999999997"/>
    <s v="0000000022104275"/>
    <s v="ICICI Bank Platinum Chip Credit Card"/>
    <s v="6TH OCT"/>
    <d v="2026-09-20T00:00:00"/>
  </r>
  <r>
    <s v="6528680775710006"/>
    <s v="MR DANTHALA SAMRATH"/>
    <s v="N"/>
    <x v="1"/>
    <s v="9666153329"/>
    <s v="X"/>
    <n v="8405.1499999999942"/>
    <n v="100000"/>
    <n v="108405.15"/>
    <s v=""/>
    <n v="108405.15"/>
    <n v="99489.05"/>
    <n v="26610"/>
    <n v="4980"/>
    <x v="1"/>
    <x v="1"/>
    <n v="0"/>
    <n v="4980"/>
    <x v="1"/>
    <s v="NA"/>
    <n v="0"/>
    <s v="TL045"/>
    <x v="1"/>
    <s v="TC003"/>
    <x v="1"/>
    <s v="9-46/26/3 KAMAREDDY OLD S P R SCHOOLSRINIVAS NAGAR NIZAMABAD TNG 503111"/>
    <s v="SAMRATH ENTERPRIS 5-33-14/1 GUMASTA COLONYKAMAREFFY KAMAREFFY NIZAMABAD TNG 503111"/>
    <s v="NIZAMABAD"/>
    <x v="2"/>
    <x v="8"/>
    <s v="FO007"/>
    <s v="PRASHANTH"/>
    <n v="802551967"/>
    <s v="Ssde@9290"/>
    <s v="UPLOADED"/>
    <m/>
    <x v="1"/>
    <m/>
    <m/>
    <x v="0"/>
    <d v="2025-07-20T00:00:00"/>
    <n v="10500"/>
    <s v="0000000029175141"/>
    <s v="ICICI Bank Coral RuPay Credit Card"/>
    <s v="6TH OCT"/>
    <d v="2026-09-20T00:00:00"/>
  </r>
  <r>
    <s v="6528682190024013"/>
    <s v="MR DUBBA ISSACRAJU"/>
    <s v="N"/>
    <x v="1"/>
    <s v="9849310046"/>
    <s v="X"/>
    <n v="-41179.729999999996"/>
    <n v="141000"/>
    <n v="99820.27"/>
    <s v=""/>
    <n v="99820.27"/>
    <n v="93652.43"/>
    <n v="12120"/>
    <n v="5260"/>
    <x v="0"/>
    <x v="0"/>
    <n v="12120"/>
    <n v="-6860"/>
    <x v="4"/>
    <s v="TC"/>
    <n v="0"/>
    <s v="TL045"/>
    <x v="2"/>
    <s v="TC114"/>
    <x v="0"/>
    <s v="HNO 5-10-131  MANYAM CHALKAN NALGONDA NALGONDANEAR DISTRICT JAIL NALGONDA TNG 508001"/>
    <s v="GENERAL STATE GOVERNEMENT GOVT OF TELANGANA SC CORPORATIONSAMKSHEMA BHAVAN COLLECTORATE COMPLEXE SAMKSHEMA BHAVAN COLLECTORATE COMPLEXE NALGONDA TNG 508001"/>
    <s v="NALGONDA"/>
    <x v="2"/>
    <x v="4"/>
    <s v="FO031"/>
    <s v="B SRIKANTH"/>
    <n v="803037151"/>
    <s v="Ssde@9290"/>
    <s v="UPLOADED"/>
    <m/>
    <x v="0"/>
    <s v="LIVE"/>
    <s v="stomer meet in Nalgonda town and Customer ptp on 21st"/>
    <x v="5"/>
    <d v="2026-09-24T00:00:00"/>
    <n v="20000"/>
    <s v="0000000032730987"/>
    <s v="ICICI Bank HPCL Super Saver Visa Credit Card"/>
    <s v="6TH OCT"/>
    <d v="2026-09-20T00:00:00"/>
  </r>
  <r>
    <s v="6528680200602000"/>
    <s v="MR RATHOD NARESH"/>
    <s v="N"/>
    <x v="1"/>
    <s v="9505572860"/>
    <s v="X"/>
    <n v="-11543.279999999999"/>
    <n v="100000"/>
    <n v="88456.72"/>
    <s v=""/>
    <n v="88456.72"/>
    <n v="82753.25"/>
    <n v="13750"/>
    <n v="7640"/>
    <x v="0"/>
    <x v="2"/>
    <n v="10000"/>
    <n v="-2360"/>
    <x v="7"/>
    <s v="TC"/>
    <n v="0"/>
    <s v="TL045"/>
    <x v="1"/>
    <s v="TC003"/>
    <x v="0"/>
    <s v="HNO 1-58 DEVAPURI JAIRAMGUDA KEREMERI ADILABAD ANDRAPRADESH ADILABADNEAR MAIN ROAD ADILABAD TNG 504293"/>
    <s v="GOVT OF TELANGANA WELFARE DEPARTMENT SECRETAIAT DEPORTMENTADILABAD ADILABAD ADILABAD TNG 504293"/>
    <s v="ADILABAD"/>
    <x v="2"/>
    <x v="9"/>
    <s v="FO036"/>
    <s v="K RAMU"/>
    <n v="802898520"/>
    <s v="Ssd@9290"/>
    <s v="UPLOADED"/>
    <m/>
    <x v="0"/>
    <s v="MESS"/>
    <s v="customer given address visit customer not available informed to staff, trying by call // customer given address visit customer not available informed to staff, trying by call"/>
    <x v="1"/>
    <d v="2024-04-02T00:00:00"/>
    <n v="2500"/>
    <s v="0000000028051837"/>
    <s v="ICICI Bank Rubyx Visa Credit Card"/>
    <s v="6TH OCT"/>
    <d v="2026-09-20T00:00:00"/>
  </r>
  <r>
    <s v="6528680679680008"/>
    <s v="MR YARASANI RITHVIK"/>
    <s v="N"/>
    <x v="1"/>
    <s v="9052345647"/>
    <s v="X"/>
    <n v="-12178.61"/>
    <n v="100000"/>
    <n v="87821.39"/>
    <s v=""/>
    <n v="87821.39"/>
    <n v="82002.91"/>
    <n v="15200"/>
    <n v="9243.32"/>
    <x v="0"/>
    <x v="0"/>
    <n v="15200"/>
    <n v="-5956.68"/>
    <x v="8"/>
    <s v="TC"/>
    <n v="0"/>
    <s v="TL045"/>
    <x v="1"/>
    <s v="TC003"/>
    <x v="1"/>
    <s v="7-604A NEW BANK COLONY,.,MANGALAGIRI   GUNTUR ANP 522503"/>
    <s v="Vriddhi Hospitals 7-568Nidamarru Road Nidamarru Road VIJAYAWADA ANP 522503"/>
    <s v="VIJAYAWADA"/>
    <x v="1"/>
    <x v="10"/>
    <s v="FO001"/>
    <s v="INAMUL"/>
    <n v="802823175"/>
    <s v="Sgr@9290"/>
    <s v="UPLOADED"/>
    <m/>
    <x v="0"/>
    <s v="SKIP"/>
    <s v=" customer given House address visited but customer not available at this address confirmed by neighbour's and renters of this house customer mobile number not working "/>
    <x v="6"/>
    <d v="2026-09-25T00:00:00"/>
    <n v="13966.68"/>
    <s v="0000000028968845"/>
    <s v="ICICI Sapphiro Master PLT Chip Card"/>
    <s v="6TH OCT"/>
    <d v="2026-09-20T00:00:00"/>
  </r>
  <r>
    <s v="4315814984682001"/>
    <s v="MR Punem Sudheer"/>
    <s v="N"/>
    <x v="1"/>
    <s v="9000974648"/>
    <s v="X"/>
    <n v="-21732.149999999994"/>
    <n v="100000"/>
    <n v="78267.850000000006"/>
    <s v=""/>
    <n v="78267.850000000006"/>
    <n v="73310.94"/>
    <n v="10290"/>
    <n v="4650"/>
    <x v="0"/>
    <x v="0"/>
    <n v="10300"/>
    <n v="-5650"/>
    <x v="9"/>
    <s v="TC"/>
    <n v="0"/>
    <s v="TL045"/>
    <x v="2"/>
    <s v="TC114"/>
    <x v="0"/>
    <s v="House.Number.19.157.C Yellandu.Mandal Andugula.BoduKhammam KHAMMAM TNG 507124"/>
    <s v="RAXA.SECURITY.SARVIS.LTD EDDAMMAGADHA.SHADNAGAR.NEAR.SAIBABA.T.EMPLE SHADNAGAR.NEAR.SAIBABA.T.EMPLE WANAPARTHY TNG 509202"/>
    <s v="WANAPARTHY"/>
    <x v="2"/>
    <x v="11"/>
    <s v="FO084"/>
    <s v="B RANJITH"/>
    <n v="802293984"/>
    <s v="Sgr@9290"/>
    <s v="UPLOADED"/>
    <m/>
    <x v="0"/>
    <m/>
    <m/>
    <x v="0"/>
    <d v="2024-08-25T00:00:00"/>
    <n v="6140.73"/>
    <s v="0000000030219827"/>
    <s v="Amazon Pay ICICI Bank Credit Card"/>
    <s v="6TH OCT"/>
    <d v="2026-09-20T00:00:00"/>
  </r>
  <r>
    <s v="6528682841442002"/>
    <s v="MR K ACHARI"/>
    <s v="N"/>
    <x v="1"/>
    <s v="7993471918"/>
    <s v="X"/>
    <n v="3064.2700000000041"/>
    <n v="70000"/>
    <n v="73064.27"/>
    <s v=""/>
    <n v="73064.27"/>
    <n v="66557.820000000007"/>
    <n v="22830"/>
    <n v="13280"/>
    <x v="1"/>
    <x v="1"/>
    <n v="3500"/>
    <n v="9780"/>
    <x v="1"/>
    <s v="NA"/>
    <n v="0"/>
    <s v="TL045"/>
    <x v="0"/>
    <s v="TC084"/>
    <x v="0"/>
    <s v="1-58 KALAGATUR KALAGATUR,GANAGAVARAM,,KALAGATOOR Chittoor CTT ANP 517408"/>
    <s v="49 1 st Cross, 27th main road,Tata motors 1st stage BTM layout, Bangalore, Karnataka  BNG KAR 560068"/>
    <s v="PALAMANER"/>
    <x v="0"/>
    <x v="12"/>
    <s v="FO115"/>
    <s v="SK MUJEEB"/>
    <n v="802175739"/>
    <s v="Ssd@9290"/>
    <s v="UPLOADED"/>
    <m/>
    <x v="0"/>
    <s v="LIVE"/>
    <s v="custmar not AVALIBUL COLL RESPONDED given PTP 10 // VISITED customer house ADRESS CUSTMAR not AVALIBUL COLL RESPONDED given PTP 31"/>
    <x v="3"/>
    <d v="2026-04-20T00:00:00"/>
    <n v="3750"/>
    <s v="0000000034498308"/>
    <s v="ICICI Bank Coral RuPay Credit Card"/>
    <s v="6TH OCT"/>
    <d v="2026-09-20T00:00:00"/>
  </r>
  <r>
    <s v="5241933937558005"/>
    <s v="MR POLUKONDA CHAKRAVARTHI"/>
    <s v="N"/>
    <x v="1"/>
    <s v="9502552140"/>
    <s v="X"/>
    <n v="6769.3600000000006"/>
    <n v="60000"/>
    <n v="66769.36"/>
    <s v=""/>
    <n v="66769.36"/>
    <n v="59951.48"/>
    <n v="19730"/>
    <n v="8750"/>
    <x v="0"/>
    <x v="0"/>
    <n v="19730"/>
    <n v="-10980"/>
    <x v="6"/>
    <s v="TC"/>
    <n v="0"/>
    <s v="TL045"/>
    <x v="3"/>
    <s v="TC126"/>
    <x v="1"/>
    <s v="77 50 1 11B A V S REDDY ROAD AJITH SINGH NAGARBEHIND SAI BABA TEMPLE VIJAYAWADA ANP 520015"/>
    <s v="GOVT A P P H SCHOOL Z P HIGH SCHOOLG KONDURU G KONDURU VIJAYAWADA ANP 521229"/>
    <s v="VIJAYAWADA"/>
    <x v="4"/>
    <x v="7"/>
    <s v="FO123"/>
    <s v="SUDHAKAR"/>
    <n v="802913252"/>
    <s v="Ssd@9290"/>
    <s v="UPLOADED"/>
    <m/>
    <x v="0"/>
    <m/>
    <m/>
    <x v="0"/>
    <d v="2024-10-19T00:00:00"/>
    <n v="2100"/>
    <s v="0000000016443783"/>
    <s v="ICICI Bank MasterCard  Platinum chip Credit Card"/>
    <s v="6TH OCT"/>
    <d v="2026-09-20T00:00:00"/>
  </r>
  <r>
    <s v="6528683273969009"/>
    <s v="MR Aipuri Ramesh"/>
    <s v="N"/>
    <x v="1"/>
    <s v="8465039079"/>
    <s v="X"/>
    <n v="-15098.71"/>
    <n v="80000"/>
    <n v="64901.29"/>
    <s v=""/>
    <n v="64901.29"/>
    <n v="60213.34"/>
    <n v="8940"/>
    <n v="3970"/>
    <x v="0"/>
    <x v="0"/>
    <n v="8940"/>
    <n v="-4970"/>
    <x v="10"/>
    <s v="FE"/>
    <n v="0"/>
    <s v="TL045"/>
    <x v="2"/>
    <s v="TC114"/>
    <x v="0"/>
    <s v="Vibhalapur Vibhalapur Suryapet KAM TNG 508212"/>
    <s v="GROUND FLOOR POST OFFICE ROAD  KAM TNG 508212"/>
    <s v="KHAMMAM"/>
    <x v="2"/>
    <x v="13"/>
    <s v="FO113"/>
    <s v="CHAITANYA"/>
    <n v="802555024"/>
    <s v="Ssde@9290"/>
    <s v="UPLOADED"/>
    <m/>
    <x v="0"/>
    <s v="LIVE"/>
    <s v="Castamar Fathar Live customer contact Today 5 p.m PTP sir "/>
    <x v="7"/>
    <d v="2026-10-01T00:00:00"/>
    <n v="16000"/>
    <s v="0000000035697801"/>
    <s v="ICICI Bank Coral RuPay Credit Card"/>
    <s v="6TH OCT"/>
    <d v="2026-09-20T00:00:00"/>
  </r>
  <r>
    <s v="5241933530449016"/>
    <s v="MR. GEESALA ANIL KUMAR"/>
    <s v="N"/>
    <x v="1"/>
    <s v="9059000666"/>
    <s v="X"/>
    <n v="4364.25"/>
    <n v="50000"/>
    <n v="54364.25"/>
    <n v="899.54"/>
    <n v="53464.71"/>
    <n v="48971.09"/>
    <n v="21300"/>
    <n v="13000"/>
    <x v="0"/>
    <x v="2"/>
    <n v="13000"/>
    <n v="0"/>
    <x v="11"/>
    <s v="TC"/>
    <n v="0"/>
    <s v="TL045"/>
    <x v="3"/>
    <s v="TC126"/>
    <x v="0"/>
    <s v="D NO 8-101/1 S/O G VENKATARAMANA PANCHAMUKHESWARA COLONY KARAPA MD VELANGINEAR SAI BABA TEMPLE KAKINADA ANP 533260"/>
    <s v="KAKINADASEA PORT PVT LTD C/O KAKINADA SEA PORT LIMITEDPALLAM RAJUNAGAR ROAD NO 3 PALLAM RAJUNAGAR ROAD NO 3 KAKINADA ANP 533001"/>
    <s v="KAKINADA"/>
    <x v="3"/>
    <x v="14"/>
    <s v="FO029"/>
    <s v="MANIKANTA"/>
    <n v="802852449"/>
    <s v="Ssd@9290"/>
    <s v="UPLOADED"/>
    <m/>
    <x v="0"/>
    <s v="SKIP"/>
    <s v="customer shifted kakinada"/>
    <x v="8"/>
    <d v="2026-09-05T00:00:00"/>
    <n v="17050"/>
    <s v="0000000010885383"/>
    <s v="ICICI Bank MasterCard  Platinum chip Credit Card"/>
    <s v="6TH OCT"/>
    <d v="2026-09-20T00:00:00"/>
  </r>
  <r>
    <s v="6528680777955005"/>
    <s v="MR SKAIK SHABBER ALI"/>
    <s v="N"/>
    <x v="1"/>
    <s v="7794812277"/>
    <s v="X"/>
    <n v="3410.25"/>
    <n v="47000"/>
    <n v="50410.25"/>
    <n v="30243.91"/>
    <n v="20166.34"/>
    <n v="16589.03"/>
    <n v="7930"/>
    <n v="3140"/>
    <x v="1"/>
    <x v="1"/>
    <n v="0"/>
    <n v="3140"/>
    <x v="1"/>
    <s v="NA"/>
    <n v="0"/>
    <s v="TL045"/>
    <x v="0"/>
    <s v="TC084"/>
    <x v="0"/>
    <s v="15-175 SUNNAMBATTI STREET HASAN STREET KURNOOL ANP 518360"/>
    <s v="GH FRUITS MARCHENT 1/490/1SHIVA CYCLE BUS STAND ROAD YEMMIGANUR SHIVA CYCLE BUS STAND ROAD YEMMIGANUR KURNOOL ANP 518360"/>
    <s v="KURNOOL"/>
    <x v="0"/>
    <x v="15"/>
    <s v="FO040"/>
    <s v="PURNA"/>
    <n v="802862338"/>
    <s v="Ssd@9290"/>
    <s v="UPLOADED"/>
    <m/>
    <x v="1"/>
    <m/>
    <m/>
    <x v="0"/>
    <d v="2024-06-20T00:00:00"/>
    <n v="24887.24"/>
    <s v="0000000029184243"/>
    <s v="ICICI Sapphiro Master PLT Chip Card"/>
    <s v="6TH OCT"/>
    <d v="2026-09-20T00:00:00"/>
  </r>
  <r>
    <s v="6528682202273004"/>
    <s v="MR Jelli Prema Vishal"/>
    <s v="N"/>
    <x v="1"/>
    <s v="7032464090"/>
    <s v="X"/>
    <n v="-55183.5"/>
    <n v="100000"/>
    <n v="44816.5"/>
    <n v="19034.73"/>
    <n v="25781.77"/>
    <n v="23016.76"/>
    <n v="7480"/>
    <n v="3370"/>
    <x v="0"/>
    <x v="2"/>
    <n v="3400"/>
    <n v="-30"/>
    <x v="4"/>
    <s v="TC"/>
    <n v="0"/>
    <s v="TL045"/>
    <x v="0"/>
    <s v="TC084"/>
    <x v="0"/>
    <s v="81.255.37 BACHUM.PALLI ..BACHUM.PALLICuddapah CUDDAPAH ANP 516002"/>
    <s v="GOVERNMENT.GENRAL.HOSPITAL.KADAPA GOVERNMENT.GENRAL.HOSPITAL.PUTLAMPALLI. PUTLAMPALLI. CUDDAPAH ANP 516001"/>
    <s v="CUDDAPAH"/>
    <x v="0"/>
    <x v="16"/>
    <s v="FO080"/>
    <s v="Y GANESH"/>
    <n v="802823528"/>
    <s v="Sms@9290"/>
    <s v="UPLOADED"/>
    <m/>
    <x v="0"/>
    <s v="LIVE"/>
    <s v=" customer given working address location visit it's live and customer respond in call and said that he will do the bill payment after 2 days sir  // customer given residency address location visit it's live and meet with customer he responded and said that he will do the bill payment today EOD sir  // re-visit to customer location but customer is not available at home his mother responded and said today evening they will pay the bill payment sir customer is not respond to calls sir "/>
    <x v="3"/>
    <s v=""/>
    <n v="0"/>
    <s v="0000000032760457"/>
    <s v="ICICI Bank Coral RuPay Credit Card"/>
    <s v="6TH OCT"/>
    <d v="2026-09-20T00:00:00"/>
  </r>
  <r>
    <s v="6528681706895007"/>
    <s v="MR MOLABANTI SIVA PRASAD"/>
    <s v="O"/>
    <x v="1"/>
    <s v="7330914392"/>
    <s v="X"/>
    <n v="2544.8399999999965"/>
    <n v="40000"/>
    <n v="42544.84"/>
    <s v=""/>
    <n v="42544.84"/>
    <n v="36020.58"/>
    <n v="14710"/>
    <n v="7700"/>
    <x v="0"/>
    <x v="2"/>
    <n v="10000"/>
    <n v="-2300"/>
    <x v="12"/>
    <s v="FE"/>
    <n v="0"/>
    <s v="TL045"/>
    <x v="3"/>
    <s v="TC126"/>
    <x v="1"/>
    <s v="5-6 PAMIDIMUKKALA MANDALAM  VIJAYAWADA ANP 521256"/>
    <s v="HEMA TEXTILES SHOP NO 1-35,MANTADAKODUMUKKALA MANDALAM KODUMUKKALA MANDALAM VIJAYAWADA ANP 521256"/>
    <s v="VIJAYAWADA"/>
    <x v="3"/>
    <x v="17"/>
    <s v="FO051"/>
    <s v="BOJJA KRISHNA SAI"/>
    <n v="802663436"/>
    <s v="Sgr@9290"/>
    <s v="UPLOADED"/>
    <m/>
    <x v="0"/>
    <s v="LIVE"/>
    <s v="Customer commitment today evening 2 pm"/>
    <x v="9"/>
    <s v=""/>
    <n v="0"/>
    <s v="0000000031461143"/>
    <s v="ICICI Bank Coral RuPay Credit Card"/>
    <s v="6TH OCT"/>
    <d v="2026-09-20T00:00:00"/>
  </r>
  <r>
    <s v="4035620727326007"/>
    <s v="MR MARAM RANJITH"/>
    <s v="N"/>
    <x v="2"/>
    <s v="9849374796"/>
    <s v="X"/>
    <n v="16547.48000000001"/>
    <n v="220000"/>
    <n v="236547.48"/>
    <s v=""/>
    <n v="236547.48"/>
    <n v="220000"/>
    <n v="53720"/>
    <n v="11000"/>
    <x v="0"/>
    <x v="2"/>
    <n v="18392.939999999999"/>
    <n v="-7392.9399999999987"/>
    <x v="11"/>
    <s v="FE"/>
    <n v="0"/>
    <s v="TL045"/>
    <x v="1"/>
    <s v="TC003"/>
    <x v="0"/>
    <s v="33-5-179 RANGASHAIPET. 506166 OPP.NAIDU PETROL PUMPTELANGANA WARANGAL TNG 506166"/>
    <s v="MARUTHXXXXXXXXXXXXX PLOT NXXXXXXXXXXXXXXXXXGOREGUNDA X RD WARANGAL GOREGUNDA X RD WARANGAL WARANGAL TNG 506001"/>
    <s v="WARANGAL"/>
    <x v="2"/>
    <x v="18"/>
    <s v="FO055"/>
    <s v="AKHIL"/>
    <n v="801772792"/>
    <s v="Sgr@9290"/>
    <s v="UPLOADED"/>
    <m/>
    <x v="0"/>
    <s v="LIVE"/>
    <s v="Met with customer and said business loss he will call back on Month end  // Left msg to cust's family members and cust no respond to calls will update "/>
    <x v="10"/>
    <d v="2025-12-23T00:00:00"/>
    <n v="200000"/>
    <s v="0000000023780389"/>
    <s v="ICICI Bank Coral RuPay Credit Card"/>
    <s v="6TH OCT"/>
    <d v="2026-09-21T00:00:00"/>
  </r>
  <r>
    <s v="6530750206656007"/>
    <s v="Mr CHEBROLU RAM CHEBROLU RAM BABU"/>
    <s v="N"/>
    <x v="2"/>
    <s v="9703403330"/>
    <s v="X"/>
    <n v="3531.5299999999988"/>
    <n v="100000"/>
    <n v="103531.53"/>
    <n v="8749.7000000000007"/>
    <n v="94781.83"/>
    <n v="84701.47"/>
    <n v="18310"/>
    <n v="8117.94"/>
    <x v="1"/>
    <x v="1"/>
    <n v="184.57"/>
    <n v="7933.37"/>
    <x v="1"/>
    <s v="NA"/>
    <n v="0"/>
    <s v="TL045"/>
    <x v="3"/>
    <s v="TC126"/>
    <x v="0"/>
    <s v="9 12 3/1 Rayala Vari Street ST Anns School Road Nidadavole Mandalam Nidadavole West Godavari ANP 534301"/>
    <s v="     "/>
    <s v="TADEPALLIGUDEM"/>
    <x v="3"/>
    <x v="19"/>
    <s v="FO093"/>
    <s v="MANIKANTA"/>
    <n v="802852449"/>
    <s v="Ssd@9290"/>
    <s v="UPLOADED"/>
    <m/>
    <x v="0"/>
    <s v="SKIP"/>
    <s v="ustomer not available this address phone not answering sir "/>
    <x v="11"/>
    <d v="2026-09-03T00:00:00"/>
    <n v="80730.78"/>
    <s v="0000000035488687"/>
    <s v="ICICI Bank MakeMyTrip Travel Credit Card - RuPay"/>
    <s v="6TH OCT"/>
    <d v="2026-09-21T00:00:00"/>
  </r>
  <r>
    <s v="6530750099572006"/>
    <s v="MR PRANAY CHOWDARY KHAJA"/>
    <s v="N"/>
    <x v="2"/>
    <s v="9066434639"/>
    <s v="X"/>
    <n v="-314115.71000000002"/>
    <n v="370000"/>
    <n v="55884.29"/>
    <s v=""/>
    <n v="55884.29"/>
    <n v="52999.9"/>
    <n v="4680"/>
    <n v="1537.33"/>
    <x v="0"/>
    <x v="0"/>
    <n v="5080"/>
    <n v="-3542.67"/>
    <x v="4"/>
    <s v="TC"/>
    <n v="0"/>
    <s v="TL045"/>
    <x v="0"/>
    <s v="TC084"/>
    <x v="0"/>
    <s v="12-,113 B V NAGAR GOSPADU ,MANDAL BV,NAG GOSPADU GOSPADU NANDYAL ANP 518573"/>
    <s v="     "/>
    <s v="NANDYAL"/>
    <x v="0"/>
    <x v="20"/>
    <s v="FO021"/>
    <s v="HARI"/>
    <n v="802388289"/>
    <s v="Ssd@9290"/>
    <s v="UPLOADED"/>
    <m/>
    <x v="0"/>
    <s v="DL"/>
    <s v="customer house address visit customer house door lock neighbours told customer working in Hyderabad customer mobile responding call back "/>
    <x v="6"/>
    <d v="2026-07-13T00:00:00"/>
    <n v="5001"/>
    <s v="0000000033593252"/>
    <s v="ICICI Bank MakeMyTrip Travel Credit Card - RuPay"/>
    <s v="6TH OCT"/>
    <d v="2026-09-21T00:00:00"/>
  </r>
  <r>
    <s v="4748466919556003"/>
    <s v="MR SHAIK DADAPEER"/>
    <s v="N"/>
    <x v="3"/>
    <s v="9160186773"/>
    <s v="X"/>
    <n v="591930.62"/>
    <n v="250000"/>
    <n v="841930.62"/>
    <n v="751365.24"/>
    <n v="90565.38"/>
    <n v="74292.160000000003"/>
    <n v="90565.38"/>
    <n v="43473.96"/>
    <x v="0"/>
    <x v="2"/>
    <n v="45000"/>
    <n v="-1526.0400000000009"/>
    <x v="1"/>
    <s v="NA"/>
    <n v="0"/>
    <s v="TL045"/>
    <x v="0"/>
    <s v="TC084"/>
    <x v="0"/>
    <s v="1-718/3 B.C.COLONY BANAGANAPALLE NANDYAL ANP 518124"/>
    <s v="ACCENTXXXXXXXXXXXXXXXXXXXXXXXXXXXXX ACCENTXXXXXXXXXXXXXXXXXXXXX HIGH TECH CITY,RAJHAENCLIVE,HYD HIGH TECH CITY,RAJHAENCLIVE,HYD HYDERABAD TNG 500085"/>
    <s v="NANDYAL"/>
    <x v="0"/>
    <x v="20"/>
    <s v="FO021"/>
    <s v="HARI"/>
    <n v="802388289"/>
    <s v="Ssd@9290"/>
    <s v="UPLOADED"/>
    <m/>
    <x v="0"/>
    <s v="LIVE"/>
    <s v=" customer house address visit customer not available customer mobile responding call back "/>
    <x v="5"/>
    <d v="2025-09-05T00:00:00"/>
    <n v="5550"/>
    <s v="0000000026447616"/>
    <s v="ICICI Bank HPCL Super Saver Visa Credit Card"/>
    <s v="7TH OCT"/>
    <d v="2026-10-23T00:00:00"/>
  </r>
  <r>
    <s v="4315815186098011"/>
    <s v="MR CHIGURAKULA HEMANTH KUMAR"/>
    <s v="N"/>
    <x v="3"/>
    <s v="7207107529"/>
    <s v="X"/>
    <n v="-3105.3999999999942"/>
    <n v="140000"/>
    <n v="136894.6"/>
    <n v="109359.25"/>
    <n v="27535.35"/>
    <n v="23035.66"/>
    <n v="19670"/>
    <n v="8345.93"/>
    <x v="0"/>
    <x v="2"/>
    <n v="13000"/>
    <n v="-4654.07"/>
    <x v="4"/>
    <s v="TC"/>
    <n v="0"/>
    <s v="TL045"/>
    <x v="3"/>
    <s v="TC126"/>
    <x v="0"/>
    <s v="06.06.06 naidupetawest.street Nellore GUDUR ANP 524126"/>
    <s v="TELUS.XXXXXXXXXXXXX 6.6.66XXXXXXXXXXXX PARK.BACKSIDE.. PARK.BACKSIDE.. GUDUR ANP 524126"/>
    <s v="GUDUR"/>
    <x v="5"/>
    <x v="21"/>
    <s v="FO042"/>
    <s v="IMAMVALLI"/>
    <n v="802789320"/>
    <s v="Ssd@9290"/>
    <s v="UPLOADED"/>
    <m/>
    <x v="0"/>
    <s v="DL"/>
    <s v="cm door locked sir cm call not answering sir "/>
    <x v="12"/>
    <d v="2026-09-15T00:00:00"/>
    <n v="300"/>
    <s v="0000000031166161"/>
    <s v="Amazon Pay ICICI Bank Credit Card"/>
    <s v="7TH OCT"/>
    <d v="2026-10-23T00:00:00"/>
  </r>
  <r>
    <s v="4315812076306000"/>
    <s v="Mr KANDUKURI NIRANJAN REDDY"/>
    <s v="N"/>
    <x v="3"/>
    <s v="8125785905"/>
    <s v="X"/>
    <n v="-258354"/>
    <n v="330000"/>
    <n v="71646"/>
    <s v=""/>
    <n v="71646"/>
    <n v="66760.759999999995"/>
    <n v="10550"/>
    <n v="5280"/>
    <x v="1"/>
    <x v="1"/>
    <n v="0"/>
    <n v="5280"/>
    <x v="1"/>
    <s v="NA"/>
    <n v="0"/>
    <s v="TL045"/>
    <x v="0"/>
    <s v="TC084"/>
    <x v="0"/>
    <s v="2-24,GARUGUCHINTALAPALLI,PUTLUR,PUTLUR, CHINTALAPALLE  ANANTAPUR ANP 515414"/>
    <s v="NiranjXX AnantaXXX Anantapur Anantapur ANANTAPUR ANP 515411"/>
    <s v="ANANTAPUR"/>
    <x v="0"/>
    <x v="6"/>
    <s v="FO011"/>
    <s v="PAVAN"/>
    <n v="802823180"/>
    <s v="Sgr@9290"/>
    <s v="UPLOADED"/>
    <m/>
    <x v="0"/>
    <s v="LIVE"/>
    <s v="customer address visited customer not available customer phone PTP on 1st"/>
    <x v="12"/>
    <d v="2026-10-01T00:00:00"/>
    <n v="14000"/>
    <s v="0000000019898613"/>
    <s v="Amazon Pay ICICI Bank Credit Card"/>
    <s v="7TH OCT"/>
    <d v="2026-10-23T00:00:00"/>
  </r>
  <r>
    <s v="4035622862640002"/>
    <s v="MR RAMI RAJESH"/>
    <s v="N"/>
    <x v="3"/>
    <s v="9666631430"/>
    <s v="X"/>
    <n v="-124584.35"/>
    <n v="160000"/>
    <n v="35415.65"/>
    <n v="27632.06"/>
    <n v="7783.59"/>
    <n v="5653.63"/>
    <n v="7783.59"/>
    <n v="3394.93"/>
    <x v="0"/>
    <x v="0"/>
    <n v="7783.59"/>
    <n v="-4388.66"/>
    <x v="13"/>
    <s v="TC"/>
    <n v="0"/>
    <s v="TL045"/>
    <x v="3"/>
    <s v="TC126"/>
    <x v="0"/>
    <s v="KODURU PADU, GUDIPALLIPADUNELLORE RURAL NEAR SHIVALAYAM NELLORE ANP 524314"/>
    <s v="SRI LAXXXXXXXXXXXXXXXXXXXX NELLORX NELLORE NELLORE NELLORE ANP 524314"/>
    <s v="NELLORE"/>
    <x v="5"/>
    <x v="21"/>
    <s v="FO042"/>
    <s v="IMAMVALLI"/>
    <n v="802789320"/>
    <s v="Ssd@9290"/>
    <s v="UPLOADED"/>
    <m/>
    <x v="0"/>
    <m/>
    <m/>
    <x v="0"/>
    <d v="2024-11-29T00:00:00"/>
    <n v="17345.87"/>
    <s v="0000000023000365"/>
    <s v="ICICI Bank Platinum Chip Credit Card"/>
    <s v="7TH OCT"/>
    <d v="2026-10-23T00:00:00"/>
  </r>
  <r>
    <s v="6529190000731016"/>
    <s v="MR PENDYALA SRAVAN KUMAR"/>
    <s v="O"/>
    <x v="4"/>
    <s v="8501895313"/>
    <s v="X"/>
    <n v="1953.8499999999985"/>
    <n v="37000"/>
    <n v="38953.85"/>
    <s v=""/>
    <n v="38953.85"/>
    <n v="31822.71"/>
    <n v="12810"/>
    <n v="3591.06"/>
    <x v="0"/>
    <x v="2"/>
    <n v="4000"/>
    <n v="-408.94000000000005"/>
    <x v="7"/>
    <s v="TC"/>
    <n v="0"/>
    <s v="TL045"/>
    <x v="1"/>
    <s v="TC003"/>
    <x v="0"/>
    <s v="HNO-6-116/72/1 BEERAMGUDA JAWAHAR NAGAR COLONY  HYDERABADTNG502032 "/>
    <s v="SUBASH SEWIND MACHINES AND ELECTRICALS HNO 5-50/2/B CHANDANAGAR,LINGAMPALLY CHANDANAGAR,LINGAMPALLYHYDERABAD TNG500050"/>
    <s v="SANGAREDDY"/>
    <x v="2"/>
    <x v="2"/>
    <s v="FO076"/>
    <s v="RADHAKRISHNA"/>
    <n v="801354813"/>
    <s v="Sgr@9290"/>
    <s v="UPLOADED"/>
    <m/>
    <x v="0"/>
    <s v="MESS"/>
    <s v="-visited customer adress customer not available in form to her mother"/>
    <x v="6"/>
    <d v="2026-09-22T00:00:00"/>
    <n v="2328.94"/>
    <s v="0000000028406865"/>
    <s v="ICICI Bank Rubyx RuPay Credit Card"/>
    <s v="12TH OCT"/>
    <d v="2026-10-25T00:00:00"/>
  </r>
  <r>
    <s v="4748469608088007"/>
    <s v="MR MADDURU V RAGHAVENDRA"/>
    <s v="N"/>
    <x v="5"/>
    <s v="9398524968"/>
    <s v="X"/>
    <n v="399917.99"/>
    <n v="280000"/>
    <n v="679917.99"/>
    <n v="431734.7"/>
    <n v="248183.29"/>
    <n v="220820.11"/>
    <n v="88120"/>
    <n v="40750"/>
    <x v="1"/>
    <x v="1"/>
    <n v="0"/>
    <n v="40750"/>
    <x v="1"/>
    <s v="NA"/>
    <n v="0"/>
    <s v="TL045"/>
    <x v="0"/>
    <s v="TC084"/>
    <x v="0"/>
    <s v="9/84-1 2ND FLOOR TADIPATRI CHINNA BAZAR CHINNA BAZAR ANANTAPURANP515411 "/>
    <s v="GOVERNXXXXXXXXXXXXXXXXXXXXX WARD 2XXXXXXXXXXXXXXXXXXXXXXXXXXXXXXX MUNCIPALITY URBAN ANANTHAPUR DIST MUNCIPALITY URBAN ANANTHAPUR DISTANANTAPUR ANP515411"/>
    <s v="ANANTAPUR"/>
    <x v="0"/>
    <x v="6"/>
    <s v="FO011"/>
    <s v="PAVAN"/>
    <n v="802823180"/>
    <s v="Sgr@9290"/>
    <s v="UPLOADED"/>
    <m/>
    <x v="0"/>
    <s v="SKIP"/>
    <s v="Customer house shifted _x000a_Customer calls not responding"/>
    <x v="13"/>
    <d v="2024-11-26T00:00:00"/>
    <n v="55500"/>
    <s v="0000000027751939"/>
    <s v="ICICI Bank HPCL Super Saver Visa Credit Card"/>
    <s v="12TH OCT"/>
    <d v="2026-10-26T00:00:00"/>
  </r>
  <r>
    <s v="4375518915876007"/>
    <s v="MR VENKATESHAM JALIGAM"/>
    <s v="N"/>
    <x v="5"/>
    <s v="9951774584"/>
    <s v="X"/>
    <n v="4102.2599999999948"/>
    <n v="90000"/>
    <n v="94102.26"/>
    <s v=""/>
    <n v="94102.26"/>
    <n v="89009.67"/>
    <n v="15570"/>
    <n v="5250"/>
    <x v="1"/>
    <x v="1"/>
    <n v="0"/>
    <n v="5250"/>
    <x v="1"/>
    <s v="NA"/>
    <n v="0"/>
    <s v="TL045"/>
    <x v="2"/>
    <s v="TC114"/>
    <x v="0"/>
    <s v="H NO 5-42 MADHAPUR S C COLONY  NEAR POST OFFICE NalgondaTNG508116 "/>
    <s v="GOVT OXXXXXXXXXXX TELANGXXXXXXXXXXXXXXXXXXXXXXXXXXXX  Nalgonda TNG508116"/>
    <s v="NALGONDA"/>
    <x v="2"/>
    <x v="4"/>
    <s v="FO031"/>
    <s v="B SRIKANTH"/>
    <n v="803037151"/>
    <s v="Ssde@9290"/>
    <s v="UPLOADED"/>
    <m/>
    <x v="1"/>
    <m/>
    <m/>
    <x v="0"/>
    <d v="2026-09-26T00:00:00"/>
    <n v="13800"/>
    <s v="0000000012711364"/>
    <s v="ICICI Bank Coral Credit Card"/>
    <s v="12TH OCT"/>
    <d v="2026-10-26T00:00:00"/>
  </r>
  <r>
    <s v="5241930618023002"/>
    <s v="MR JAGADEESH REDDY KETHA"/>
    <s v="N"/>
    <x v="6"/>
    <s v="9491918283"/>
    <s v="X"/>
    <n v="104697.39000000001"/>
    <n v="787000"/>
    <n v="891697.39"/>
    <n v="634673.29"/>
    <n v="257024.1"/>
    <n v="237104.76"/>
    <n v="112100"/>
    <n v="55000"/>
    <x v="0"/>
    <x v="0"/>
    <n v="280767.39"/>
    <n v="-225767.39"/>
    <x v="14"/>
    <s v="FE"/>
    <n v="0"/>
    <s v="TL045"/>
    <x v="3"/>
    <s v="TC126"/>
    <x v="0"/>
    <s v="24-2-1959 PLOTNO 202 A-BLOCK DEERAJ HEIGHTS APRTMENT MAGUNTA LAY OUT NEAR P C R KALYANA  NELLORE ANP 524003"/>
    <s v="JAGADEESHREDDY REAL ESTA DHER HEIGHTS AP MAGU LAY OUT   NELLORE ANP 524003"/>
    <s v="NELLORE"/>
    <x v="5"/>
    <x v="21"/>
    <s v="FO042"/>
    <s v="IMAMVALLI"/>
    <n v="802789320"/>
    <s v="Ssd@9290"/>
    <s v="UPLOADED"/>
    <m/>
    <x v="0"/>
    <s v="LIVE"/>
    <s v=": cm not available sir cm call answered given ptp 17th sir"/>
    <x v="2"/>
    <d v="2026-05-03T00:00:00"/>
    <n v="100000"/>
    <s v="0000000030050118"/>
    <s v="ICICI Rubyx Master PLT Chip Card"/>
    <s v="13TH OCT"/>
    <m/>
  </r>
  <r>
    <s v="4748469636424000"/>
    <s v="MS K S NASREEN"/>
    <s v="N"/>
    <x v="6"/>
    <s v="7780711329"/>
    <s v="X"/>
    <n v="436649.32999999996"/>
    <n v="260000"/>
    <n v="696649.33"/>
    <n v="582662.86"/>
    <n v="113986.47"/>
    <n v="103732.34"/>
    <n v="96720"/>
    <n v="48460"/>
    <x v="1"/>
    <x v="1"/>
    <n v="0"/>
    <n v="48460"/>
    <x v="1"/>
    <s v="NA"/>
    <n v="0"/>
    <s v="TL045"/>
    <x v="0"/>
    <s v="TC084"/>
    <x v="0"/>
    <s v="27/169 MOOLASAGARAM  MOHAMADIYA MASJID NANDYAL ANP 518501"/>
    <s v="DEPARTMENT OF POSTS PARK ROAD, NANDYALA OPPOSITE GANDHI CHOWK OPPOSITE GANDHI CHOWK NANDYAL ANP 518501"/>
    <s v="NANDYAL"/>
    <x v="0"/>
    <x v="20"/>
    <s v="FO021"/>
    <s v="HARI"/>
    <n v="802388289"/>
    <s v="Ssd@9290"/>
    <s v="UPLOADED"/>
    <m/>
    <x v="0"/>
    <s v="LIVE"/>
    <s v="customer house address visit customer not available customer mobile not responding  // customer PTP 28th"/>
    <x v="14"/>
    <d v="2024-12-28T00:00:00"/>
    <n v="20768"/>
    <s v="0000000029045570"/>
    <s v="ICICI Bank Coral RuPay Credit Card"/>
    <s v="13TH OCT"/>
    <m/>
  </r>
  <r>
    <s v="5241930683250001"/>
    <s v="MR CHAKALI RAMA MOHAN"/>
    <s v="N"/>
    <x v="6"/>
    <s v="9642801704"/>
    <s v="X"/>
    <n v="-12329.969999999972"/>
    <n v="280000"/>
    <n v="267670.03000000003"/>
    <n v="238247.63"/>
    <n v="29422.400000000001"/>
    <n v="19471.689999999999"/>
    <n v="29422.400000000001"/>
    <n v="6671.79"/>
    <x v="1"/>
    <x v="1"/>
    <n v="0"/>
    <n v="6671.79"/>
    <x v="1"/>
    <s v="NA"/>
    <n v="0"/>
    <s v="TL045"/>
    <x v="0"/>
    <s v="TC084"/>
    <x v="0"/>
    <s v="48/3,SUNKULAMMA VEEDI OWK,MANDAL UPPALAPADU, UPPALAPADU, KURNOOL ANDHRAPRADESH NEAR SUNKULAMMA VEEDI OWK NANDYAL ANP 518122"/>
    <s v="QUINNOX CONSULTANCY SERVICES LIMITED 2324,3RD FLOOR,AMR TECH PARK-4,HOSUR MAIN ROAD, BANGALORE MAIN ROAD, BANGALORE BANGALORE KAR 560068"/>
    <s v="NANDYAL"/>
    <x v="0"/>
    <x v="20"/>
    <s v="FO021"/>
    <s v="HARI"/>
    <n v="802388289"/>
    <s v="Ssd@9290"/>
    <s v="UPLOADED"/>
    <m/>
    <x v="1"/>
    <m/>
    <m/>
    <x v="0"/>
    <d v="2026-10-08T00:00:00"/>
    <n v="20100"/>
    <s v="0000000030713964"/>
    <s v="ICICI Sapphiro Master PLT Chip Card"/>
    <s v="13TH OCT"/>
    <m/>
  </r>
  <r>
    <s v="4748469382973002"/>
    <s v="MR MAHAMAD HAMID"/>
    <s v="N"/>
    <x v="6"/>
    <s v="8639103178"/>
    <s v="X"/>
    <n v="9597.6499999999942"/>
    <n v="200000"/>
    <n v="209597.65"/>
    <s v=""/>
    <n v="209597.65"/>
    <n v="198638.38"/>
    <n v="51420"/>
    <n v="30570"/>
    <x v="1"/>
    <x v="1"/>
    <n v="0"/>
    <n v="30570"/>
    <x v="1"/>
    <s v="NA"/>
    <n v="0"/>
    <s v="TL045"/>
    <x v="2"/>
    <s v="TC114"/>
    <x v="0"/>
    <s v="H NO 5-12-56  RAHAMAT NAGAR B T S NALGON DA POST NALGONDA VERY NEAR BY VENKATESH WARA TEMPLE AND BESIDE  OF  SHAIK HUSSAI N MASJID LINE RAHAMAT NAGAR COLONY NALGONDA TNG 508001"/>
    <s v="HELLA INFRA MARKET LIMITED KNOWLEDGE CITY 14TH FLOOR DALLAS CENTRE DALLAS CENTRE RAYADURGAM HITECH CITY MAI DALLAS CENTRE RAYADURGAM HITECH CITY MAI HYDERABAD TNG 500032"/>
    <s v="NALGONDA"/>
    <x v="2"/>
    <x v="4"/>
    <s v="FO031"/>
    <s v="B SRIKANTH"/>
    <n v="803037151"/>
    <s v="Ssde@9290"/>
    <s v="UPLOADED"/>
    <m/>
    <x v="0"/>
    <s v="LIVE"/>
    <s v=" Customer Adress visit and Customer ptp on 20th"/>
    <x v="5"/>
    <d v="2026-09-30T00:00:00"/>
    <n v="20210"/>
    <s v="0000000024152772"/>
    <s v="ICICI Bank HPCL Super Saver Visa Credit Card"/>
    <s v="13TH OCT"/>
    <m/>
  </r>
  <r>
    <s v="5241934311282006"/>
    <s v="MR SUNKARA SUBBARAYUDU"/>
    <s v="N"/>
    <x v="6"/>
    <s v="8897512151"/>
    <s v="X"/>
    <n v="7269.359999999986"/>
    <n v="200000"/>
    <n v="207269.36"/>
    <n v="169671.67"/>
    <n v="37597.69"/>
    <n v="30496.65"/>
    <n v="20630"/>
    <n v="5210"/>
    <x v="1"/>
    <x v="1"/>
    <n v="0"/>
    <n v="5210"/>
    <x v="1"/>
    <s v="NA"/>
    <n v="0"/>
    <s v="TL045"/>
    <x v="0"/>
    <s v="TC084"/>
    <x v="0"/>
    <s v="90/157 MAMILLAPALLE MAMILLAPALLE CHINTHAKOMMA DINNE   CUDDAPAH ANP 516004"/>
    <s v="kadapa rims road estet kadspa rims road    CUDDAPAH ANP 516004"/>
    <s v="CUDDAPAH"/>
    <x v="0"/>
    <x v="16"/>
    <s v="FO080"/>
    <s v="Y GANESH"/>
    <n v="802823528"/>
    <s v="Sms@9290"/>
    <s v="UPLOADED"/>
    <m/>
    <x v="0"/>
    <s v="MESS"/>
    <s v="customer given residency address location visit it's live but customer is not available at home his wife respond and said they are facing financial issues because of the customer has got fracture to hand over 6 months ago , his wife has submitted the hospital reports sir and called to customer he responded in call and asking for time sir"/>
    <x v="15"/>
    <s v=""/>
    <n v="0"/>
    <s v="0000000034638261"/>
    <s v="ICICI Bank Coral RuPay Credit Card"/>
    <s v="13TH OCT"/>
    <m/>
  </r>
  <r>
    <s v="5241930867439008"/>
    <s v="MR AHMED UDDIN"/>
    <s v="N"/>
    <x v="6"/>
    <s v="9849208198"/>
    <s v="X"/>
    <n v="11985.48000000001"/>
    <n v="160000"/>
    <n v="171985.48"/>
    <n v="132415.24"/>
    <n v="39570.239999999998"/>
    <n v="27207.02"/>
    <n v="36870"/>
    <n v="19840"/>
    <x v="0"/>
    <x v="0"/>
    <n v="39570.239999999998"/>
    <n v="-19730.239999999998"/>
    <x v="15"/>
    <s v="FE"/>
    <n v="0"/>
    <s v="TL045"/>
    <x v="1"/>
    <s v="TC003"/>
    <x v="0"/>
    <s v="2 33 PEECHARA PEECHARA LAXMANCHANDA    ADILABAD TNG 504105"/>
    <s v="CEEJAY TOBACCO LIMITED NIRMAL VENKATAPUR ROAD NIRMAL NIRMAL ADILABAD TNG 504106"/>
    <s v="ADILABAD"/>
    <x v="2"/>
    <x v="22"/>
    <s v="FO056"/>
    <s v="KANTH"/>
    <n v="802794852"/>
    <s v="Ssd@9290"/>
    <s v="UPLOADED"/>
    <m/>
    <x v="0"/>
    <s v="LIVE"/>
    <s v="customer visit office address customer Live present not available talk to phone PTP 18th"/>
    <x v="5"/>
    <d v="2026-08-01T00:00:00"/>
    <n v="19600"/>
    <s v="0000000032507195"/>
    <s v="ICICI Bank Coral RuPay Credit Card"/>
    <s v="13TH OCT"/>
    <m/>
  </r>
  <r>
    <s v="5241930808734004"/>
    <s v="MR POKALA RAVI KUMAR"/>
    <s v="N"/>
    <x v="6"/>
    <s v="7013177787"/>
    <s v="X"/>
    <n v="8254.8500000000058"/>
    <n v="148000"/>
    <n v="156254.85"/>
    <n v="35825.56"/>
    <n v="120429.29"/>
    <n v="109876.99"/>
    <n v="40230"/>
    <n v="21040"/>
    <x v="1"/>
    <x v="1"/>
    <n v="0"/>
    <n v="21040"/>
    <x v="1"/>
    <s v="NA"/>
    <n v="0"/>
    <s v="TL045"/>
    <x v="3"/>
    <s v="TC126"/>
    <x v="0"/>
    <s v="B C COLONY NARASAPURAM INDUKURUPETA    NELLORE ANP 524313"/>
    <s v="OTHERS OSMAN SAGAR ROAD NARSING NARSING HYDERABAD TNG 500075"/>
    <s v="NELLORE"/>
    <x v="5"/>
    <x v="21"/>
    <s v="FO042"/>
    <s v="IMAMVALLI"/>
    <n v="802789320"/>
    <s v="Ssd@9290"/>
    <s v="UPLOADED"/>
    <m/>
    <x v="0"/>
    <s v="LIVE"/>
    <s v="m new address sir cm not available cm call answered will call back later s"/>
    <x v="14"/>
    <s v=""/>
    <n v="0"/>
    <s v="0000000031890713"/>
    <s v="ICICI Rubyx Master PLT Chip Card"/>
    <s v="13TH OCT"/>
    <m/>
  </r>
  <r>
    <s v="5241930525015000"/>
    <s v="MR POLI SUDHAKAR"/>
    <s v="N"/>
    <x v="6"/>
    <s v="9866662480"/>
    <s v="X"/>
    <n v="-44604.84"/>
    <n v="170000"/>
    <n v="125395.16"/>
    <s v=""/>
    <n v="125395.16"/>
    <n v="117095.57"/>
    <n v="28460"/>
    <n v="20789"/>
    <x v="0"/>
    <x v="0"/>
    <n v="28460"/>
    <n v="-7671"/>
    <x v="11"/>
    <s v="TC"/>
    <n v="0"/>
    <s v="TL045"/>
    <x v="0"/>
    <s v="TC084"/>
    <x v="0"/>
    <s v="2/48 R GOLLAPALLI RANGAMPALLE, PULLAMPETA KADAPA DISTRICT YSR KADAPA NEAR RAMALAYAM CUDDAPAH ANP 516107"/>
    <s v="TRJA CONSTRUCTIONS HNO 2/48 RANGAMPALLI PULLAMPET PULLAMPET CUDDAPAH ANP 516107"/>
    <s v="CUDDAPAH"/>
    <x v="0"/>
    <x v="16"/>
    <s v="FO080"/>
    <s v="Y GANESH"/>
    <n v="802823528"/>
    <s v="Sms@9290"/>
    <s v="UPLOADED"/>
    <m/>
    <x v="0"/>
    <m/>
    <m/>
    <x v="0"/>
    <d v="2026-09-29T00:00:00"/>
    <n v="49030"/>
    <s v="0000000028267285"/>
    <s v="ICICI Rubyx Master PLT Chip Card"/>
    <s v="13TH OCT"/>
    <m/>
  </r>
  <r>
    <s v="4748469479944007"/>
    <s v="MR KAMMARI NAGARAJ"/>
    <s v="N"/>
    <x v="6"/>
    <s v="8500949374"/>
    <s v="W"/>
    <n v="-71451.320000000007"/>
    <n v="180000"/>
    <n v="108548.68"/>
    <s v=""/>
    <n v="108548.68"/>
    <n v="103342.19"/>
    <n v="11820"/>
    <n v="5930"/>
    <x v="0"/>
    <x v="0"/>
    <n v="12000"/>
    <n v="-6070"/>
    <x v="7"/>
    <s v="TC"/>
    <n v="0"/>
    <s v="TL045"/>
    <x v="1"/>
    <s v="TC003"/>
    <x v="0"/>
    <s v="FLOT NO 205 SHIVANI RESIDENCY BYEPASS ROAD SANGAREDDY HYDERABAD ABOVE MORE SUPER MARKET &amp;  NEAR AROMA RESTAURENT SANGAREDDY HYDERABAD TNG 502001"/>
    <s v="HCL TECHNOLOGIES LIMITED SUR NO 30,34,35,38 AVANCE BUSINESS HUB SEZ PHASE 2 HITECH CITY HYDERABAD SEZ PHASE 2 HITECH CITY HYDERABAD HYDERABAD TNG 500081"/>
    <s v="MEDAK"/>
    <x v="2"/>
    <x v="2"/>
    <s v="FO076"/>
    <s v="RADHAKRISHNA"/>
    <n v="801354813"/>
    <s v="Sgr@9290"/>
    <s v="UPLOADED"/>
    <m/>
    <x v="0"/>
    <m/>
    <m/>
    <x v="0"/>
    <d v="2026-09-11T00:00:00"/>
    <n v="11550"/>
    <s v="0000000025363369"/>
    <s v="ICICI Bank HPCL Super Saver Visa Credit Card"/>
    <s v="13TH OCT"/>
    <m/>
  </r>
  <r>
    <s v="5241934248902007"/>
    <s v="MR RAMANA DWARAKA"/>
    <s v="N"/>
    <x v="6"/>
    <s v="9491714140"/>
    <s v="X"/>
    <n v="-26477.229999999996"/>
    <n v="100000"/>
    <n v="73522.77"/>
    <n v="38807.65"/>
    <n v="34715.120000000003"/>
    <n v="29099.33"/>
    <n v="34715.120000000003"/>
    <n v="17284.580000000002"/>
    <x v="1"/>
    <x v="1"/>
    <n v="15000"/>
    <n v="2284.5800000000017"/>
    <x v="1"/>
    <s v="NA"/>
    <n v="0"/>
    <s v="TL045"/>
    <x v="0"/>
    <s v="TC084"/>
    <x v="0"/>
    <s v="7/730 DRIVER KOTTALA PRODDATUR NEAR DARGA PRODDATUR ANP 516360"/>
    <s v="JUTURU AGENCIES 9/520 MYDUKUR ROAD PRODDATUR PRODDATUR PRODDATUR ANP 516360"/>
    <s v="PRODDATUR"/>
    <x v="0"/>
    <x v="23"/>
    <s v="FO124 "/>
    <s v="VSSK PRASAD"/>
    <n v="802349062"/>
    <s v="Ssd@9290"/>
    <s v="UPLOADED"/>
    <m/>
    <x v="1"/>
    <m/>
    <m/>
    <x v="0"/>
    <d v="2024-06-01T00:00:00"/>
    <n v="11441.07"/>
    <s v="0000000018919920"/>
    <s v="ICICI Bank Coral American Express Credit Card"/>
    <s v="13TH OCT"/>
    <m/>
  </r>
  <r>
    <s v="4315812654374008"/>
    <s v="MR Parankusham Manoj"/>
    <s v="O"/>
    <x v="7"/>
    <s v="9581365525"/>
    <s v="X"/>
    <n v="483351.07999999996"/>
    <n v="420000"/>
    <n v="903351.08"/>
    <n v="545005.06999999995"/>
    <n v="358346.01"/>
    <n v="338203.53"/>
    <n v="120910"/>
    <n v="67670"/>
    <x v="1"/>
    <x v="1"/>
    <n v="0"/>
    <n v="67670"/>
    <x v="1"/>
    <s v="NA"/>
    <n v="0"/>
    <s v="TL045"/>
    <x v="1"/>
    <s v="TC003"/>
    <x v="0"/>
    <s v="G 103 Police Camp Kondapur Eight batalian APSP HYDERABAD TNG 500084"/>
    <s v="ANANTHA SAI GRAPHICS 12-6/1, NNR COMPLEX, NH9, PATANCHERU NH9, PATANCHERU HYDERABAD TNG 502319"/>
    <s v="SANGAREDDY"/>
    <x v="2"/>
    <x v="2"/>
    <s v="FO076"/>
    <s v="RADHAKRISHNA"/>
    <n v="801354813"/>
    <s v="Sgr@9290"/>
    <s v="UPLOADED"/>
    <m/>
    <x v="1"/>
    <m/>
    <m/>
    <x v="0"/>
    <d v="2024-06-19T00:00:00"/>
    <n v="26300"/>
    <s v="0000000021378886"/>
    <s v="Amazon Pay ICICI Bank Credit Card"/>
    <s v="14TH OCT"/>
    <d v="2026-10-30T00:00:00"/>
  </r>
  <r>
    <s v="4315814600457002"/>
    <s v="Ms SRI LAKSHMI BELLAMKONDA"/>
    <s v="O"/>
    <x v="7"/>
    <s v="9848098191"/>
    <s v="X"/>
    <n v="166042.68999999994"/>
    <n v="450000"/>
    <n v="616042.68999999994"/>
    <n v="116740.86"/>
    <n v="499301.83"/>
    <n v="461599.31"/>
    <n v="217630"/>
    <n v="117660"/>
    <x v="1"/>
    <x v="1"/>
    <n v="0"/>
    <n v="117660"/>
    <x v="1"/>
    <s v="NA"/>
    <n v="0"/>
    <s v="TL045"/>
    <x v="1"/>
    <s v="TC003"/>
    <x v="0"/>
    <s v="201,SRI GURUDATTA NILAYAM,2,NARAYANA REDDY, NARAYANA REDDY COLONY   NELLORE ANP 524314"/>
    <s v="Sri Lakshmi Flat no 201,Sri gurudatta nilayam, Narayana Reddy colony, ameenpur Narayana Reddy colony, ameenpur HYDERABAD TNG 502032"/>
    <s v="SANGAREDDY"/>
    <x v="2"/>
    <x v="2"/>
    <s v="FO076"/>
    <s v="RADHAKRISHNA"/>
    <n v="801354813"/>
    <s v="Sgr@9290"/>
    <s v="UPLOADED"/>
    <m/>
    <x v="1"/>
    <m/>
    <m/>
    <x v="0"/>
    <d v="2026-07-28T00:00:00"/>
    <n v="89835"/>
    <s v="0000000028552098"/>
    <s v="Amazon Pay ICICI Bank Credit Card"/>
    <s v="14TH OCT"/>
    <d v="2026-10-30T00:00:00"/>
  </r>
  <r>
    <s v="4315813353320003"/>
    <s v="MR Pilli Sandeep"/>
    <s v="N"/>
    <x v="7"/>
    <s v="9951151866"/>
    <s v="X"/>
    <n v="273940.44999999995"/>
    <n v="340000"/>
    <n v="613940.44999999995"/>
    <n v="309095.58"/>
    <n v="304844.87"/>
    <n v="275444.58"/>
    <n v="103200"/>
    <n v="46070"/>
    <x v="0"/>
    <x v="0"/>
    <n v="103200"/>
    <n v="-57130"/>
    <x v="1"/>
    <s v="NA"/>
    <n v="0"/>
    <s v="TL045"/>
    <x v="3"/>
    <s v="TC126"/>
    <x v="0"/>
    <s v="303  MARUTHI ENCLAVE MODEL TOWN  HB COLONY ROAD ONGOLE KENDRIYA VIDYALAYA ONGOLE ANP 523001"/>
    <s v="APRIX TECHNOLOGIES PVT LTD NO  104  P AND T COLONY DILSUKHNAGAR DILSUKHNAGAR HYDERABAD TNG 500060"/>
    <s v="ONGOLE"/>
    <x v="6"/>
    <x v="24"/>
    <m/>
    <s v="DURGA"/>
    <n v="801723195"/>
    <s v="Sgr@9290"/>
    <s v="UPLOADED"/>
    <m/>
    <x v="0"/>
    <m/>
    <m/>
    <x v="0"/>
    <d v="2024-08-29T00:00:00"/>
    <n v="19145.53"/>
    <s v="0000000024035775"/>
    <s v="Amazon Pay ICICI Bank Credit Card"/>
    <s v="14TH OCT"/>
    <d v="2026-10-30T00:00:00"/>
  </r>
  <r>
    <s v="4315813612882017"/>
    <s v="MS Kandi Deepika"/>
    <s v="N"/>
    <x v="7"/>
    <s v="9100036659"/>
    <s v="X"/>
    <n v="399057.26"/>
    <n v="210000"/>
    <n v="609057.26"/>
    <n v="394553.76"/>
    <n v="214503.5"/>
    <n v="195653.07"/>
    <n v="60860"/>
    <n v="21700"/>
    <x v="1"/>
    <x v="1"/>
    <n v="0"/>
    <n v="21700"/>
    <x v="1"/>
    <s v="NA"/>
    <n v="0"/>
    <s v="TL045"/>
    <x v="1"/>
    <s v="TC003"/>
    <x v="0"/>
    <s v="3 82 Kasulabad Kasulabad Medak MEDAK TNG 502108"/>
    <s v="TELANGANA GOVERNMENT 4 7 24 N 4 96  VASANTH NAGAR COLONY ROAD SANGAREDDY SANGAREDDY SANGAREDDY SANGAREDDY HYDERABAD TNG 502001"/>
    <s v="MEDAK"/>
    <x v="2"/>
    <x v="25"/>
    <s v="FO057"/>
    <s v="RAJKUMAR"/>
    <n v="802835406"/>
    <s v="Ssde@9290"/>
    <s v="UPLOADED"/>
    <m/>
    <x v="0"/>
    <s v="SKIP"/>
    <s v="Customer given permanent house address visited customer not available living  in sangareddy phone call not responding"/>
    <x v="16"/>
    <d v="2024-08-29T00:00:00"/>
    <n v="49900"/>
    <s v="0000000024833386"/>
    <s v="Amazon Pay ICICI Bank Credit Card"/>
    <s v="14TH OCT"/>
    <d v="2026-10-30T00:00:00"/>
  </r>
  <r>
    <s v="4315814771097017"/>
    <s v="MR Valusa Sunil"/>
    <s v="N"/>
    <x v="7"/>
    <s v="8008066808"/>
    <s v="X"/>
    <n v="358344.05000000005"/>
    <n v="190000"/>
    <n v="548344.05000000005"/>
    <n v="392056.49"/>
    <n v="156287.56"/>
    <n v="140782.82999999999"/>
    <n v="57410"/>
    <n v="26190"/>
    <x v="1"/>
    <x v="1"/>
    <n v="0"/>
    <n v="26190"/>
    <x v="1"/>
    <s v="NA"/>
    <n v="0"/>
    <s v="TL045"/>
    <x v="1"/>
    <s v="TC003"/>
    <x v="0"/>
    <s v="House.Number.16.1.247 S.R.R.Thota ..S.R.R.Thota Karimabad Road WARANGAL TNG 506002"/>
    <s v="USHA.CLINIC HNO15.10.230.RAMANNAPET.POTHANA.NAGAR.RO RAMANNAPET. RAMANNAPET. WARANGAL TNG 506002"/>
    <s v="WARANGAL"/>
    <x v="2"/>
    <x v="18"/>
    <s v="FO055"/>
    <s v="AKHIL"/>
    <n v="801772792"/>
    <s v="Sgr@9290"/>
    <s v="UPLOADED"/>
    <m/>
    <x v="0"/>
    <s v="LIVE"/>
    <s v="Customer not available and number switch off  // Customer not available and number switch off  // Customer not available and cust number not working  // Customer not available and number switch off  // Customer not available and number switch off "/>
    <x v="17"/>
    <d v="2024-07-26T00:00:00"/>
    <n v="3318.63"/>
    <s v="0000000029253860"/>
    <s v="Amazon Pay ICICI Bank Credit Card"/>
    <s v="14TH OCT"/>
    <d v="2026-10-30T00:00:00"/>
  </r>
  <r>
    <s v="5241931162123016"/>
    <s v="MR. VAMSI KRISHNA K"/>
    <s v="N"/>
    <x v="7"/>
    <s v="8088855339"/>
    <s v="X"/>
    <n v="29847.659999999974"/>
    <n v="250000"/>
    <n v="279847.65999999997"/>
    <s v=""/>
    <n v="279847.65999999997"/>
    <n v="249653.42"/>
    <n v="82110"/>
    <n v="45310"/>
    <x v="1"/>
    <x v="1"/>
    <n v="0"/>
    <n v="45310"/>
    <x v="1"/>
    <s v="NA"/>
    <n v="0"/>
    <s v="TL045"/>
    <x v="3"/>
    <s v="TC126"/>
    <x v="0"/>
    <s v="5-28,,Vemula NageswararaoBazar Aswaraopeta  Aswaraopeta KHAMMAM TNG 507301"/>
    <s v="LOTUS FARMS NO 12A ANATHAPURA V SN HALLI P YELAHANKA YELAHANKA BANGALORE KAR 560004"/>
    <s v="KHAMMAM"/>
    <x v="3"/>
    <x v="19"/>
    <s v="FO093"/>
    <s v="MANIKANTA"/>
    <n v="802852449"/>
    <s v="Ssd@9290"/>
    <s v="UPLOADED"/>
    <m/>
    <x v="1"/>
    <m/>
    <m/>
    <x v="0"/>
    <d v="2026-07-29T00:00:00"/>
    <n v="19000"/>
    <s v="0000000009080094"/>
    <s v="ICICI Bank Sapphiro Visa Credit Card"/>
    <s v="14TH OCT"/>
    <d v="2026-10-30T00:00:00"/>
  </r>
  <r>
    <s v="4501720998676000"/>
    <s v="MR JANAPATI VIJAYA KUMAR"/>
    <s v="N"/>
    <x v="7"/>
    <s v="8143183324"/>
    <s v="X"/>
    <n v="-43579.59"/>
    <n v="270000"/>
    <n v="226420.41"/>
    <s v=""/>
    <n v="226420.41"/>
    <n v="205318.61"/>
    <n v="73190"/>
    <n v="36440"/>
    <x v="1"/>
    <x v="1"/>
    <n v="0"/>
    <n v="36440"/>
    <x v="1"/>
    <s v="NA"/>
    <n v="0"/>
    <s v="TL045"/>
    <x v="3"/>
    <s v="TC126"/>
    <x v="0"/>
    <s v="2-100-1 KURICHEDU MANDAL NEAR GOVERNAMENT HOSPITAL VINUKONDA ROAD Prakasam ANP 523304"/>
    <s v="HCL TECHNOLOGIES LIMITED CHENNAI   CHENNAI TMN 600119"/>
    <s v="PRAKASAM"/>
    <x v="6"/>
    <x v="24"/>
    <m/>
    <s v="DURGA"/>
    <n v="801723195"/>
    <s v="Sgr@9290"/>
    <s v="UPLOADED"/>
    <m/>
    <x v="1"/>
    <m/>
    <m/>
    <x v="0"/>
    <d v="2024-07-05T00:00:00"/>
    <n v="100000"/>
    <s v="0000000023499848"/>
    <s v="ICICI Bank Rubyx Visa Credit Card"/>
    <s v="14TH OCT"/>
    <d v="2026-10-30T00:00:00"/>
  </r>
  <r>
    <s v="4315815199841001"/>
    <s v="MR GUTLA SUNIL KUMARJI"/>
    <s v="N"/>
    <x v="7"/>
    <s v="9866465684"/>
    <s v="X"/>
    <n v="-9230.1000000000058"/>
    <n v="170000"/>
    <n v="160769.9"/>
    <s v=""/>
    <n v="160769.9"/>
    <n v="151759.01"/>
    <n v="142900"/>
    <n v="132940"/>
    <x v="1"/>
    <x v="1"/>
    <n v="0"/>
    <n v="132940"/>
    <x v="1"/>
    <s v="NA"/>
    <n v="0"/>
    <s v="TL045"/>
    <x v="3"/>
    <s v="TC126"/>
    <x v="0"/>
    <s v="33-4-12 , RASYASAM VARI STREET TANUKUTOWN , TANUKU , WEST GODAVARI  BESIDE INDIAN PUBLIC SCHOOL TANUKU ANP 534211"/>
    <s v="DEPARTMENT OF POSTS VENKATARYAPURAM TANUKU, WEST GODAVARI TANUKU, WEST GODAVARI TANUKU ANP 534211"/>
    <s v="TANUKU"/>
    <x v="3"/>
    <x v="14"/>
    <s v="FO029"/>
    <s v="MANIKANTA"/>
    <n v="802852449"/>
    <s v="Ssd@9290"/>
    <s v="UPLOADED"/>
    <m/>
    <x v="0"/>
    <s v="MESS"/>
    <s v="customer not available inform nighbour "/>
    <x v="14"/>
    <d v="2026-10-09T00:00:00"/>
    <n v="29000"/>
    <s v="0000000031214756"/>
    <s v="Amazon Pay ICICI Bank Credit Card"/>
    <s v="14TH OCT"/>
    <d v="2026-10-30T00:00:00"/>
  </r>
  <r>
    <s v="4315813319139000"/>
    <s v="MR Y VARAPRASAD"/>
    <s v="N"/>
    <x v="7"/>
    <s v="8686453902"/>
    <s v="X"/>
    <n v="2746.320000000007"/>
    <n v="110000"/>
    <n v="112746.32"/>
    <n v="44607.01"/>
    <n v="68139.31"/>
    <n v="63070.36"/>
    <n v="20630"/>
    <n v="7926.1"/>
    <x v="1"/>
    <x v="1"/>
    <n v="0"/>
    <n v="7926.1"/>
    <x v="1"/>
    <s v="NA"/>
    <n v="0"/>
    <s v="TL045"/>
    <x v="0"/>
    <s v="TC084"/>
    <x v="0"/>
    <s v="17 1 26 RC4 TIRUPATI ARAVAPALLI Chittoor TIRUPATHI ANP 517502"/>
    <s v="DDR CONSTRUCTIONS TIRUPATI PADMAVATHI COLLEGE PADMAVATHI COLLEGE TIRUPATHI ANP 517502"/>
    <s v="TIRUPATHI"/>
    <x v="0"/>
    <x v="0"/>
    <s v="FO061"/>
    <s v="S SEKHAR"/>
    <n v="845041675"/>
    <s v="Ssd@9290"/>
    <s v="UPLOADED"/>
    <m/>
    <x v="1"/>
    <m/>
    <m/>
    <x v="0"/>
    <d v="2024-07-19T00:00:00"/>
    <n v="10"/>
    <s v="0000000023927464"/>
    <s v="Amazon Pay ICICI Bank Credit Card"/>
    <s v="14TH OCT"/>
    <d v="2026-10-30T00:00:00"/>
  </r>
  <r>
    <s v="4035622643174008"/>
    <s v="MR KANDULA VENKANNA"/>
    <s v="N"/>
    <x v="7"/>
    <s v="9542725373"/>
    <s v="X"/>
    <n v="-5143.2700000000041"/>
    <n v="100000"/>
    <n v="94856.73"/>
    <s v=""/>
    <n v="94856.73"/>
    <n v="85469.63"/>
    <n v="14690"/>
    <n v="5050"/>
    <x v="1"/>
    <x v="1"/>
    <n v="0"/>
    <n v="5050"/>
    <x v="1"/>
    <s v="NA"/>
    <n v="0"/>
    <s v="TL045"/>
    <x v="2"/>
    <s v="TC114"/>
    <x v="0"/>
    <s v="4-11-546 NEELAGIRI COLONY NALGONDA NALGONDA NALGONDA TNG 508001"/>
    <s v="TS PANCHAYATRAJ DEPARTMENT KANAGAL NALGONDA NALGONDA NALGONDA TNG 508255"/>
    <s v="NALGONDA"/>
    <x v="2"/>
    <x v="4"/>
    <s v="FO031"/>
    <s v="B SRIKANTH"/>
    <n v="803037151"/>
    <s v="Ssde@9290"/>
    <s v="UPLOADED"/>
    <m/>
    <x v="0"/>
    <s v="LIVE"/>
    <s v="Customer (MPDO) sir is meet in nalgonda town and Sir ptp on Tommorow "/>
    <x v="5"/>
    <d v="2024-11-30T00:00:00"/>
    <n v="55624"/>
    <s v="0000000021521075"/>
    <s v="ICICI Bank Coral RuPay Credit Card"/>
    <s v="14TH OCT"/>
    <d v="2026-10-30T00:00:00"/>
  </r>
  <r>
    <s v="4748464747090014"/>
    <s v="MR BANDI JAYA PRAKASH"/>
    <s v="N"/>
    <x v="7"/>
    <s v="9533171173"/>
    <s v="X"/>
    <n v="46676.210000000006"/>
    <n v="20000"/>
    <n v="66676.210000000006"/>
    <s v=""/>
    <n v="66676.210000000006"/>
    <n v="59607.37"/>
    <n v="55340"/>
    <n v="41070"/>
    <x v="1"/>
    <x v="1"/>
    <n v="0"/>
    <n v="41070"/>
    <x v="1"/>
    <s v="NA"/>
    <n v="0"/>
    <s v="TL045"/>
    <x v="0"/>
    <s v="TC084"/>
    <x v="0"/>
    <s v="1/3477-1-1 RAGHAVENDRA COLONY  YEMMIGANUR KURNOOL ANP 518360"/>
    <s v="SAI RAM HOSPITAL SAI RAM HOSPITAL, WEAVERS COLONY WEAVERS COLONY WEAVERS COLONY KURNOOL ANP 518360"/>
    <s v="KURNOOL"/>
    <x v="0"/>
    <x v="15"/>
    <s v="FO040"/>
    <s v="PURNA"/>
    <n v="802862338"/>
    <s v="Ssd@9290"/>
    <s v="UPLOADED"/>
    <m/>
    <x v="1"/>
    <m/>
    <m/>
    <x v="0"/>
    <d v="2024-07-08T00:00:00"/>
    <n v="4000"/>
    <s v="0000000028848973"/>
    <s v="ICICI Bank Coral RuPay Credit Card"/>
    <s v="14TH OCT"/>
    <d v="2026-10-30T00:00:00"/>
  </r>
  <r>
    <s v="4315813467989008"/>
    <s v="MR. AJAY KULKARNI"/>
    <s v="N"/>
    <x v="7"/>
    <s v="9704567972"/>
    <s v="X"/>
    <n v="-52197.919999999998"/>
    <n v="90000"/>
    <n v="37802.080000000002"/>
    <n v="2317.84"/>
    <n v="35484.239999999998"/>
    <n v="32367.11"/>
    <n v="11860"/>
    <n v="6680"/>
    <x v="1"/>
    <x v="1"/>
    <n v="0"/>
    <n v="6680"/>
    <x v="1"/>
    <s v="NA"/>
    <n v="0"/>
    <s v="TL045"/>
    <x v="1"/>
    <s v="TC003"/>
    <x v="1"/>
    <s v="1 12 100 vinayak nagar  near bharath gas NIZAMABAD TNG 503001"/>
    <s v="NARAYANA LAKSHMI VIHAR COLONY NALLA GONDA SERILINGAMPALLY NALLA GONDA SERILINGAMPALLY Rangareddy TNG 500018"/>
    <s v="NIZAMABAD"/>
    <x v="2"/>
    <x v="26"/>
    <s v="FO043"/>
    <s v="D RAMU"/>
    <n v="802663344"/>
    <s v="Sgr@9290"/>
    <s v="UPLOADED"/>
    <m/>
    <x v="0"/>
    <s v="LIVE"/>
    <s v="coustomer payment on 7th date"/>
    <x v="16"/>
    <d v="2024-06-08T00:00:00"/>
    <n v="11133"/>
    <s v="0000000024403973"/>
    <s v="Amazon Pay ICICI Bank Credit Card"/>
    <s v="14TH OCT"/>
    <d v="2026-10-30T00:00:00"/>
  </r>
  <r>
    <s v="4315815713677006"/>
    <s v="Mr BALISHETTI SATYANARAYANA"/>
    <s v="N"/>
    <x v="7"/>
    <s v="8074085281"/>
    <s v="X"/>
    <n v="-42124.35"/>
    <n v="79000"/>
    <n v="36875.65"/>
    <n v="28996.53"/>
    <n v="7879.12"/>
    <n v="6298.91"/>
    <n v="7879.12"/>
    <n v="3890.81"/>
    <x v="0"/>
    <x v="0"/>
    <n v="7879.12"/>
    <n v="-3988.31"/>
    <x v="16"/>
    <s v="TC"/>
    <n v="0"/>
    <s v="TL045"/>
    <x v="3"/>
    <s v="TC126"/>
    <x v="0"/>
    <s v="4-77,RAMALAYAM VEEDHI,RAMALAYAM VEEDHI, GORINTA   KAKINADA ANP 533433"/>
    <s v="SDC works Gorinta Peddapuram Peddapuram KAKINADA ANP 533433"/>
    <s v="KAKINADA"/>
    <x v="3"/>
    <x v="5"/>
    <s v="FO063"/>
    <s v="UDAY"/>
    <n v="801436997"/>
    <s v="Ssd@9290"/>
    <s v="UPLOADED"/>
    <m/>
    <x v="0"/>
    <m/>
    <m/>
    <x v="0"/>
    <d v="2026-09-01T00:00:00"/>
    <n v="1119.18"/>
    <s v="0000000033653897"/>
    <s v="Amazon Pay ICICI Bank Credit Card"/>
    <s v="14TH OCT"/>
    <d v="2026-10-30T00:00:00"/>
  </r>
  <r>
    <s v="4748466924488002"/>
    <s v="MR KASARLA NAVEEN"/>
    <s v="N"/>
    <x v="7"/>
    <s v="8919674941"/>
    <s v="X"/>
    <n v="-13781.129999999997"/>
    <n v="50000"/>
    <n v="36218.870000000003"/>
    <s v=""/>
    <n v="36218.870000000003"/>
    <n v="32327.14"/>
    <n v="5760"/>
    <n v="1570"/>
    <x v="0"/>
    <x v="0"/>
    <n v="5760"/>
    <n v="-4190"/>
    <x v="15"/>
    <s v="TC"/>
    <n v="0"/>
    <s v="TL045"/>
    <x v="1"/>
    <s v="TC003"/>
    <x v="1"/>
    <s v="5-1 KAMAREDDY MANDAL   NIZAMABAD TNG 503111"/>
    <s v="TECH MAHINDRA LIMITED BAHADURPALLY,HCFP,GGG BHAGYA SREE INDUSTRIES BHAGYA SREE INDUSTRIES HYDERABAD TNG 500043"/>
    <s v="NIZAMABAD"/>
    <x v="2"/>
    <x v="8"/>
    <s v="FO007"/>
    <s v="PRASHANTH"/>
    <n v="802551967"/>
    <s v="Ssde@9290"/>
    <s v="UPLOADED"/>
    <m/>
    <x v="0"/>
    <s v="LIVE"/>
    <s v=": customer not available and phone not responding "/>
    <x v="14"/>
    <d v="2025-10-16T00:00:00"/>
    <n v="2050"/>
    <s v="0000000028970765"/>
    <s v="ICICI Bank HPCL Super Saver Visa Credit Card"/>
    <s v="14TH OCT"/>
    <d v="2026-10-30T00:00:00"/>
  </r>
  <r>
    <s v="4315813479397000"/>
    <s v="MR LAKKUIndrasen Reddy"/>
    <s v="N"/>
    <x v="7"/>
    <s v="9490317349"/>
    <s v="X"/>
    <n v="-15869.470000000001"/>
    <n v="38000"/>
    <n v="22130.53"/>
    <s v=""/>
    <n v="22130.53"/>
    <n v="19146.02"/>
    <n v="5900"/>
    <n v="2820"/>
    <x v="1"/>
    <x v="1"/>
    <n v="0"/>
    <n v="2820"/>
    <x v="1"/>
    <s v="NA"/>
    <n v="0"/>
    <s v="TL045"/>
    <x v="3"/>
    <s v="TC126"/>
    <x v="0"/>
    <s v="ADD 27 5 480A  BALAJI NAGAR EXTN  NELLOR BALAJI NAGAR EXTN BALAJI NAGAR EXTN OPP STREET NAGALAXMI GUDI NELLORE ANP 524002"/>
    <s v="INSPECTORATE GRIFFITH INDIA PVT LTD SURVEY NO  347 NEAR GOPALAPURAM NEAR GOPALAPURAM GUDUR ANP 524344"/>
    <s v="GUDUR"/>
    <x v="5"/>
    <x v="21"/>
    <s v="FO042"/>
    <s v="IMAMVALLI"/>
    <n v="802789320"/>
    <s v="Ssd@9290"/>
    <s v="UPLOADED"/>
    <m/>
    <x v="0"/>
    <s v="LIVE"/>
    <s v="cm not available sir cm call not answering sir  //  cm shifted from here sir cm call not answering sir "/>
    <x v="17"/>
    <d v="2026-10-06T00:00:00"/>
    <n v="5200"/>
    <s v="0000000024447170"/>
    <s v="Amazon Pay ICICI Bank Credit Card"/>
    <s v="14TH OCT"/>
    <d v="2026-10-30T00:00:00"/>
  </r>
  <r>
    <s v="4035621129403006"/>
    <s v="Mr SAYED IMRAN"/>
    <s v="N"/>
    <x v="8"/>
    <s v="9885201493"/>
    <s v="X"/>
    <n v="-21254.92"/>
    <n v="100000"/>
    <n v="78745.08"/>
    <n v="15659.51"/>
    <n v="63085.57"/>
    <n v="58075.37"/>
    <n v="31440"/>
    <n v="17185.87"/>
    <x v="1"/>
    <x v="1"/>
    <n v="0"/>
    <n v="17185.87"/>
    <x v="1"/>
    <s v="NA"/>
    <n v="0"/>
    <s v="TL045"/>
    <x v="0"/>
    <s v="TC084"/>
    <x v="0"/>
    <s v="3-96-21 N T R KALANI NO,N S PETA,PUNGANUR    MADANAPALLE ANP 517247"/>
    <s v="ACCENTURE SOLUTIONS PVT LTD 2-221 BD COLONY  N S PETA N S PETA MADANAPALLE ANP 517247 "/>
    <s v="CHITTOOR"/>
    <x v="0"/>
    <x v="12"/>
    <s v="FO115"/>
    <s v="SK MUJEEB"/>
    <n v="802175739"/>
    <s v="Ssd@9290"/>
    <s v="UPLOADED"/>
    <m/>
    <x v="1"/>
    <m/>
    <m/>
    <x v="0"/>
    <d v="2026-10-01T00:00:00"/>
    <n v="22094.13"/>
    <s v="0000000026035667"/>
    <s v="ICICI Bank Coral Credit Card"/>
    <s v="17TH OCT"/>
    <d v="2026-11-01T00:00:00"/>
  </r>
  <r>
    <s v="4035622867831010"/>
    <s v="MS JAGILI RADHIKA"/>
    <s v="N"/>
    <x v="8"/>
    <s v="8374735746"/>
    <s v="X"/>
    <n v="11919.839999999997"/>
    <n v="50000"/>
    <n v="61919.839999999997"/>
    <n v="26519.8"/>
    <n v="35400.04"/>
    <n v="31497.75"/>
    <n v="9520"/>
    <n v="4160"/>
    <x v="1"/>
    <x v="1"/>
    <n v="0"/>
    <n v="4160"/>
    <x v="1"/>
    <s v="NA"/>
    <n v="0"/>
    <s v="TL045"/>
    <x v="0"/>
    <s v="TC084"/>
    <x v="0"/>
    <s v="0 ,EDIGAPALLI ANANTHAPURAM, LAKKIREDDYIPALLI,ANANTHAPURAM CUDDAPAH,ANDHRAPRADESH ATM CUDDAPAH ANP 516257"/>
    <s v="TATA CONSULTANCY SERVICES LIMITED SJM TOWERS,18 SESHADRI RD  GANDHI NAGAR GANDHI NAGAR BANGALORE KAR 560009 "/>
    <s v="CUDDAPAH"/>
    <x v="0"/>
    <x v="16"/>
    <s v="FO080"/>
    <s v="Y GANESH"/>
    <n v="802823528"/>
    <s v="Sms@9290"/>
    <s v="UPLOADED"/>
    <m/>
    <x v="1"/>
    <m/>
    <m/>
    <x v="0"/>
    <d v="2026-08-21T00:00:00"/>
    <n v="220.15"/>
    <s v="0000000023028826"/>
    <s v="ICICI Bank Coral Credit Card"/>
    <s v="17TH OCT"/>
    <d v="2026-11-01T00:00:00"/>
  </r>
  <r>
    <s v="4035625841476018"/>
    <s v="MR. CHAPARTHI  RAVITEJA"/>
    <s v="N"/>
    <x v="8"/>
    <s v="7729839095"/>
    <s v="X"/>
    <n v="-2507.6999999999971"/>
    <n v="45000"/>
    <n v="42492.3"/>
    <s v=""/>
    <n v="42492.3"/>
    <n v="39422.65"/>
    <n v="7930"/>
    <n v="4533"/>
    <x v="1"/>
    <x v="1"/>
    <n v="0"/>
    <n v="4533"/>
    <x v="1"/>
    <s v="NA"/>
    <n v="0"/>
    <s v="TL045"/>
    <x v="1"/>
    <s v="TC003"/>
    <x v="0"/>
    <s v="10-3-94 GIRMAJIPET GOLD,SHURU,SCHOOL    WARANGAL ???????????? TNG 506330"/>
    <s v="10-3-94 GIRMAJIPET GOLD,SHURU,SCHOOL     WARANGAL ???????????? TNG 506330 "/>
    <s v="WARANGAL"/>
    <x v="2"/>
    <x v="18"/>
    <s v="FO055"/>
    <s v="AKHIL"/>
    <n v="801772792"/>
    <s v="Sgr@9290"/>
    <s v="UPLOADED"/>
    <m/>
    <x v="0"/>
    <s v="DL"/>
    <s v="House door locked and cust no respond to calls  // House door locked and cust no respond to calls // Revisited house door locked and cust no respond to calls"/>
    <x v="13"/>
    <d v="2026-09-28T00:00:00"/>
    <n v="2425"/>
    <s v="0000000034428593"/>
    <s v="ICICI Bank Instant  Platinum Chip Credit Card"/>
    <s v="17TH OCT"/>
    <d v="2026-11-01T00:00:00"/>
  </r>
  <r>
    <s v="4035625670071005"/>
    <s v="MR POLABOINA BABU"/>
    <s v="N"/>
    <x v="8"/>
    <s v="8008808124"/>
    <s v="X"/>
    <n v="-4273.3399999999965"/>
    <n v="45000"/>
    <n v="40726.660000000003"/>
    <s v=""/>
    <n v="40726.660000000003"/>
    <n v="37445.660000000003"/>
    <n v="11550"/>
    <n v="8409.1200000000008"/>
    <x v="1"/>
    <x v="1"/>
    <n v="0"/>
    <n v="8409.1200000000008"/>
    <x v="1"/>
    <s v="NA"/>
    <n v="0"/>
    <s v="TL045"/>
    <x v="1"/>
    <s v="TC003"/>
    <x v="0"/>
    <s v="2-92,GUNDLA,MACHANUR,GUNDLA,GUNDLAMACHNOOR, MACHANUR   MEDAK TNG 502296"/>
    <s v="2-92,GUNDLA,MACHANUR,GUNDLA,GUNDLAMACHNOOR, MACHANUR    MEDAK TNG 502296 "/>
    <s v="SANGAREDDY"/>
    <x v="2"/>
    <x v="2"/>
    <s v="FO076"/>
    <s v="RADHAKRISHNA"/>
    <n v="801354813"/>
    <s v="Sgr@9290"/>
    <s v="UPLOADED"/>
    <m/>
    <x v="1"/>
    <m/>
    <m/>
    <x v="0"/>
    <d v="2026-10-03T00:00:00"/>
    <n v="17220.88"/>
    <s v="0000000027519829"/>
    <s v="ICICI Bank Instant  Platinum Chip Credit Card"/>
    <s v="17TH OCT"/>
    <d v="2026-11-01T00:00:00"/>
  </r>
  <r>
    <s v="5241939245015000"/>
    <s v="MR DAVULLA NARSIMHA"/>
    <s v="N"/>
    <x v="9"/>
    <s v="9948192275"/>
    <s v="X"/>
    <n v="233957.66000000003"/>
    <n v="300000"/>
    <n v="533957.66"/>
    <n v="202568.58"/>
    <n v="331389.08"/>
    <n v="306416.65000000002"/>
    <n v="108010"/>
    <n v="30600"/>
    <x v="1"/>
    <x v="1"/>
    <n v="0"/>
    <n v="30600"/>
    <x v="1"/>
    <s v="NA"/>
    <n v="0"/>
    <s v="TL045"/>
    <x v="2"/>
    <s v="TC114"/>
    <x v="0"/>
    <s v="3-139 GUDIMALKAPURAM POST  GUDIMALKAPURAM POST NALGONDA TNG 508253"/>
    <s v="NARSHIMA PVT LTD 5-77 H 1 RATNA NAGAR  CHOTPAL MUNCIPALTY CHOTPAL MUNCIPALTY NALGONDA TNG 508252 "/>
    <s v="NALGONDA"/>
    <x v="2"/>
    <x v="27"/>
    <s v="FO131"/>
    <s v="B SRIKANTH"/>
    <n v="803037151"/>
    <s v="Ssde@9290"/>
    <s v="UPLOADED"/>
    <m/>
    <x v="0"/>
    <s v="LIVE"/>
    <s v="Customer adress visit and customer said his accounts all Cyber crime so customer prasent not interested to paid Amount"/>
    <x v="13"/>
    <d v="2026-03-02T00:00:00"/>
    <n v="170800"/>
    <s v="0000000029391218"/>
    <s v="ICICI Sapphiro Master PLT Chip Card"/>
    <s v="17TH OCT"/>
    <d v="2026-11-02T00:00:00"/>
  </r>
  <r>
    <s v="5241939223221000"/>
    <s v="MR MOHAMMED NAVEED AKHTAR"/>
    <s v="N"/>
    <x v="9"/>
    <s v="6304444670"/>
    <s v="X"/>
    <n v="-299155.06"/>
    <n v="470000"/>
    <n v="170844.94"/>
    <n v="66583.600000000006"/>
    <n v="104261.34"/>
    <n v="95422.1"/>
    <n v="15710"/>
    <n v="2530"/>
    <x v="0"/>
    <x v="2"/>
    <n v="2550"/>
    <n v="-20"/>
    <x v="5"/>
    <s v="TC"/>
    <n v="0"/>
    <s v="TL045"/>
    <x v="1"/>
    <s v="TC003"/>
    <x v="0"/>
    <s v="MADINA COLONY MADINA COLONY  3-5-1/33F ADILABAD TNG 504103"/>
    <s v="GLOBAL TRADING HNO-3-51/33F, MADINA COLONY,  BAINSA, ADILABAD BAINSA, ADILABAD ADILABAD TNG 504103 "/>
    <s v="ADILABAD"/>
    <x v="2"/>
    <x v="22"/>
    <s v="FO056"/>
    <s v="KANTH"/>
    <n v="802794852"/>
    <s v="Ssd@9290"/>
    <s v="UPLOADED"/>
    <m/>
    <x v="0"/>
    <s v="LIVE"/>
    <s v="customer visit office address meet customer PTP 31st"/>
    <x v="10"/>
    <s v=""/>
    <n v="0"/>
    <s v="0000000029107852"/>
    <s v="ICICI Sapphiro Master PLT Chip Card"/>
    <s v="17TH OCT"/>
    <d v="2026-11-02T00:00:00"/>
  </r>
  <r>
    <s v="4035621008606000"/>
    <s v="MR BEDUDOORI KUMAR"/>
    <s v="N"/>
    <x v="10"/>
    <s v="9959748031"/>
    <s v="X"/>
    <n v="512334.54000000004"/>
    <n v="290000"/>
    <n v="802334.54"/>
    <n v="671260.99"/>
    <n v="131073.54999999999"/>
    <n v="115184.62"/>
    <n v="92660"/>
    <n v="45040"/>
    <x v="1"/>
    <x v="1"/>
    <n v="0"/>
    <n v="45040"/>
    <x v="1"/>
    <s v="NA"/>
    <n v="0"/>
    <s v="TL045"/>
    <x v="0"/>
    <s v="TC084"/>
    <x v="0"/>
    <s v="2/41,REDDIPALLI PEDDAPAPPUR,PEDDAPAPPUR, PEDDAPAPPUR   ANANTAPUR ANP 515445"/>
    <s v="HCL TECHNOLOGIES LTD HCL TECHN Karnataka Banglore Banglore ANANTAPUR ANP 515445"/>
    <s v="ANANTAPUR"/>
    <x v="0"/>
    <x v="6"/>
    <s v="FO011"/>
    <s v="PAVAN"/>
    <n v="802823180"/>
    <s v="Sgr@9290"/>
    <s v="UPLOADED"/>
    <m/>
    <x v="0"/>
    <s v="DL"/>
    <s v="Customer address visited customer house door locked _x000a_Customer calls not responding"/>
    <x v="13"/>
    <d v="2026-02-05T00:00:00"/>
    <n v="29831"/>
    <s v="0000000025442983"/>
    <s v="ICICI Bank Coral RuPay Credit Card"/>
    <s v="21ST OCT"/>
    <d v="2026-11-03T00:00:00"/>
  </r>
  <r>
    <s v="4035620984192019"/>
    <s v="MR GOMASI GOUTHAM"/>
    <s v="N"/>
    <x v="10"/>
    <s v="7337563597"/>
    <s v="X"/>
    <n v="412515.83"/>
    <n v="100000"/>
    <n v="512515.83"/>
    <n v="377082.47"/>
    <n v="135433.35999999999"/>
    <n v="119764.31"/>
    <n v="84980"/>
    <n v="40420"/>
    <x v="1"/>
    <x v="1"/>
    <n v="0"/>
    <n v="40420"/>
    <x v="1"/>
    <s v="NA"/>
    <n v="0"/>
    <s v="TL045"/>
    <x v="1"/>
    <s v="TC003"/>
    <x v="0"/>
    <s v="3-31 KAGAZ NAGAR GANGANNAGUDA ADILABAD ADILABAD TNG 504296"/>
    <s v="BRJA KIRANA STORE HOUSE NO.3-31 GANGANNA GUDA YALLKONDA YALLKONDA ADILABAD TNG 504296"/>
    <s v="ADILABAD"/>
    <x v="2"/>
    <x v="9"/>
    <s v="FO036"/>
    <s v="K RAMU"/>
    <n v="802898520"/>
    <s v="Ssd@9290"/>
    <s v="UPLOADED"/>
    <m/>
    <x v="0"/>
    <s v="LIVE"/>
    <s v="customer given address visit customer met said have financial problems, asking time to settlement"/>
    <x v="3"/>
    <d v="2024-06-23T00:00:00"/>
    <n v="95412"/>
    <s v="0000000025316730"/>
    <s v="ICICI Bank Coral Credit Card"/>
    <s v="21ST OCT"/>
    <d v="2026-11-03T00:00:00"/>
  </r>
  <r>
    <s v="5241936610916010"/>
    <s v="MR P V BRAMHA"/>
    <s v="N"/>
    <x v="10"/>
    <s v="9440323476"/>
    <s v="X"/>
    <n v="26216.190000000002"/>
    <n v="300000"/>
    <n v="326216.19"/>
    <s v=""/>
    <n v="326216.19"/>
    <n v="297343.38"/>
    <n v="71810"/>
    <n v="28350"/>
    <x v="0"/>
    <x v="2"/>
    <n v="32000"/>
    <n v="-3650"/>
    <x v="4"/>
    <s v="TC"/>
    <n v="0"/>
    <s v="TL045"/>
    <x v="0"/>
    <s v="TC084"/>
    <x v="0"/>
    <s v="13-2-38 BOYAPETA BOYAPETA NEAR RAMKRISHNA SCHOOL HINDUPUR ANP 515201"/>
    <s v="AJAYA JEWELLERS MAIN BAJAR HINDUPUR HINDUPUR HINDUPUR ANP 515201"/>
    <s v="HINDUPUR"/>
    <x v="0"/>
    <x v="6"/>
    <s v="FO011"/>
    <s v="PAVAN"/>
    <n v="802823180"/>
    <s v="Sgr@9290"/>
    <s v="UPLOADED"/>
    <m/>
    <x v="0"/>
    <m/>
    <m/>
    <x v="0"/>
    <d v="2024-06-25T00:00:00"/>
    <n v="14964.8"/>
    <s v="0000000018332653"/>
    <s v="Manchester United Signature Credit Card by ICICI Bank"/>
    <s v="21ST OCT"/>
    <d v="2026-11-03T00:00:00"/>
  </r>
  <r>
    <s v="4035620085632004"/>
    <s v="MR NAVEEN KUMAR NAYINI"/>
    <s v="N"/>
    <x v="10"/>
    <s v="9010098889"/>
    <s v="X"/>
    <n v="-27902.049999999988"/>
    <n v="250000"/>
    <n v="222097.95"/>
    <n v="184168.08"/>
    <n v="37929.870000000003"/>
    <n v="28283.18"/>
    <n v="37929.870000000003"/>
    <n v="17796.7"/>
    <x v="0"/>
    <x v="0"/>
    <n v="37929.870000000003"/>
    <n v="-20133.170000000002"/>
    <x v="11"/>
    <s v="FE"/>
    <n v="0"/>
    <s v="TL045"/>
    <x v="2"/>
    <s v="TC114"/>
    <x v="0"/>
    <s v="H NO 6-223/1 ANGAGI BAZAR MOTHKUR NEAR OLD BUS STAND NALGONDA TNG 508277"/>
    <s v="ANNAPOORNA ENTERPRICESS MOTHKUR MOTHKUR MOTHKUR NALGONDA TNG 508277"/>
    <s v="NALGONDA"/>
    <x v="2"/>
    <x v="27"/>
    <s v="FO131"/>
    <s v="B SRIKANTH"/>
    <n v="803037151"/>
    <s v="Ssde@9290"/>
    <s v="UPLOADED"/>
    <m/>
    <x v="0"/>
    <m/>
    <m/>
    <x v="0"/>
    <d v="2025-06-07T00:00:00"/>
    <n v="12453.87"/>
    <s v="0000000019481606"/>
    <s v="ICICI Bank Coral Credit Card"/>
    <s v="21ST OCT"/>
    <d v="2026-11-03T00:00:00"/>
  </r>
  <r>
    <s v="4035621140454004"/>
    <s v="MR D MD RAFI"/>
    <s v="N"/>
    <x v="10"/>
    <s v="6375040521"/>
    <s v="X"/>
    <n v="-63003.98000000001"/>
    <n v="280000"/>
    <n v="216996.02"/>
    <n v="1826.3"/>
    <n v="215169.72"/>
    <n v="196318.93"/>
    <n v="179810"/>
    <n v="1940"/>
    <x v="1"/>
    <x v="1"/>
    <n v="0"/>
    <n v="1940"/>
    <x v="1"/>
    <s v="NA"/>
    <n v="0"/>
    <s v="TL045"/>
    <x v="0"/>
    <s v="TC084"/>
    <x v="0"/>
    <s v="HOUSE NO 28-7-18 ANANTAPUR HAMALI COLONY ANANTHAPUR ANAPARTHI ANP 515001"/>
    <s v="PARA MILTRY GOVERNMENT SECTOE NO 65 SONA ROAD 95 BN BSF BHONSI ROAD 95 BN BSF BHONSI GURGAON HAR 122102"/>
    <s v="ANAPARTHI"/>
    <x v="0"/>
    <x v="6"/>
    <s v="FO011"/>
    <s v="PAVAN"/>
    <n v="802823180"/>
    <s v="Sgr@9290"/>
    <s v="UPLOADED"/>
    <m/>
    <x v="0"/>
    <s v="SKIP"/>
    <s v="customer not available waiting for locatio"/>
    <x v="9"/>
    <d v="2024-12-04T00:00:00"/>
    <n v="95311.71"/>
    <s v="0000000026098707"/>
    <s v="ICICI Sapphiro Master PLT Chip Card"/>
    <s v="21ST OCT"/>
    <d v="2026-11-03T00:00:00"/>
  </r>
  <r>
    <s v="4035620918918000"/>
    <s v="MR KAVERIPAKAM NAVEEN KUMAR"/>
    <s v="N"/>
    <x v="10"/>
    <s v="8008941767"/>
    <s v="X"/>
    <n v="4690.4100000000035"/>
    <n v="140000"/>
    <n v="144690.41"/>
    <s v=""/>
    <n v="144690.41"/>
    <n v="134595"/>
    <n v="21290"/>
    <n v="4588.22"/>
    <x v="0"/>
    <x v="2"/>
    <n v="4600"/>
    <n v="-11.779999999999745"/>
    <x v="4"/>
    <s v="TC"/>
    <n v="0"/>
    <s v="TL045"/>
    <x v="3"/>
    <s v="TC126"/>
    <x v="0"/>
    <s v="5-1-8/2 NAIDUPETA GANDHIMANDHIRAM STREET NELLORE GUDUR ANP 524126"/>
    <s v="M STORE WEST STREET NAIDUPETA NAIDUPETA GUDUR ANP 524126"/>
    <s v="GUDUR"/>
    <x v="5"/>
    <x v="21"/>
    <s v="FO042"/>
    <s v="IMAMVALLI"/>
    <n v="802789320"/>
    <s v="Ssd@9290"/>
    <s v="UPLOADED"/>
    <m/>
    <x v="0"/>
    <s v="LIVE"/>
    <s v="cm not available sir cm call answered will call back later sir "/>
    <x v="12"/>
    <d v="2026-09-12T00:00:00"/>
    <n v="42410"/>
    <s v="0000000024963645"/>
    <s v="ICICI Bank Coral Credit Card"/>
    <s v="21ST OCT"/>
    <d v="2026-11-03T00:00:00"/>
  </r>
  <r>
    <s v="4035620341753008"/>
    <s v="MR SRILNILVASULU MEKALA"/>
    <s v="N"/>
    <x v="10"/>
    <s v="7981331753"/>
    <s v="X"/>
    <n v="3938.3699999999953"/>
    <n v="130000"/>
    <n v="133938.37"/>
    <s v=""/>
    <n v="133938.37"/>
    <n v="119762.25"/>
    <n v="25270"/>
    <n v="8630"/>
    <x v="1"/>
    <x v="1"/>
    <n v="0"/>
    <n v="8630"/>
    <x v="1"/>
    <s v="NA"/>
    <n v="0"/>
    <s v="TL045"/>
    <x v="0"/>
    <s v="TC084"/>
    <x v="0"/>
    <s v="D.NO 8-21-64/16 GANESH NAGAR GIDDALURU PRAKASAM NEAR HEAD POST OFFICE NANDYAL ANP 523357"/>
    <s v="SBI BUSINESS CORRSPONDING D.NO 8-19-94/1 GANESH NAGAR GANESH NAGAR NANDYAL ANP 523357"/>
    <s v="NANDYAL"/>
    <x v="0"/>
    <x v="20"/>
    <s v="FO021"/>
    <s v="HARI"/>
    <n v="802388289"/>
    <s v="Ssd@9290"/>
    <s v="UPLOADED"/>
    <m/>
    <x v="0"/>
    <s v="LIVE"/>
    <s v="customer live customer PTP 1st"/>
    <x v="18"/>
    <d v="2026-01-21T00:00:00"/>
    <n v="42500"/>
    <s v="0000000021224197"/>
    <s v="ICICI Bank Coral Credit Card"/>
    <s v="21ST OCT"/>
    <d v="2026-11-03T00:00:00"/>
  </r>
  <r>
    <s v="4035621778712004"/>
    <s v="MR BATTU VIJAY KUMAR"/>
    <s v="N"/>
    <x v="10"/>
    <s v="9014953315"/>
    <s v="X"/>
    <n v="8461.2899999999936"/>
    <n v="100000"/>
    <n v="108461.29"/>
    <s v=""/>
    <n v="108461.29"/>
    <n v="99976.42"/>
    <n v="26280"/>
    <n v="5000"/>
    <x v="1"/>
    <x v="1"/>
    <n v="0"/>
    <n v="5000"/>
    <x v="1"/>
    <s v="NA"/>
    <n v="0"/>
    <s v="TL045"/>
    <x v="1"/>
    <s v="TC003"/>
    <x v="0"/>
    <s v="HNO 1 5 107/2 SOFI NAGAR NIRMAL MANDAL    ADILABAD TNG 504106"/>
    <s v="O/O SRS CAPITAL PVT LTD HNO 11 1 208/1, PLOT NO 26, KANTESHWAR NEAR KANTESHWAR BYPASS ROAD , BYPASS ROAD , NIZAMABAD TNG 503001"/>
    <s v="ADILABAD"/>
    <x v="2"/>
    <x v="22"/>
    <s v="FO056"/>
    <s v="KANTH"/>
    <n v="802794852"/>
    <s v="Ssd@9290"/>
    <s v="UPLOADED"/>
    <m/>
    <x v="0"/>
    <s v="SKIP"/>
    <s v=" customer visit home address customer Live address not found ask no one not respond phone calls respond he submitted court notice"/>
    <x v="1"/>
    <d v="2026-08-04T00:00:00"/>
    <n v="94046"/>
    <s v="0000000031243017"/>
    <s v="ICICI Bank Coral RuPay Credit Card"/>
    <s v="21ST OCT"/>
    <d v="2026-11-03T00:00:00"/>
  </r>
  <r>
    <s v="4035621595494000"/>
    <s v="MR TUMMALA KALYAN REDDY"/>
    <s v="N"/>
    <x v="10"/>
    <s v="9011138394"/>
    <s v="X"/>
    <n v="6180.6900000000023"/>
    <n v="100000"/>
    <n v="106180.69"/>
    <n v="31230.19"/>
    <n v="74950.5"/>
    <n v="67865.3"/>
    <n v="26870"/>
    <n v="1973.96"/>
    <x v="0"/>
    <x v="0"/>
    <n v="82892.710000000006"/>
    <n v="-80918.75"/>
    <x v="1"/>
    <s v="NA"/>
    <n v="0"/>
    <s v="TL045"/>
    <x v="1"/>
    <s v="TC003"/>
    <x v="0"/>
    <s v="H. NO 1-2-54/4/18/12/1 STREET GANDEWAR THOTA COLONY SHANTHI NAGAR NEAR DINESH KIRANA ADILABAD TNG 504001"/>
    <s v="PRE UNIQUE INDIA PVT LTD YUNUS AKBANI BUIDING 5TH FLOOR ROOM NO.401 ADILABAD ROOM NO.401 ADILABAD ADILABAD TNG 504001"/>
    <s v="ADILABAD"/>
    <x v="2"/>
    <x v="22"/>
    <s v="FO056"/>
    <s v="KANTH"/>
    <n v="802794852"/>
    <s v="Ssd@9290"/>
    <s v="UPLOADED"/>
    <m/>
    <x v="0"/>
    <s v="LIVE"/>
    <s v="CUSTOMER PAYMENT DONE 74950 TOTAL AMOUNT CLEAR UPDATE CONFIRM "/>
    <x v="1"/>
    <d v="2024-07-04T00:00:00"/>
    <n v="27864.97"/>
    <s v="0000000029180427"/>
    <s v="ICICI Bank Coral Credit Card"/>
    <s v="21ST OCT"/>
    <d v="2026-11-03T00:00:00"/>
  </r>
  <r>
    <s v="4035620930120007"/>
    <s v="MR PYKARAO SRINIVAS"/>
    <s v="O"/>
    <x v="10"/>
    <s v="9848735766"/>
    <s v="X"/>
    <n v="3647.7100000000064"/>
    <n v="100000"/>
    <n v="103647.71"/>
    <s v=""/>
    <n v="103647.71"/>
    <n v="93027.63"/>
    <n v="28550"/>
    <n v="15080"/>
    <x v="1"/>
    <x v="1"/>
    <n v="0"/>
    <n v="15080"/>
    <x v="1"/>
    <s v="NA"/>
    <n v="0"/>
    <s v="TL045"/>
    <x v="1"/>
    <s v="TC003"/>
    <x v="0"/>
    <s v="5-276 INDIRA NAGAR INDIRA NAGAR ADILABAD ADILABAD TNG 504208"/>
    <s v="SRINIVASA ENTERPRISES 5-276, INDIRANAGAR MANCHEAL MANCHEAL ADILABAD TNG 504208"/>
    <s v="ADILABAD"/>
    <x v="2"/>
    <x v="9"/>
    <s v="FO036"/>
    <s v="K RAMU"/>
    <n v="802898520"/>
    <s v="Ssd@9290"/>
    <s v="UPLOADED"/>
    <m/>
    <x v="0"/>
    <s v="MESS"/>
    <s v="customer given address visit customer not available informed to relatives // Customer given address visit customer not available informed to relatives, trying by call"/>
    <x v="17"/>
    <d v="2026-07-10T00:00:00"/>
    <n v="23900"/>
    <s v="0000000025026115"/>
    <s v="ICICI Bank Coral Credit Card"/>
    <s v="21ST OCT"/>
    <d v="2026-11-03T00:00:00"/>
  </r>
  <r>
    <s v="4035620561924008"/>
    <s v="MR KOTTU DURGA PRASAD"/>
    <s v="N"/>
    <x v="10"/>
    <s v="9553076072"/>
    <s v="X"/>
    <n v="3206.75"/>
    <n v="100000"/>
    <n v="103206.75"/>
    <s v=""/>
    <n v="103206.75"/>
    <n v="97544.94"/>
    <n v="14870"/>
    <n v="4840"/>
    <x v="0"/>
    <x v="2"/>
    <n v="10000"/>
    <n v="-5160"/>
    <x v="12"/>
    <s v="FE"/>
    <n v="0"/>
    <s v="TL045"/>
    <x v="1"/>
    <s v="TC003"/>
    <x v="0"/>
    <s v="2-174 BIKKAVOLU MANDALAM MAIN ROAD KAPAVARAM ANAPARTHI ANP 533342"/>
    <s v="ADITYA TRANSPORT ADITYA TRANSPORT MENDAPETA MENDAPETA RAJAHMUNDRY ANP 533308"/>
    <s v="ANAPARTHI"/>
    <x v="3"/>
    <x v="14"/>
    <s v="FO029"/>
    <s v="MANIKANTA"/>
    <n v="802852449"/>
    <s v="Ssd@9290"/>
    <s v="UPLOADED"/>
    <m/>
    <x v="0"/>
    <s v="LIVE"/>
    <s v="Customer PTP tomorrow sir"/>
    <x v="9"/>
    <d v="2023-09-20T00:00:00"/>
    <n v="4200"/>
    <s v="0000000022810820"/>
    <s v="ICICI Bank Coral Credit Card"/>
    <s v="21ST OCT"/>
    <d v="2026-11-03T00:00:00"/>
  </r>
  <r>
    <s v="4035621930314004"/>
    <s v="MR THOTA NAVEEN KUMAR REDDY"/>
    <s v="N"/>
    <x v="10"/>
    <s v="9581396001"/>
    <s v="X"/>
    <n v="7136.8800000000047"/>
    <n v="90000"/>
    <n v="97136.88"/>
    <s v=""/>
    <n v="97136.88"/>
    <n v="89736.08"/>
    <n v="22940"/>
    <n v="4610"/>
    <x v="1"/>
    <x v="1"/>
    <n v="0"/>
    <n v="4610"/>
    <x v="1"/>
    <s v="NA"/>
    <n v="0"/>
    <s v="TL045"/>
    <x v="0"/>
    <s v="TC084"/>
    <x v="0"/>
    <s v="7/58 KONDAYAPALLI VILLAGE KAMALAPURAM MANDALAM PEDDACHEPPALLE   PRODDATUR ANP 516289"/>
    <s v="PIOT NO 4 NARELLA HOUSE NAGARJUNA CIRCLE PUNJAGUTTA   HYDERABAD TNG 500082"/>
    <s v="PRODDATUR"/>
    <x v="0"/>
    <x v="23"/>
    <s v="FO124 "/>
    <s v="VSSK PRASAD"/>
    <n v="802349062"/>
    <s v="Ssd@9290"/>
    <s v="UPLOADED"/>
    <m/>
    <x v="1"/>
    <m/>
    <m/>
    <x v="0"/>
    <s v=""/>
    <n v="0"/>
    <s v="0000000033042568"/>
    <s v="ICICI Bank Coral Credit Card"/>
    <s v="21ST OCT"/>
    <d v="2026-11-03T00:00:00"/>
  </r>
  <r>
    <s v="4035620600216002"/>
    <s v="MS KAIRI SHRUTHI"/>
    <s v="O"/>
    <x v="10"/>
    <s v="8096216969"/>
    <s v="X"/>
    <n v="-3953.0099999999948"/>
    <n v="100000"/>
    <n v="96046.99"/>
    <s v=""/>
    <n v="96046.99"/>
    <n v="89966.04"/>
    <n v="13100"/>
    <n v="6500"/>
    <x v="1"/>
    <x v="1"/>
    <n v="0"/>
    <n v="6500"/>
    <x v="1"/>
    <s v="NA"/>
    <n v="0"/>
    <s v="TL045"/>
    <x v="1"/>
    <s v="TC003"/>
    <x v="1"/>
    <s v="FLAT NO105 VAISHNAVI HOMES MAHALAXMI COLONY NEAR KSHATHRIYA COLLEGE NIZAMABAD TNG 503224"/>
    <s v="SHRUTHI ENTERPRISES TERKIT RD ARMUR ARMUR NIZAMABAD TNG 503224"/>
    <s v="NIZAMABAD"/>
    <x v="2"/>
    <x v="26"/>
    <s v="FO043"/>
    <s v="D RAMU"/>
    <n v="802663344"/>
    <s v="Sgr@9290"/>
    <s v="UPLOADED"/>
    <m/>
    <x v="1"/>
    <m/>
    <m/>
    <x v="0"/>
    <d v="2026-09-16T00:00:00"/>
    <n v="9770"/>
    <s v="0000000023065672"/>
    <s v="ICICI Bank Coral Credit Card"/>
    <s v="21ST OCT"/>
    <d v="2026-11-03T00:00:00"/>
  </r>
  <r>
    <s v="4035621832528016"/>
    <s v="Mr MUTHYALA NAVEEN KUMAR"/>
    <s v="N"/>
    <x v="10"/>
    <s v="8074941601"/>
    <s v="X"/>
    <n v="3276.2200000000012"/>
    <n v="90000"/>
    <n v="93276.22"/>
    <s v=""/>
    <n v="93276.22"/>
    <n v="84495.6"/>
    <n v="18120"/>
    <n v="6660"/>
    <x v="1"/>
    <x v="1"/>
    <n v="0"/>
    <n v="6660"/>
    <x v="1"/>
    <s v="NA"/>
    <n v="0"/>
    <s v="TL045"/>
    <x v="1"/>
    <s v="TC003"/>
    <x v="0"/>
    <s v="2-91 SAMALA WADA DHARMARAOPET KASIPET    MANCHERIAL TNG 504231"/>
    <s v="      "/>
    <s v="ADILABAD"/>
    <x v="2"/>
    <x v="9"/>
    <s v="FO036"/>
    <s v="K RAMU"/>
    <n v="802898520"/>
    <s v="Ssd@9290"/>
    <s v="UPLOADED"/>
    <m/>
    <x v="0"/>
    <s v="DL"/>
    <s v="customer given address visit customer not available, door locked"/>
    <x v="3"/>
    <s v=""/>
    <n v="0"/>
    <s v="0000000031871286"/>
    <s v="ICICI Bank Coral Credit Card"/>
    <s v="21ST OCT"/>
    <d v="2026-11-03T00:00:00"/>
  </r>
  <r>
    <s v="4035621791532009"/>
    <s v="MR KISHAN PERLA"/>
    <s v="N"/>
    <x v="10"/>
    <s v="9848789722"/>
    <s v="X"/>
    <n v="-12734.630000000005"/>
    <n v="100000"/>
    <n v="87265.37"/>
    <s v=""/>
    <n v="87265.37"/>
    <n v="78296.539999999994"/>
    <n v="13740"/>
    <n v="4770"/>
    <x v="1"/>
    <x v="1"/>
    <n v="0"/>
    <n v="4770"/>
    <x v="1"/>
    <s v="NA"/>
    <n v="0"/>
    <s v="TL045"/>
    <x v="1"/>
    <s v="TC003"/>
    <x v="0"/>
    <s v="H NO 10 2 99/1 BARIMAM SIDDIPET    MEDAK TNG 502103"/>
    <s v="10 2 92/9/A RAMNAGER STREET SIDDIPET TOW    MEDAK TNG 502103"/>
    <s v="MEDAK"/>
    <x v="2"/>
    <x v="25"/>
    <s v="FO057"/>
    <s v="RAJKUMAR"/>
    <n v="802835406"/>
    <s v="Ssde@9290"/>
    <s v="UPLOADED"/>
    <m/>
    <x v="0"/>
    <s v="LIVE"/>
    <s v="customer given permanent house address visited customer not available went to work phone call not responding "/>
    <x v="18"/>
    <s v=""/>
    <n v="0"/>
    <s v="0000000031400499"/>
    <s v="ICICI Bank Coral RuPay Credit Card"/>
    <s v="21ST OCT"/>
    <d v="2026-11-03T00:00:00"/>
  </r>
  <r>
    <s v="4035620007259001"/>
    <s v="Mr TADIKONDA KISHORE KUMAR"/>
    <s v="N"/>
    <x v="10"/>
    <s v="9160313250"/>
    <s v="X"/>
    <n v="-13719.919999999998"/>
    <n v="90000"/>
    <n v="76280.08"/>
    <n v="36921.839999999997"/>
    <n v="39358.239999999998"/>
    <n v="35038.800000000003"/>
    <n v="19600"/>
    <n v="11070"/>
    <x v="1"/>
    <x v="1"/>
    <n v="0"/>
    <n v="11070"/>
    <x v="1"/>
    <s v="NA"/>
    <n v="0"/>
    <s v="TL045"/>
    <x v="2"/>
    <s v="TC114"/>
    <x v="0"/>
    <s v="5-118/1,REDDY BAZAR,NEAR RAMALAYAM, HUZURNAGAR,TEMPLE   NALGONDA TNG 508204"/>
    <s v="Not Applicable 5-118,Reddy bazar Huzurnagar Huzurnagar NALGONDA TNG 508204"/>
    <s v="SURYAPET"/>
    <x v="2"/>
    <x v="13"/>
    <s v="FO113"/>
    <s v="CHAITANYA"/>
    <n v="802555024"/>
    <s v="Ssde@9290"/>
    <s v="UPLOADED"/>
    <m/>
    <x v="1"/>
    <m/>
    <m/>
    <x v="0"/>
    <d v="2026-07-21T00:00:00"/>
    <n v="8185.4"/>
    <s v="0000000018803934"/>
    <s v="ICICI Bank Coral Credit Card"/>
    <s v="21ST OCT"/>
    <d v="2026-11-03T00:00:00"/>
  </r>
  <r>
    <s v="4035620924931005"/>
    <s v="MR VALIPI SURESH"/>
    <s v="O"/>
    <x v="10"/>
    <s v="9121090092"/>
    <s v="X"/>
    <n v="-19475.869999999995"/>
    <n v="90000"/>
    <n v="70524.13"/>
    <n v="23028.68"/>
    <n v="47495.45"/>
    <n v="43498.63"/>
    <n v="19580"/>
    <n v="9790"/>
    <x v="1"/>
    <x v="1"/>
    <n v="0"/>
    <n v="9790"/>
    <x v="1"/>
    <s v="NA"/>
    <n v="0"/>
    <s v="TL045"/>
    <x v="0"/>
    <s v="TC084"/>
    <x v="0"/>
    <s v="1-548 VELLAMADDI YERRAVANKA PALLI MAIN ROAD HINDUPUR ANP 515501"/>
    <s v="HDB FINANCIAL SERVICES LIMITED J P 1983 S END C CROSS RD 3RD PHASE J P NAGAR BANGALORE J P NAGAR BANGALORE BANGALORE KAR 560078"/>
    <s v="HINDUPUR"/>
    <x v="0"/>
    <x v="6"/>
    <s v="FO011"/>
    <s v="PAVAN"/>
    <n v="802823180"/>
    <s v="Sgr@9290"/>
    <s v="UPLOADED"/>
    <m/>
    <x v="1"/>
    <m/>
    <m/>
    <x v="0"/>
    <d v="2026-10-08T00:00:00"/>
    <n v="6400"/>
    <s v="0000000024998340"/>
    <s v="ICICI Bank Coral Credit Card"/>
    <s v="21ST OCT"/>
    <d v="2026-11-03T00:00:00"/>
  </r>
  <r>
    <s v="4035620987841000"/>
    <s v="MR KANDUKOORI KIRAN KUMAR"/>
    <s v="N"/>
    <x v="10"/>
    <s v="8977721559"/>
    <s v="X"/>
    <n v="7695.0299999999988"/>
    <n v="56000"/>
    <n v="63695.03"/>
    <s v=""/>
    <n v="63695.03"/>
    <n v="54000"/>
    <n v="22110"/>
    <n v="11820"/>
    <x v="1"/>
    <x v="1"/>
    <n v="0"/>
    <n v="11820"/>
    <x v="1"/>
    <s v="NA"/>
    <n v="0"/>
    <s v="TL045"/>
    <x v="1"/>
    <s v="TC003"/>
    <x v="0"/>
    <s v="H NO-4-85/3 RAJAPET MANDAL PARUPALLY VILLAGE NALGONDA NALGONDA TNG 508105"/>
    <s v="PHARMACY SHOP VENKATRAM NAGAR  SURARAM VENKATRAM NAGAR  SURARAM VENKATRAM NAGAR  SURARAM HYDERABAD TNG 500055"/>
    <s v="NALGONDA"/>
    <x v="2"/>
    <x v="25"/>
    <s v="FO057"/>
    <s v="RAJKUMAR"/>
    <n v="802835406"/>
    <s v="Ssde@9290"/>
    <s v="UPLOADED"/>
    <m/>
    <x v="1"/>
    <m/>
    <m/>
    <x v="0"/>
    <d v="2024-06-20T00:00:00"/>
    <n v="52484"/>
    <s v="0000000025335902"/>
    <s v="ICICI Bank Coral Credit Card"/>
    <s v="21ST OCT"/>
    <d v="2026-11-03T00:00:00"/>
  </r>
  <r>
    <s v="4035621153791011"/>
    <s v="MS GAJULA SHOBHANA"/>
    <s v="N"/>
    <x v="10"/>
    <s v="9440576618"/>
    <s v="X"/>
    <n v="4330.1699999999983"/>
    <n v="50000"/>
    <n v="54330.17"/>
    <s v=""/>
    <n v="54330.17"/>
    <n v="45815.68"/>
    <n v="17070"/>
    <n v="7780"/>
    <x v="0"/>
    <x v="0"/>
    <n v="26600"/>
    <n v="-18820"/>
    <x v="1"/>
    <s v="NA"/>
    <n v="0"/>
    <s v="TL045"/>
    <x v="2"/>
    <s v="TC114"/>
    <x v="0"/>
    <s v="2-6-161/10/1 MUTYALAMMA BAZAR  NEAR ALLANKAR ROAD SURYAPET TNG 508213"/>
    <s v="SRI SAI DURGA PRINTERS ALLANKAR ROAD SURYAPET SURYAPET SURYAPET TNG 508213"/>
    <s v="SURYAPET"/>
    <x v="2"/>
    <x v="13"/>
    <s v="FO113"/>
    <s v="CHAITANYA"/>
    <n v="802555024"/>
    <s v="Ssde@9290"/>
    <s v="UPLOADED"/>
    <m/>
    <x v="0"/>
    <s v="LIVE"/>
    <s v=" customer shop close customer in contact 14th PTP Sir "/>
    <x v="17"/>
    <d v="2024-12-04T00:00:00"/>
    <n v="4000"/>
    <s v="0000000026162106"/>
    <s v="ICICI Bank Coral Credit Card"/>
    <s v="21ST OCT"/>
    <d v="2026-11-03T00:00:00"/>
  </r>
  <r>
    <s v="4035620974440006"/>
    <s v="MS DARAM TEJASRI"/>
    <s v="N"/>
    <x v="10"/>
    <s v="9100752428"/>
    <s v="X"/>
    <n v="-39538.18"/>
    <n v="90000"/>
    <n v="50461.82"/>
    <s v=""/>
    <n v="50461.82"/>
    <n v="46165.94"/>
    <n v="40420"/>
    <n v="20460"/>
    <x v="1"/>
    <x v="1"/>
    <n v="0"/>
    <n v="20460"/>
    <x v="1"/>
    <s v="NA"/>
    <n v="0"/>
    <s v="TL045"/>
    <x v="2"/>
    <s v="TC114"/>
    <x v="0"/>
    <s v="1-2-270/100/A/1 KUDA,KUDA,WARD 34 SURYAP ET,,MANDAL,SURYAPET  NEAR TEMPLE SURYAPET TNG 508213"/>
    <s v="ACCENTURE SOLUTIONS PRIVATE LIMITED DIVYASHREE ORION TOWER A B B SY NO 66/1 NAGA HILLS RD SERILINGAMPALLY HYDRABAD NAGA HILLS RD SERILINGAMPALLY HYDRABAD HYDERABAD TNG 500032"/>
    <s v="SURYAPET"/>
    <x v="2"/>
    <x v="13"/>
    <s v="FO113"/>
    <s v="CHAITANYA"/>
    <n v="802555024"/>
    <s v="Ssde@9290"/>
    <s v="UPLOADED"/>
    <m/>
    <x v="0"/>
    <s v="LIVE"/>
    <s v="customer perment address in live customer contact 2nd PTP Sir "/>
    <x v="1"/>
    <d v="2026-10-06T00:00:00"/>
    <n v="38580"/>
    <s v="0000000025270756"/>
    <s v="ICICI Bank Coral RuPay Credit Card"/>
    <s v="21ST OCT"/>
    <d v="2026-11-03T00:00:00"/>
  </r>
  <r>
    <s v="4035620431423009"/>
    <s v="MR MADUGANI GANESH"/>
    <s v="O"/>
    <x v="10"/>
    <s v="9505091160"/>
    <s v="X"/>
    <n v="-71314.94"/>
    <n v="120000"/>
    <n v="48685.06"/>
    <s v=""/>
    <n v="48685.06"/>
    <n v="42604.68"/>
    <n v="10650"/>
    <n v="5350"/>
    <x v="0"/>
    <x v="0"/>
    <n v="10650"/>
    <n v="-5300"/>
    <x v="11"/>
    <s v="TC"/>
    <n v="0"/>
    <s v="TL045"/>
    <x v="1"/>
    <s v="TC003"/>
    <x v="0"/>
    <s v="1-19 POTHAREDDYPET DUBBAKA  MEDAK TNG 502102"/>
    <s v="FORUM SHOPPING MALL PRIVATE LIMITED KUKATPALLY HOUSING BOARD   HYDERABAD TNG 500072"/>
    <s v="MEDAK"/>
    <x v="2"/>
    <x v="8"/>
    <s v="FO007"/>
    <s v="PRASHANTH"/>
    <n v="802551967"/>
    <s v="Ssde@9290"/>
    <s v="UPLOADED"/>
    <m/>
    <x v="0"/>
    <m/>
    <m/>
    <x v="0"/>
    <d v="2026-07-29T00:00:00"/>
    <n v="431.08"/>
    <s v="0000000021924036"/>
    <s v="ICICI Bank Coral Credit Card"/>
    <s v="21ST OCT"/>
    <d v="2026-11-03T00:00:00"/>
  </r>
  <r>
    <s v="4748467832143002"/>
    <s v="MR LATHEEF SHAIK"/>
    <s v="N"/>
    <x v="10"/>
    <s v="9951926239"/>
    <s v="X"/>
    <n v="-4096.8600000000006"/>
    <n v="50000"/>
    <n v="45903.14"/>
    <s v=""/>
    <n v="45903.14"/>
    <n v="39868.949999999997"/>
    <n v="9930"/>
    <n v="4880"/>
    <x v="1"/>
    <x v="1"/>
    <n v="0"/>
    <n v="4880"/>
    <x v="1"/>
    <s v="NA"/>
    <n v="0"/>
    <s v="TL045"/>
    <x v="2"/>
    <s v="TC114"/>
    <x v="0"/>
    <s v="4-177/A KOUSAR NAGAR KODAD NALGONDA NEAR BUS STAND SURYAPET TNG 508206"/>
    <s v="NEW SM MOBILES KODAD KODAD KODAD SURYAPET TNG 508206"/>
    <s v="SURYAPET"/>
    <x v="2"/>
    <x v="13"/>
    <s v="FO113"/>
    <s v="CHAITANYA"/>
    <n v="802555024"/>
    <s v="Ssde@9290"/>
    <s v="UPLOADED"/>
    <m/>
    <x v="1"/>
    <m/>
    <m/>
    <x v="0"/>
    <d v="2025-01-09T00:00:00"/>
    <n v="49588"/>
    <s v="0000000018326913"/>
    <s v="ICICI Bank Coral Credit Card"/>
    <s v="21ST OCT"/>
    <d v="2026-11-03T00:00:00"/>
  </r>
  <r>
    <s v="4035620066309028"/>
    <s v="MR RAJU SAMALA"/>
    <s v="N"/>
    <x v="10"/>
    <s v="7793902016"/>
    <s v="X"/>
    <n v="-872.7300000000032"/>
    <n v="37000"/>
    <n v="36127.269999999997"/>
    <s v=""/>
    <n v="36127.269999999997"/>
    <n v="33227.769999999997"/>
    <n v="9930"/>
    <n v="7000"/>
    <x v="1"/>
    <x v="1"/>
    <n v="0"/>
    <n v="7000"/>
    <x v="1"/>
    <s v="NA"/>
    <n v="0"/>
    <s v="TL045"/>
    <x v="1"/>
    <s v="TC003"/>
    <x v="0"/>
    <s v="3-02-50 BELLAMPALLI   NR SHIVALA TEMPLE ADILABAD TNG 504251"/>
    <s v="O/O DPFE PIV MANCHERIAL BYPASS ROAD   ADILABAD TNG 504208"/>
    <s v="ADILABAD"/>
    <x v="2"/>
    <x v="9"/>
    <s v="FO036"/>
    <s v="K RAMU"/>
    <n v="802898520"/>
    <s v="Ssd@9290"/>
    <s v="UPLOADED"/>
    <m/>
    <x v="0"/>
    <s v="SKIP"/>
    <s v="customer given address visit address not found, call not answer // ustomer given address visit customer address not found, trying by call // Customer office address visit customer not available call not answer"/>
    <x v="13"/>
    <d v="2026-08-16T00:00:00"/>
    <n v="1931"/>
    <s v="0000000019293371"/>
    <s v="ICICI Bank Coral Credit Card"/>
    <s v="21ST OCT"/>
    <d v="2026-11-03T00:00:00"/>
  </r>
  <r>
    <s v="4035620405313012"/>
    <s v="MR GOWNU ASHOK"/>
    <s v="N"/>
    <x v="11"/>
    <s v="9000822850"/>
    <s v="X"/>
    <n v="255863.54000000004"/>
    <n v="500000"/>
    <n v="755863.54"/>
    <n v="421457.65"/>
    <n v="334405.89"/>
    <n v="293622.40000000002"/>
    <n v="100950"/>
    <n v="53420"/>
    <x v="1"/>
    <x v="1"/>
    <n v="0"/>
    <n v="53420"/>
    <x v="1"/>
    <s v="NA"/>
    <n v="0"/>
    <s v="TL045"/>
    <x v="0"/>
    <s v="TC084"/>
    <x v="0"/>
    <s v="D.NO 4-2-224/1 LAKSHMI PLAZA RAHAMATHPUR CIRCLE HINDUPUR ANDHRA PRADESH HINDUPUR ANP 515201"/>
    <s v="SHRI RAM TRANSPORT FINANCE CO LTD LAXMI PLAZA RAHAMATPUR CIRCLE HINDUPUR ANANTAPUR HINDUPUR ANANTAPUR HINDUPUR ANP 515201"/>
    <s v="HINDUPUR"/>
    <x v="0"/>
    <x v="6"/>
    <s v="FO011"/>
    <s v="PAVAN"/>
    <n v="802823180"/>
    <s v="Sgr@9290"/>
    <s v="UPLOADED"/>
    <m/>
    <x v="1"/>
    <m/>
    <m/>
    <x v="0"/>
    <d v="2026-08-29T00:00:00"/>
    <n v="200000"/>
    <s v="0000000021733673"/>
    <s v="ICICI Bank Coral RuPay Credit Card"/>
    <s v="21ST OCT"/>
    <m/>
  </r>
  <r>
    <s v="4035623106438005"/>
    <s v="MR BATHULA PRADEEP KUMAR"/>
    <s v="N"/>
    <x v="11"/>
    <s v="9701819605"/>
    <s v="X"/>
    <n v="2429.0200000000004"/>
    <n v="30000"/>
    <n v="32429.02"/>
    <s v=""/>
    <n v="32429.02"/>
    <n v="29056.49"/>
    <n v="8520"/>
    <n v="1460"/>
    <x v="1"/>
    <x v="1"/>
    <n v="0"/>
    <n v="1460"/>
    <x v="1"/>
    <s v="NA"/>
    <n v="0"/>
    <s v="TL045"/>
    <x v="1"/>
    <s v="TC003"/>
    <x v="0"/>
    <s v="HOUSE NUMBER F2 BLOK NO 19 KARIMNAGAR MANDAL CHINTHAKUNTA RAJEEV GRUHAKALPA SIDE 1 ADILABAD TNG 505001"/>
    <s v="SRI MADHURI SILKS 4-1-19,USMANPURA, KARIMNAGAR, KARIMNAGAR, ADILABAD TNG 505001"/>
    <s v="KARIMNAGAR"/>
    <x v="2"/>
    <x v="28"/>
    <s v="FO032"/>
    <s v="SUMANTH"/>
    <n v="802370852"/>
    <s v="Sgr@9290"/>
    <s v="UPLOADED"/>
    <m/>
    <x v="1"/>
    <m/>
    <m/>
    <x v="0"/>
    <d v="2024-06-20T00:00:00"/>
    <n v="4629"/>
    <s v="0000000025572257"/>
    <s v="ICICI Bank Platinum Chip Credit Card"/>
    <s v="21ST OCT"/>
    <m/>
  </r>
  <r>
    <s v="4315810398656003"/>
    <s v="MR GOLLAPALLI KUMAR"/>
    <s v="N"/>
    <x v="11"/>
    <s v="9533555291"/>
    <s v="X"/>
    <n v="-16353.230000000003"/>
    <n v="70000"/>
    <n v="53646.77"/>
    <s v=""/>
    <n v="53646.77"/>
    <n v="48828.79"/>
    <n v="12290"/>
    <n v="6210"/>
    <x v="1"/>
    <x v="1"/>
    <n v="0"/>
    <n v="6210"/>
    <x v="1"/>
    <s v="NA"/>
    <n v="0"/>
    <s v="TL045"/>
    <x v="3"/>
    <s v="TC126"/>
    <x v="0"/>
    <s v="16 139 HANUMAN NAGAR VENKATAPURAM CPM COLONY ELURU MANDAL  ELURU ANP 534001"/>
    <s v="CHANDUSOFT TECHNOLOGIES PVT LTD SDF04 PHASE 02 VSEZ VSEZ VISHAKAPATNAM ANP 530046"/>
    <s v="ELURU"/>
    <x v="3"/>
    <x v="29"/>
    <s v="FO035"/>
    <s v="BOJJA KRISHNA SAI"/>
    <n v="802663436"/>
    <s v="Sgr@9290"/>
    <s v="UPLOADED"/>
    <m/>
    <x v="1"/>
    <m/>
    <m/>
    <x v="0"/>
    <d v="2026-10-15T00:00:00"/>
    <n v="9150"/>
    <s v="0000000014660179"/>
    <s v="Amazon Pay ICICI Bank Credit Card"/>
    <s v="21ST OCT"/>
    <m/>
  </r>
  <r>
    <s v="4315810477529006"/>
    <s v="MR AMBALA MADHU PRASAD"/>
    <s v="N"/>
    <x v="11"/>
    <s v="8317536673"/>
    <s v="X"/>
    <n v="278695.18999999994"/>
    <n v="510000"/>
    <n v="788695.19"/>
    <n v="714339.01"/>
    <n v="74356.179999999993"/>
    <n v="64896.800000000003"/>
    <n v="72260"/>
    <n v="30000"/>
    <x v="1"/>
    <x v="1"/>
    <n v="0"/>
    <n v="30000"/>
    <x v="1"/>
    <s v="NA"/>
    <n v="0"/>
    <s v="TL045"/>
    <x v="1"/>
    <s v="TC003"/>
    <x v="0"/>
    <s v="HOUSE NO 3 14 209 YADAV NAGAR HANAMKONDA WARANGAL NEAR PETROL BUNK Warangal TNG 506001"/>
    <s v="TRANSMISSION CORPORATION OFTELANGANA 132 33 K V SUBSTATION GEESUGONDA MAIN ROAD GEESUGONDA WARANGAL GEESUGONDA MAIN ROAD GEESUGONDA WARANGAL GEESUGONDA Warangal TNG 506330"/>
    <s v="WARANGAL"/>
    <x v="2"/>
    <x v="18"/>
    <s v="FO055"/>
    <s v="AKHIL"/>
    <n v="801772792"/>
    <s v="Sgr@9290"/>
    <s v="UPLOADED"/>
    <m/>
    <x v="1"/>
    <m/>
    <m/>
    <x v="0"/>
    <d v="2024-08-02T00:00:00"/>
    <n v="25058"/>
    <s v="0000000015027013"/>
    <s v="Amazon Pay ICICI Bank Credit Card"/>
    <s v="21ST OCT"/>
    <m/>
  </r>
  <r>
    <s v="4375513259019009"/>
    <s v="MR MAHANKALI RUPESH GUPTA"/>
    <s v="N"/>
    <x v="11"/>
    <s v="8790768840"/>
    <s v="X"/>
    <n v="56407.030000000028"/>
    <n v="500000"/>
    <n v="556407.03"/>
    <s v=""/>
    <n v="556407.03"/>
    <n v="493962.76"/>
    <n v="162680"/>
    <n v="93290"/>
    <x v="1"/>
    <x v="1"/>
    <n v="0"/>
    <n v="93290"/>
    <x v="1"/>
    <s v="NA"/>
    <n v="0"/>
    <s v="TL045"/>
    <x v="3"/>
    <s v="TC126"/>
    <x v="0"/>
    <s v="8 3 84 ELURU VARI STREET WEST GODAVARI ASHWARAPETA ROAD JANAGAREDDYGUDEM JANGAREDDIGUDUM ANP 534447"/>
    <s v="RAMARAJ COTTON ASWARU PETA ROAD MAHAMKALI COMPLEX JANGAREDDYGUDEM COMPLEX JANGAREDDYGUDEM JANGAREDDIGUDUM ANP 534447"/>
    <s v="JANGAREDDIGUDUM"/>
    <x v="3"/>
    <x v="19"/>
    <s v="FO093"/>
    <s v="MANIKANTA"/>
    <n v="802852449"/>
    <s v="Ssd@9290"/>
    <s v="UPLOADED"/>
    <m/>
    <x v="1"/>
    <m/>
    <m/>
    <x v="0"/>
    <d v="2024-07-04T00:00:00"/>
    <n v="17294.71"/>
    <s v="0000000016607426"/>
    <s v="ICICI Bank Coral RuPay Credit Card"/>
    <s v="21ST OCT"/>
    <m/>
  </r>
  <r>
    <s v="4375517881706008"/>
    <s v="MR VIJENDAR KAMPELLI"/>
    <s v="N"/>
    <x v="11"/>
    <s v="9441546408"/>
    <s v="X"/>
    <n v="1032.5599999999977"/>
    <n v="60000"/>
    <n v="61032.56"/>
    <s v=""/>
    <n v="61032.56"/>
    <n v="55985.52"/>
    <n v="13190"/>
    <n v="6440"/>
    <x v="1"/>
    <x v="1"/>
    <n v="0"/>
    <n v="6440"/>
    <x v="1"/>
    <s v="NA"/>
    <n v="0"/>
    <s v="TL045"/>
    <x v="1"/>
    <s v="TC003"/>
    <x v="0"/>
    <s v="1-12 MUTHOJIPET   NEAR POST OFFICE Warangal TNG 506132"/>
    <s v="CIVIL CONTRACTOR HN0-1-21 MUTHOJIPET   Warangal TNG 506132"/>
    <s v="WARANGAL"/>
    <x v="2"/>
    <x v="18"/>
    <s v="FO055"/>
    <s v="AKHIL"/>
    <n v="801772792"/>
    <s v="Sgr@9290"/>
    <s v="UPLOADED"/>
    <m/>
    <x v="1"/>
    <m/>
    <m/>
    <x v="0"/>
    <d v="2026-04-13T00:00:00"/>
    <n v="16850"/>
    <s v="0000000011865322"/>
    <s v="ICICI Bank Platinum Chip Credit Card"/>
    <s v="21ST OCT"/>
    <m/>
  </r>
  <r>
    <s v="4375517907621017"/>
    <s v="MR NARAYANA GADE"/>
    <s v="N"/>
    <x v="11"/>
    <s v="9618792223"/>
    <s v="X"/>
    <n v="207152.2"/>
    <n v="70000"/>
    <n v="277152.2"/>
    <n v="213533.95"/>
    <n v="63618.25"/>
    <n v="54470.06"/>
    <n v="55210"/>
    <n v="32688"/>
    <x v="1"/>
    <x v="1"/>
    <n v="30000"/>
    <n v="2688"/>
    <x v="1"/>
    <s v="NA"/>
    <n v="0"/>
    <s v="TL045"/>
    <x v="3"/>
    <s v="TC126"/>
    <x v="0"/>
    <s v="70-5/1-67/5/a1 sai Residency road no-1 T s r nagar Kanaka Durga Temple Kakinada  KAKINADA ANP 533003"/>
    <s v="APARNA CONSTRUCTIONS AND ESTATES PRIVATE ASTRAL HEIGHTS D NO 6 3 52 283 ROAD NO 1 BANJARA HILLS ROAD NO 1 BANJARA HILLS Hyderabad TNG 500034"/>
    <s v="KAKINADA"/>
    <x v="3"/>
    <x v="5"/>
    <s v="FO063"/>
    <s v="UDAY"/>
    <n v="801436997"/>
    <s v="Ssd@9290"/>
    <s v="UPLOADED"/>
    <m/>
    <x v="0"/>
    <s v="LIVE"/>
    <s v=" customer address visit customer available customer ptp on Monday "/>
    <x v="12"/>
    <d v="2026-10-12T00:00:00"/>
    <n v="310"/>
    <s v="0000000011923872"/>
    <s v="ICICI Bank Coral Credit Card"/>
    <s v="21ST OCT"/>
    <m/>
  </r>
  <r>
    <s v="4375518866209000"/>
    <s v="MR PITTALA SRIKANTH"/>
    <s v="N"/>
    <x v="11"/>
    <s v="9849625230"/>
    <s v="X"/>
    <n v="35128.420000000042"/>
    <n v="490000"/>
    <n v="525128.42000000004"/>
    <s v=""/>
    <n v="525128.42000000004"/>
    <n v="489882"/>
    <n v="116390"/>
    <n v="24500"/>
    <x v="1"/>
    <x v="1"/>
    <n v="0"/>
    <n v="24500"/>
    <x v="1"/>
    <s v="NA"/>
    <n v="0"/>
    <s v="TL045"/>
    <x v="1"/>
    <s v="TC003"/>
    <x v="0"/>
    <s v="H NO 9 7 3 THUKKARAO NAGAR SRSILLA  ZENDA ROAD NR ROZA GROUND Karimnagar TNG 505301"/>
    <s v="SRI DIGITAL 9 73 TUKKARAOPALLY SIRICILLA SIRICILLA Karimnagar TNG 505301"/>
    <s v="KARIMNAGAR"/>
    <x v="2"/>
    <x v="8"/>
    <s v="FO007"/>
    <s v="PRASHANTH"/>
    <n v="802551967"/>
    <s v="Ssde@9290"/>
    <s v="UPLOADED"/>
    <m/>
    <x v="1"/>
    <m/>
    <m/>
    <x v="0"/>
    <d v="2024-06-05T00:00:00"/>
    <n v="60000"/>
    <s v="0000000012582511"/>
    <s v="ICICI Bank Platinum Chip Credit Card"/>
    <s v="21ST OCT"/>
    <m/>
  </r>
  <r>
    <s v="4501720929724010"/>
    <s v="MR ARELLIWAR RAVIKANTH"/>
    <s v="N"/>
    <x v="11"/>
    <s v="9491466140"/>
    <s v="X"/>
    <n v="227852.65999999997"/>
    <n v="270000"/>
    <n v="497852.66"/>
    <n v="196710.86"/>
    <n v="301141.8"/>
    <n v="275266.76"/>
    <n v="110700"/>
    <n v="35040"/>
    <x v="1"/>
    <x v="1"/>
    <n v="0"/>
    <n v="35040"/>
    <x v="1"/>
    <s v="NA"/>
    <n v="0"/>
    <s v="TL045"/>
    <x v="1"/>
    <s v="TC003"/>
    <x v="0"/>
    <s v="3-1-183/41/5 TILAK NAGAR TILAK NAGAR ADILABAD ADILABAD TNG 504001"/>
    <s v="SHRI RAM TRANSPORT FINANCE  COMPANY LTD DOOR NO 6 10 86 8 2ND FLOOR ALDILABAD TELENGANA 504001 ALDILABAD TELENGANA 504001 ADILABAD TNG 504001"/>
    <s v="ADILABAD"/>
    <x v="2"/>
    <x v="22"/>
    <s v="FO056"/>
    <s v="KANTH"/>
    <n v="802794852"/>
    <s v="Ssd@9290"/>
    <s v="UPLOADED"/>
    <m/>
    <x v="0"/>
    <s v="LIVE"/>
    <s v="CUSTOMER VISIT OFFICE ADDRESS CUSTOMER LIVE TALK TO THE PHONE CALL PTP ON CHEK"/>
    <x v="1"/>
    <d v="2025-11-05T00:00:00"/>
    <n v="100000"/>
    <s v="0000000021829274"/>
    <s v="ICICI Bank Rubyx Visa Credit Card"/>
    <s v="21ST OCT"/>
    <m/>
  </r>
  <r>
    <s v="4501720941308008"/>
    <s v="MR SYED ABDUL SHAHID"/>
    <s v="N"/>
    <x v="11"/>
    <s v="9985432421"/>
    <s v="X"/>
    <n v="18978.850000000006"/>
    <n v="150000"/>
    <n v="168978.85"/>
    <n v="148794.39000000001"/>
    <n v="20184.46"/>
    <n v="11263.61"/>
    <n v="20184.46"/>
    <n v="9926.7800000000007"/>
    <x v="1"/>
    <x v="1"/>
    <n v="0"/>
    <n v="9926.7800000000007"/>
    <x v="1"/>
    <s v="NA"/>
    <n v="0"/>
    <s v="TL045"/>
    <x v="1"/>
    <s v="TC003"/>
    <x v="0"/>
    <s v="HNO-1-4-560 RAM NAGAR RAM NAGAR NIRMAL NIRMAL NEAR HANMAN TEMPLE ADILABAD TNG 504106"/>
    <s v="RF CONSTRUCTION RF CONSTRUCTION BHAINSA ROAD NIRMAL BHAINSA ROAD NIRMAL ADILABAD TNG 504106"/>
    <s v="ADILABAD"/>
    <x v="2"/>
    <x v="22"/>
    <s v="FO056"/>
    <s v="KANTH"/>
    <n v="802794852"/>
    <s v="Ssd@9290"/>
    <s v="UPLOADED"/>
    <m/>
    <x v="0"/>
    <s v="SKIP"/>
    <s v="customer visit home address customer Live present not available customer going to Hyderabad talk to phone PTP 2nd"/>
    <x v="1"/>
    <s v=""/>
    <n v="0"/>
    <s v="0000000022104198"/>
    <s v="ICICI Bank Rubyx Visa Credit Card"/>
    <s v="21ST OCT"/>
    <m/>
  </r>
  <r>
    <s v="4501720970443007"/>
    <s v="MR RACHAMALLA SAI KUMAR"/>
    <s v="N"/>
    <x v="11"/>
    <s v="9985555422"/>
    <s v="X"/>
    <n v="28048.719999999972"/>
    <n v="490000"/>
    <n v="518048.72"/>
    <n v="220558.86"/>
    <n v="297489.86"/>
    <n v="263319.40999999997"/>
    <n v="105570"/>
    <n v="50740"/>
    <x v="1"/>
    <x v="1"/>
    <n v="0"/>
    <n v="50740"/>
    <x v="1"/>
    <s v="NA"/>
    <n v="0"/>
    <s v="TL045"/>
    <x v="1"/>
    <s v="TC003"/>
    <x v="0"/>
    <s v="2-38 PATANCHERU MANDAL INDRESHAM MEDAK HYDERABAD TNG 502319"/>
    <s v="RA GOUD KIRANA  GENERAL STORES SHOP 2-38 INDRESHAM PATANCHERU SANGAREDDY HYDERABAD SANGAREDDY HYDERABAD HYDERABAD TNG 502319"/>
    <s v="SANGAREDDY"/>
    <x v="2"/>
    <x v="2"/>
    <s v="FO076"/>
    <s v="RADHAKRISHNA"/>
    <n v="801354813"/>
    <s v="Sgr@9290"/>
    <s v="UPLOADED"/>
    <m/>
    <x v="1"/>
    <m/>
    <m/>
    <x v="0"/>
    <d v="2023-09-03T00:00:00"/>
    <n v="219115.77"/>
    <s v="0000000022694242"/>
    <s v="ICICI Bank Rubyx Visa Credit Card"/>
    <s v="21ST OCT"/>
    <m/>
  </r>
  <r>
    <s v="4501720973855009"/>
    <s v="MR FIROZ KHAN"/>
    <s v="N"/>
    <x v="11"/>
    <s v="9000980011"/>
    <s v="X"/>
    <n v="21323.459999999992"/>
    <n v="220000"/>
    <n v="241323.46"/>
    <s v=""/>
    <n v="241323.46"/>
    <n v="219352.15"/>
    <n v="55440"/>
    <n v="22200"/>
    <x v="0"/>
    <x v="0"/>
    <n v="55440"/>
    <n v="-33240"/>
    <x v="3"/>
    <s v="TC"/>
    <n v="0"/>
    <s v="TL045"/>
    <x v="1"/>
    <s v="TC003"/>
    <x v="0"/>
    <s v="18-3-23 STADIUM ROAD SAYAD KHAN STREET GUNTUR GUNTUR  NEAR KINGS HOTEL GUNTUR ANP 522001"/>
    <s v="GOVERNMENT OF ANDHRA PRADESH DNO 5-8-7 1ST LINE ASHOK NAGAR OPP PANTALOONS SHOWROOM PANTALOONS SHOWROOM GUNTUR ANP 522002"/>
    <s v="GUNTUR"/>
    <x v="1"/>
    <x v="10"/>
    <s v="FO001"/>
    <s v="INAMUL"/>
    <n v="802823175"/>
    <s v="Sgr@9290"/>
    <s v="UPLOADED"/>
    <m/>
    <x v="0"/>
    <m/>
    <m/>
    <x v="0"/>
    <d v="2024-09-05T00:00:00"/>
    <n v="37582.17"/>
    <s v="0000000022767573"/>
    <s v="ICICI Bank Rubyx Visa Credit Card"/>
    <s v="21ST OCT"/>
    <m/>
  </r>
  <r>
    <s v="4501720980340003"/>
    <s v="MR RAMACHANDRA RAO CHANAMOLU"/>
    <s v="N"/>
    <x v="11"/>
    <s v="9949439999"/>
    <s v="X"/>
    <n v="23128.630000000005"/>
    <n v="270000"/>
    <n v="293128.63"/>
    <s v=""/>
    <n v="293128.63"/>
    <n v="256136.15"/>
    <n v="83490"/>
    <n v="45240"/>
    <x v="1"/>
    <x v="1"/>
    <n v="0"/>
    <n v="45240"/>
    <x v="1"/>
    <s v="NA"/>
    <n v="0"/>
    <s v="TL045"/>
    <x v="3"/>
    <s v="TC126"/>
    <x v="1"/>
    <s v="2-91 VELAGALERU  NEAR HOSTEL VIJAYAWADA ANP 521229"/>
    <s v="RENUKA CONSTRUCTIONS 2-91 VELAGALERU VELAGALERU VELAGALERU VIJAYAWADA ANP 521229"/>
    <s v="VIJAYAWADA"/>
    <x v="4"/>
    <x v="7"/>
    <s v="FO123"/>
    <s v="SUDHAKAR"/>
    <n v="802913252"/>
    <s v="Ssd@9290"/>
    <s v="UPLOADED"/>
    <m/>
    <x v="1"/>
    <m/>
    <m/>
    <x v="0"/>
    <d v="2026-07-18T00:00:00"/>
    <n v="49100"/>
    <s v="0000000022969540"/>
    <s v="ICICI Bank Rubyx Visa Credit Card"/>
    <s v="21ST OCT"/>
    <m/>
  </r>
  <r>
    <s v="4501720991139006"/>
    <s v="MR BESTA GANESH"/>
    <s v="N"/>
    <x v="11"/>
    <s v="8341327397"/>
    <s v="X"/>
    <n v="43560.390000000014"/>
    <n v="480000"/>
    <n v="523560.39"/>
    <n v="139936.97"/>
    <n v="383623.42"/>
    <n v="337642.63"/>
    <n v="107610"/>
    <n v="46770"/>
    <x v="1"/>
    <x v="1"/>
    <n v="0"/>
    <n v="46770"/>
    <x v="1"/>
    <s v="NA"/>
    <n v="0"/>
    <s v="TL045"/>
    <x v="1"/>
    <s v="TC003"/>
    <x v="0"/>
    <s v="7-1-92 MAHABOOBNAGAR NEW PREM NAGAR NEAR HANUMAN TEMPLE MAHBOOBNAGAR TNG 509001"/>
    <s v="CUBBY FABRRACTION 7-1-92 MARUNNAGA . . MAHBOOBNAGAR TNG 509001"/>
    <s v="MAHBOOBNAGAR"/>
    <x v="2"/>
    <x v="30"/>
    <s v="FO117"/>
    <s v="SAMBA"/>
    <n v="801772794"/>
    <s v="Ssde@9876"/>
    <s v="UPLOADED"/>
    <m/>
    <x v="0"/>
    <s v="SKIP"/>
    <s v="cus present live in hyd sir _x000a_cys mobile switch off sir _x000a_inform to his mother  // cus not at this adrs sir _x000a_cus present live hyd _x000a_cus not respond the call"/>
    <x v="9"/>
    <d v="2026-09-17T00:00:00"/>
    <n v="10000"/>
    <s v="0000000023305804"/>
    <s v="ICICI Bank Rubyx Visa Credit Card"/>
    <s v="21ST OCT"/>
    <m/>
  </r>
  <r>
    <s v="4501720997756001"/>
    <s v="MR CHITTIMOTHULA RAMBABU"/>
    <s v="N"/>
    <x v="11"/>
    <s v="9701837175"/>
    <s v="X"/>
    <n v="-36150.450000000012"/>
    <n v="180000"/>
    <n v="143849.54999999999"/>
    <n v="102303.29"/>
    <n v="41546.26"/>
    <n v="31487.46"/>
    <n v="21480"/>
    <n v="7170"/>
    <x v="1"/>
    <x v="1"/>
    <n v="0"/>
    <n v="7170"/>
    <x v="1"/>
    <s v="NA"/>
    <n v="0"/>
    <s v="TL045"/>
    <x v="1"/>
    <s v="TC003"/>
    <x v="1"/>
    <s v="PATHA REPUDI PATHA REPUDI  3-25/A VIJAYAWADA ANP 521227"/>
    <s v="SRI ANJANEY TRADERS NO 3-25/A, PATHA REPUDI,A KONDURU, KHAMBHAMPADU,KRISHNA,ANDHRA PRADESH KHAMBHAMPADU,KRISHNA,ANDHRA PRADESH VIJAYAWADA ANP 521227"/>
    <s v="VIJAYAWADA"/>
    <x v="2"/>
    <x v="31"/>
    <s v="FO025"/>
    <s v="SUDHAKAR"/>
    <n v="802913252"/>
    <s v="Ssd@9290"/>
    <s v="UPLOADED"/>
    <m/>
    <x v="0"/>
    <s v="LIVE"/>
    <s v="costumer present not available call answered PTP on 30th sir"/>
    <x v="12"/>
    <d v="2026-07-18T00:00:00"/>
    <n v="33911"/>
    <s v="0000000023474480"/>
    <s v="ICICI Bank Rubyx Visa Credit Card"/>
    <s v="21ST OCT"/>
    <m/>
  </r>
  <r>
    <s v="4501721008674001"/>
    <s v="MR LINGAMPALLI RAMESH"/>
    <s v="O"/>
    <x v="11"/>
    <s v="9618811696"/>
    <s v="X"/>
    <n v="-13878.809999999998"/>
    <n v="220000"/>
    <n v="206121.19"/>
    <s v=""/>
    <n v="206121.19"/>
    <n v="195831.98"/>
    <n v="34440"/>
    <n v="22530"/>
    <x v="1"/>
    <x v="1"/>
    <n v="0"/>
    <n v="22530"/>
    <x v="1"/>
    <s v="NA"/>
    <n v="0"/>
    <s v="TL045"/>
    <x v="2"/>
    <s v="TC114"/>
    <x v="0"/>
    <s v="4-429 MADHIRA MANDALAM Z P H S ROAD MADHIRA KHAMMAM TNG 507203"/>
    <s v="GOLDEN STAR FACILITY PVT LTD DOOR NO 10-70/1 10-70/2  GROUND FLOOR RAIPATNAM CENTER MADIRA RAIPATNAM CENTER MADIRA KHAMMAM TNG 507203"/>
    <s v="KHAMMAM"/>
    <x v="2"/>
    <x v="31"/>
    <s v="FO025"/>
    <s v="SUDHAKAR"/>
    <n v="802913252"/>
    <s v="Ssd@9290"/>
    <s v="UPLOADED"/>
    <m/>
    <x v="0"/>
    <s v="LIVE"/>
    <s v="costumer present not available call answered call back today evening sir "/>
    <x v="12"/>
    <d v="2024-12-06T00:00:00"/>
    <n v="100000"/>
    <s v="0000000023753122"/>
    <s v="ICICI Bank Coral RuPay Credit Card"/>
    <s v="21ST OCT"/>
    <m/>
  </r>
  <r>
    <s v="4501721019124004"/>
    <s v="MR RAJESH RACHAKONDA"/>
    <s v="N"/>
    <x v="11"/>
    <s v="9030890689"/>
    <s v="X"/>
    <n v="15363.559999999998"/>
    <n v="180000"/>
    <n v="195363.56"/>
    <s v=""/>
    <n v="195363.56"/>
    <n v="176109.07"/>
    <n v="44560"/>
    <n v="17560"/>
    <x v="1"/>
    <x v="1"/>
    <n v="7600"/>
    <n v="9960"/>
    <x v="4"/>
    <s v="FE"/>
    <n v="0"/>
    <s v="TL045"/>
    <x v="1"/>
    <s v="TC003"/>
    <x v="1"/>
    <s v="P NO.201,5ANJANA APARTMENT BESIDE RATNA CHERUVU RD NEAR TENALI BIKE RD NEAR MENI RD VIJAYAWADA ANP 522503"/>
    <s v="INDINA POST VIJAYAWADA   VIJAYAWADA ANP 520001"/>
    <s v="VIJAYAWADA"/>
    <x v="1"/>
    <x v="32"/>
    <s v="FO099"/>
    <s v="INAMUL"/>
    <n v="802823175"/>
    <s v="Sgr@9290"/>
    <s v="UPLOADED"/>
    <m/>
    <x v="0"/>
    <s v="LIVE"/>
    <s v="visited customer adress customer live in adress customer paid stab amount"/>
    <x v="17"/>
    <d v="2024-06-19T00:00:00"/>
    <n v="5021.1000000000004"/>
    <s v="0000000024054136"/>
    <s v="ICICI Bank Rubyx Visa Credit Card"/>
    <s v="21ST OCT"/>
    <m/>
  </r>
  <r>
    <s v="4501721024272004"/>
    <s v="MR LANKA BRAHMATEJA"/>
    <s v="N"/>
    <x v="11"/>
    <s v="8106025344"/>
    <s v="X"/>
    <n v="-14328.5"/>
    <n v="240000"/>
    <n v="225671.5"/>
    <s v=""/>
    <n v="225671.5"/>
    <n v="219915.51"/>
    <n v="13340"/>
    <n v="780"/>
    <x v="1"/>
    <x v="1"/>
    <n v="0"/>
    <n v="780"/>
    <x v="1"/>
    <s v="NA"/>
    <n v="0"/>
    <s v="TL045"/>
    <x v="3"/>
    <s v="TC126"/>
    <x v="1"/>
    <s v="40-15/2-19/7 FLAT-SF-2 BRUNDAVAN COLONY RBS BRUNDAVANAM EFFTRONICS ROAD VIJAYAWADA ANP 520010"/>
    <s v="SLR CONSTRUCTION PVT LTD 40-15-2/197 FLAT NO. SF2 RBS BRUNDAVANAM BRUNDAVAN COLONY RBS BRUNDAVANAM BRUNDAVAN COLONY VIJAYAWADA ANP 520010"/>
    <s v="VIJAYAWADA"/>
    <x v="4"/>
    <x v="7"/>
    <s v="FO123"/>
    <s v="SUDHAKAR"/>
    <n v="802913252"/>
    <s v="Ssd@9290"/>
    <s v="UPLOADED"/>
    <m/>
    <x v="1"/>
    <m/>
    <m/>
    <x v="0"/>
    <d v="2026-06-10T00:00:00"/>
    <n v="30000"/>
    <s v="0000000024227000"/>
    <s v="ICICI Bank Rubyx Visa Credit Card"/>
    <s v="21ST OCT"/>
    <m/>
  </r>
  <r>
    <s v="4501721025496008"/>
    <s v="MR SEKH ABBAS"/>
    <s v="O"/>
    <x v="11"/>
    <s v="9182829036"/>
    <s v="X"/>
    <n v="4172.1000000000058"/>
    <n v="175000"/>
    <n v="179172.1"/>
    <s v=""/>
    <n v="179172.1"/>
    <n v="170161.73"/>
    <n v="31220"/>
    <n v="16580"/>
    <x v="1"/>
    <x v="1"/>
    <n v="0"/>
    <n v="16580"/>
    <x v="1"/>
    <s v="NA"/>
    <n v="0"/>
    <s v="TL045"/>
    <x v="1"/>
    <s v="TC003"/>
    <x v="1"/>
    <s v="1-8-25/4/1 HUSNABAD GALLY  NIZAMABAD NIZAMABAD TNG 503224"/>
    <s v="KGN GOLD JEWELLERY SHOP ARMUN HUSNABAD GALLI DIST   NIZAMABAD TELANGANA DIST   NIZAMABAD TELANGANA NIZAMABAD TNG 503002"/>
    <s v="NIZAMABAD"/>
    <x v="2"/>
    <x v="26"/>
    <s v="FO043"/>
    <s v="D RAMU"/>
    <n v="802663344"/>
    <s v="Sgr@9290"/>
    <s v="UPLOADED"/>
    <m/>
    <x v="1"/>
    <m/>
    <m/>
    <x v="0"/>
    <d v="2024-05-17T00:00:00"/>
    <n v="2850"/>
    <s v="0000000024261219"/>
    <s v="ICICI Bank Sapphiro Visa Credit Card"/>
    <s v="21ST OCT"/>
    <m/>
  </r>
  <r>
    <s v="4501721035168019"/>
    <s v="MR SAYED SAMAD ABDUL"/>
    <s v="N"/>
    <x v="11"/>
    <s v="9948958637"/>
    <s v="X"/>
    <n v="-73636.28"/>
    <n v="290000"/>
    <n v="216363.72"/>
    <n v="150552.32999999999"/>
    <n v="65811.39"/>
    <n v="58753.79"/>
    <n v="17470"/>
    <n v="580"/>
    <x v="1"/>
    <x v="1"/>
    <n v="0"/>
    <n v="580"/>
    <x v="1"/>
    <s v="NA"/>
    <n v="0"/>
    <s v="TL045"/>
    <x v="3"/>
    <s v="TC126"/>
    <x v="0"/>
    <s v="14-5-14 NEAR A R D G K SCHOOL PENSION LINE  NEAR A R D G K SCHOOL ELURU ANP 534005"/>
    <s v="TAJNENTERPRISERS 14-5-14 GROUND FLOOR NEAR A R D G K SCHOOL PENSION LINE SCHOOL PENSION LINE ELURU ANP 534005"/>
    <s v="ELURU"/>
    <x v="3"/>
    <x v="29"/>
    <s v="FO035"/>
    <s v="BOJJA KRISHNA SAI"/>
    <n v="802663436"/>
    <s v="Sgr@9290"/>
    <s v="UPLOADED"/>
    <m/>
    <x v="1"/>
    <m/>
    <m/>
    <x v="0"/>
    <d v="2026-09-09T00:00:00"/>
    <n v="32000"/>
    <s v="0000000024550035"/>
    <s v="ICICI Bank Rubyx Visa Credit Card"/>
    <s v="21ST OCT"/>
    <m/>
  </r>
  <r>
    <s v="4501721043039004"/>
    <s v="MR BATCHU VENKATA RANGA"/>
    <s v="O"/>
    <x v="11"/>
    <s v="9492118087"/>
    <s v="X"/>
    <n v="4029.7600000000093"/>
    <n v="260000"/>
    <n v="264029.76"/>
    <s v=""/>
    <n v="264029.76"/>
    <n v="251485.59"/>
    <n v="29410"/>
    <n v="9812.25"/>
    <x v="1"/>
    <x v="1"/>
    <n v="0"/>
    <n v="9812.25"/>
    <x v="1"/>
    <s v="NA"/>
    <n v="0"/>
    <s v="TL045"/>
    <x v="3"/>
    <s v="TC126"/>
    <x v="0"/>
    <s v="5-146 OLD BUS STAND  PRAKASAM Prakasam ANP 523240"/>
    <s v="VENKATRAMNA TRADING PVT HOUSE NO. 5/146 GOGLA STREET OLD BUS STA HOUSE NO. 5/146 GOGLA STREET OLD BUS STA HOUSE NO. 5/146 GOGLA STREET OLD BUS STA Prakasam ANP 523240"/>
    <s v="PRAKASAM"/>
    <x v="6"/>
    <x v="24"/>
    <m/>
    <s v="DURGA"/>
    <n v="801723195"/>
    <s v="Sgr@9290"/>
    <s v="UPLOADED"/>
    <m/>
    <x v="1"/>
    <m/>
    <m/>
    <x v="0"/>
    <d v="2024-09-05T00:00:00"/>
    <n v="3800"/>
    <s v="0000000024880750"/>
    <s v="ICICI Bank Rubyx Visa Credit Card"/>
    <s v="21ST OCT"/>
    <m/>
  </r>
  <r>
    <s v="4501721049537001"/>
    <s v="MR MADDISETTY VENKATESWARLU"/>
    <s v="N"/>
    <x v="11"/>
    <s v="8985265052"/>
    <s v="X"/>
    <n v="10293.070000000007"/>
    <n v="230000"/>
    <n v="240293.07"/>
    <n v="90113.32"/>
    <n v="150179.75"/>
    <n v="139183.82999999999"/>
    <n v="44280"/>
    <n v="19870"/>
    <x v="1"/>
    <x v="1"/>
    <n v="0"/>
    <n v="19870"/>
    <x v="1"/>
    <s v="NA"/>
    <n v="0"/>
    <s v="TL045"/>
    <x v="3"/>
    <s v="TC126"/>
    <x v="0"/>
    <s v="1-68,THIRUMALAPURAM,UDAYAGIRI MANDALAM, VARIKUNTAPADU,THURPU CHENNAMPALLE   NELLORE ANP 524227"/>
    <s v="COGNIZANT TECHNOLOGY SOLUTIONS Sri vinayaka pg mens hostel, patrika nagar Hytech City, Hyderabad Hytech City, Hyderabad HYDERABAD TNG 500081"/>
    <s v="NELLORE"/>
    <x v="5"/>
    <x v="21"/>
    <s v="FO042"/>
    <s v="IMAMVALLI"/>
    <n v="802789320"/>
    <s v="Ssd@9290"/>
    <s v="UPLOADED"/>
    <m/>
    <x v="1"/>
    <m/>
    <m/>
    <x v="0"/>
    <d v="2026-09-28T00:00:00"/>
    <n v="62800"/>
    <s v="0000000025085203"/>
    <s v="ICICI Bank Rubyx Visa Credit Card"/>
    <s v="21ST OCT"/>
    <m/>
  </r>
  <r>
    <s v="4501721094087001"/>
    <s v="MR PERAPRAGADA SURYA PRAKASH"/>
    <s v="N"/>
    <x v="11"/>
    <s v="9885187166"/>
    <s v="X"/>
    <n v="-4308.6300000000047"/>
    <n v="300000"/>
    <n v="295691.37"/>
    <s v=""/>
    <n v="295691.37"/>
    <n v="272739"/>
    <n v="49550"/>
    <n v="13640"/>
    <x v="1"/>
    <x v="1"/>
    <n v="0"/>
    <n v="13640"/>
    <x v="1"/>
    <s v="NA"/>
    <n v="0"/>
    <s v="TL045"/>
    <x v="1"/>
    <s v="TC003"/>
    <x v="0"/>
    <s v="FF-4 SAI KRUPA APARTMENT GUNTUR KOTHAPETA GUNTA GROUND BACKSIDE GUNTUR ANP 522001"/>
    <s v="SITARAM PVT LTD GUNTUR   GUNTUR ANP 522006"/>
    <s v="GUNTUR"/>
    <x v="1"/>
    <x v="10"/>
    <s v="FO001"/>
    <s v="INAMUL"/>
    <n v="802823175"/>
    <s v="Sgr@9290"/>
    <s v="UPLOADED"/>
    <m/>
    <x v="0"/>
    <s v="LIVE"/>
    <s v="Visited customer given House address customer was live at given address but present not available at home not responding phone calls left msg to customer mother will call back afternoon revisit again"/>
    <x v="9"/>
    <d v="2024-11-30T00:00:00"/>
    <n v="180000"/>
    <s v="0000000026168544"/>
    <s v="ICICI Bank Rubyx Visa Credit Card"/>
    <s v="21ST OCT"/>
    <m/>
  </r>
  <r>
    <s v="4501721109276003"/>
    <s v="MR VEMIREDDY RAMA KRISHNAREDDY"/>
    <s v="N"/>
    <x v="11"/>
    <s v="9550189131"/>
    <s v="X"/>
    <n v="-137548.13"/>
    <n v="300000"/>
    <n v="162451.87"/>
    <n v="29217.34"/>
    <n v="133234.53"/>
    <n v="120556.33"/>
    <n v="27460"/>
    <n v="12700"/>
    <x v="1"/>
    <x v="1"/>
    <n v="0"/>
    <n v="12700"/>
    <x v="1"/>
    <s v="NA"/>
    <n v="0"/>
    <s v="TL045"/>
    <x v="0"/>
    <s v="TC084"/>
    <x v="0"/>
    <s v="4-76 NALLAGATLA  PRAKASAM NANDYAL ANP 523357"/>
    <s v="RK SOLUTIONS 4-72,NALLAGATLA PRAKASAM,AP PRAKASAM,AP NANDYAL ANP 523357"/>
    <s v="NANDYAL"/>
    <x v="0"/>
    <x v="20"/>
    <s v="FO021"/>
    <s v="HARI"/>
    <n v="802388289"/>
    <s v="Ssd@9290"/>
    <s v="UPLOADED"/>
    <m/>
    <x v="0"/>
    <s v="LIVE"/>
    <s v="customer live customer PTP 4th "/>
    <x v="18"/>
    <d v="2024-07-04T00:00:00"/>
    <n v="17998"/>
    <s v="0000000026461074"/>
    <s v="ICICI Bank Rubyx Visa Credit Card"/>
    <s v="21ST OCT"/>
    <m/>
  </r>
  <r>
    <s v="4501721120762007"/>
    <s v="MR RANGA GOPI KRISHNA"/>
    <s v="N"/>
    <x v="11"/>
    <s v="9494822564"/>
    <s v="X"/>
    <n v="7373.109999999986"/>
    <n v="181000"/>
    <n v="188373.11"/>
    <s v=""/>
    <n v="188373.11"/>
    <n v="170040.2"/>
    <n v="38590"/>
    <n v="14390"/>
    <x v="1"/>
    <x v="1"/>
    <n v="0"/>
    <n v="14390"/>
    <x v="1"/>
    <s v="NA"/>
    <n v="0"/>
    <s v="TL045"/>
    <x v="1"/>
    <s v="TC003"/>
    <x v="0"/>
    <s v="1-75 PUBLIC SCHOOL DAGGARA  MANNAVA GUNTUR ANP 522124"/>
    <s v="KBC INFRASTRUCTION PVT LTD DOOR NO 1-2-71/1 VENKATADRI TOWER, J.K.C COLLEGE VENKATADRI TOWER, J.K.C COLLEGE GUNTUR ANP 522007"/>
    <s v="GUNTUR"/>
    <x v="1"/>
    <x v="33"/>
    <s v="FO077"/>
    <s v="INAMUL"/>
    <n v="802823175"/>
    <s v="Sgr@9290"/>
    <s v="UPLOADED"/>
    <m/>
    <x v="1"/>
    <m/>
    <m/>
    <x v="0"/>
    <s v=""/>
    <n v="0"/>
    <s v="0000000026711536"/>
    <s v="ICICI Bank Rubyx Visa Credit Card"/>
    <s v="21ST OCT"/>
    <m/>
  </r>
  <r>
    <s v="4501721184337001"/>
    <s v="MR DASARI NAVEEN KUMAR"/>
    <s v="N"/>
    <x v="11"/>
    <s v="6300574050"/>
    <s v="X"/>
    <n v="11819.100000000006"/>
    <n v="110000"/>
    <n v="121819.1"/>
    <s v=""/>
    <n v="121819.1"/>
    <n v="109527.8"/>
    <n v="34080"/>
    <n v="11010"/>
    <x v="1"/>
    <x v="1"/>
    <n v="0"/>
    <n v="11010"/>
    <x v="1"/>
    <s v="NA"/>
    <n v="0"/>
    <s v="TL045"/>
    <x v="1"/>
    <s v="TC003"/>
    <x v="0"/>
    <s v="H NO 58-8-75 NETAJI NAGAR KARIPIKONDA NR SUBASH STATUE WARANGAL TNG 506003"/>
    <s v="SREE DIGITALS H NO 58-8-75 GROUND FLOOR NETAJI NAGAR KARIPIKONDA NETAJI NAGAR KARIPIKONDA WARANGAL TNG 506003"/>
    <s v="WARANGAL"/>
    <x v="2"/>
    <x v="18"/>
    <s v="FO055"/>
    <s v="AKHIL"/>
    <n v="801772792"/>
    <s v="Sgr@9290"/>
    <s v="UPLOADED"/>
    <m/>
    <x v="1"/>
    <m/>
    <m/>
    <x v="0"/>
    <d v="2024-12-04T00:00:00"/>
    <n v="110000"/>
    <s v="0000000028187059"/>
    <s v="ICICI Bank Rubyx Visa Credit Card"/>
    <s v="21ST OCT"/>
    <m/>
  </r>
  <r>
    <s v="4501721185748008"/>
    <s v="MR VEJANDLA SIVARAMAKRISHNA"/>
    <s v="N"/>
    <x v="11"/>
    <s v="9010028925"/>
    <s v="X"/>
    <n v="6014.9900000000052"/>
    <n v="91000"/>
    <n v="97014.99"/>
    <n v="54076.31"/>
    <n v="42938.68"/>
    <n v="33575.56"/>
    <n v="29920"/>
    <n v="15710"/>
    <x v="1"/>
    <x v="1"/>
    <n v="0"/>
    <n v="15710"/>
    <x v="1"/>
    <s v="NA"/>
    <n v="0"/>
    <s v="TL045"/>
    <x v="1"/>
    <s v="TC003"/>
    <x v="0"/>
    <s v="6-102 AMRUTHALURU AMRUTHALURU M S R SCHOOL GUNTUR ANP 522325"/>
    <s v="LG SERVICES PVT LTD LG SERVICES MANGALAGIRI PEDHAKONERU MANGALAGIRI PEDHAKONERU VIJAYAWADA ANP 522503"/>
    <s v="GUNTUR"/>
    <x v="1"/>
    <x v="33"/>
    <s v="FO077"/>
    <s v="INAMUL"/>
    <n v="802823175"/>
    <s v="Sgr@9290"/>
    <s v="UPLOADED"/>
    <m/>
    <x v="1"/>
    <m/>
    <m/>
    <x v="0"/>
    <d v="2024-06-26T00:00:00"/>
    <n v="25820.84"/>
    <s v="0000000028237840"/>
    <s v="ICICI Bank Rubyx Visa Credit Card"/>
    <s v="21ST OCT"/>
    <m/>
  </r>
  <r>
    <s v="4501721190159001"/>
    <s v="MR CHANDU RAMISETTI"/>
    <s v="N"/>
    <x v="11"/>
    <s v="9059060963"/>
    <s v="X"/>
    <n v="-100946.47"/>
    <n v="250000"/>
    <n v="149053.53"/>
    <n v="127848.19"/>
    <n v="21205.34"/>
    <n v="17903.650000000001"/>
    <n v="16830"/>
    <n v="100"/>
    <x v="1"/>
    <x v="1"/>
    <n v="0"/>
    <n v="100"/>
    <x v="1"/>
    <s v="NA"/>
    <n v="0"/>
    <s v="TL045"/>
    <x v="3"/>
    <s v="TC126"/>
    <x v="1"/>
    <s v="2143 PAYAKAPURAM NEW RAJIV NAGAR NEAR LAHARI VIDHYA MANDIR VIJAYAWADA ANP 520015"/>
    <s v="ACCENTURE SOLUTIONS PRIVATE LIMITED GANESH NAGAR HYDERABAD HYDERABAD HYDERABAD TNG 500081"/>
    <s v="VIJAYAWADA"/>
    <x v="4"/>
    <x v="7"/>
    <s v="FO123"/>
    <s v="SUDHAKAR"/>
    <n v="802913252"/>
    <s v="Ssd@9290"/>
    <s v="UPLOADED"/>
    <m/>
    <x v="1"/>
    <m/>
    <m/>
    <x v="0"/>
    <d v="2026-05-09T00:00:00"/>
    <n v="22825"/>
    <s v="0000000028413597"/>
    <s v="ICICI Bank Rubyx Visa Credit Card"/>
    <s v="21ST OCT"/>
    <m/>
  </r>
  <r>
    <s v="4501721192203005"/>
    <s v="MR UPPARA CHANDRASEKHAR"/>
    <s v="O"/>
    <x v="11"/>
    <s v="9491988626"/>
    <s v="X"/>
    <n v="-11049.259999999995"/>
    <n v="120000"/>
    <n v="108950.74"/>
    <n v="54715.48"/>
    <n v="54235.26"/>
    <n v="46626.79"/>
    <n v="32410"/>
    <n v="14990"/>
    <x v="1"/>
    <x v="1"/>
    <n v="0"/>
    <n v="14990"/>
    <x v="1"/>
    <s v="NA"/>
    <n v="0"/>
    <s v="TL045"/>
    <x v="0"/>
    <s v="TC084"/>
    <x v="0"/>
    <s v="1-598, RUDRAMPETA RUDRAMPETA ANANTAPUR NEAR SOCIETY BANK ANAPARTHI ANP 515004"/>
    <s v="ACCOUNTS MANAGER IN DHANVI MOTORS RAMNAGAR ANANTHAPUR ANANTHAPUR ANAPARTHI ANP 515001"/>
    <s v="ANAPARTHI"/>
    <x v="0"/>
    <x v="6"/>
    <s v="FO011"/>
    <s v="PAVAN"/>
    <n v="802823180"/>
    <s v="Sgr@9290"/>
    <s v="UPLOADED"/>
    <m/>
    <x v="0"/>
    <s v="SKIP"/>
    <s v=" customer not available customer calls not responding  // customer address visited customer PTP on 5th"/>
    <x v="9"/>
    <d v="2024-01-30T00:00:00"/>
    <n v="105964.55"/>
    <s v="0000000028485868"/>
    <s v="ICICI Bank Rubyx Visa Credit Card"/>
    <s v="21ST OCT"/>
    <m/>
  </r>
  <r>
    <s v="4501721193841001"/>
    <s v="MR CHITIRALA SATYANARAYANA"/>
    <s v="O"/>
    <x v="11"/>
    <s v="9885471776"/>
    <s v="X"/>
    <n v="-11260.130000000005"/>
    <n v="150000"/>
    <n v="138739.87"/>
    <n v="50352.01"/>
    <n v="88387.86"/>
    <n v="79620.320000000007"/>
    <n v="26650"/>
    <n v="11130"/>
    <x v="1"/>
    <x v="1"/>
    <n v="0"/>
    <n v="11130"/>
    <x v="1"/>
    <s v="NA"/>
    <n v="0"/>
    <s v="TL045"/>
    <x v="1"/>
    <s v="TC003"/>
    <x v="0"/>
    <s v="5-1-132 NEAR SIVUDI BOMMA  NEAR SIVUDI BOMMA GUNTUR ANP 522601"/>
    <s v="VASAVI TRAVELS D.NO 6-1-150 NARASARAOPET NARASARAOPET GUNTUR ANP 522601"/>
    <s v="GUNTUR"/>
    <x v="1"/>
    <x v="34"/>
    <s v="FO118"/>
    <s v="DURGA"/>
    <n v="801723195"/>
    <s v="Sgr@9290"/>
    <s v="UPLOADED"/>
    <m/>
    <x v="0"/>
    <s v="LIVE"/>
    <s v="casutmor calls back  // Met customer //  Not available"/>
    <x v="17"/>
    <d v="2026-03-13T00:00:00"/>
    <n v="57000"/>
    <s v="0000000028554429"/>
    <s v="ICICI Bank Rubyx Visa Credit Card"/>
    <s v="21ST OCT"/>
    <m/>
  </r>
  <r>
    <s v="4501721310860009"/>
    <s v="MS POKOORI PRASANNA"/>
    <s v="O"/>
    <x v="11"/>
    <s v="8660976989"/>
    <s v="X"/>
    <n v="91686.960000000021"/>
    <n v="410000"/>
    <n v="501686.96"/>
    <n v="84774.21"/>
    <n v="416912.75"/>
    <n v="390963.31"/>
    <n v="86140"/>
    <n v="20891.02"/>
    <x v="0"/>
    <x v="0"/>
    <n v="87497.73"/>
    <n v="-66606.709999999992"/>
    <x v="3"/>
    <s v="TC"/>
    <n v="0"/>
    <s v="TL045"/>
    <x v="3"/>
    <s v="TC126"/>
    <x v="0"/>
    <s v="00,RAMANAIDUPALLI,RAMANAIDUPALLI,NANDAVARAM    NELLORE ANP 524307"/>
    <s v="INFOSYS TECHNOLOGIES I Hosur main road Electronic city, Bangalore Electronic city, Bangalore BANGALORE KAR 560100"/>
    <s v="NELLORE"/>
    <x v="5"/>
    <x v="21"/>
    <s v="FO042"/>
    <s v="IMAMVALLI"/>
    <n v="802789320"/>
    <s v="Ssd@9290"/>
    <s v="UPLOADED"/>
    <m/>
    <x v="0"/>
    <m/>
    <m/>
    <x v="0"/>
    <d v="2026-09-30T00:00:00"/>
    <n v="67861"/>
    <s v="0000000023771431"/>
    <s v="ICICI Bank Coral RuPay Credit Card"/>
    <s v="21ST OCT"/>
    <m/>
  </r>
  <r>
    <s v="4501721331863008"/>
    <s v="Mr ETHNOOR VILAS KUMAR GOUD"/>
    <s v="N"/>
    <x v="11"/>
    <s v="9704048776"/>
    <s v="X"/>
    <n v="110254.59999999998"/>
    <n v="440000"/>
    <n v="550254.6"/>
    <n v="268653.87"/>
    <n v="281600.73"/>
    <n v="239358.55"/>
    <n v="103640"/>
    <n v="52840"/>
    <x v="1"/>
    <x v="1"/>
    <n v="0"/>
    <n v="52840"/>
    <x v="1"/>
    <s v="NA"/>
    <n v="0"/>
    <s v="TL045"/>
    <x v="1"/>
    <s v="TC003"/>
    <x v="0"/>
    <s v="1-3-127/7 SHASTRINAGAR,SHASTRINAGAR NIRMAL    ADILABAD TNG 504106"/>
    <s v="Not Applicable Icici bank ltd Nirmal Nirmal ADILABAD TNG 504106"/>
    <s v="ADILABAD"/>
    <x v="2"/>
    <x v="22"/>
    <s v="FO056"/>
    <s v="KANTH"/>
    <n v="802794852"/>
    <s v="Ssd@9290"/>
    <s v="UPLOADED"/>
    <m/>
    <x v="0"/>
    <s v="LIVE"/>
    <s v="customer visit home address customer Live present customer living at Hyderabad Kompally customer phone calls not respond "/>
    <x v="1"/>
    <d v="2026-05-19T00:00:00"/>
    <n v="43042.59"/>
    <s v="0000000024251208"/>
    <s v="ICICI Bank Sapphiro Visa Credit Card"/>
    <s v="21ST OCT"/>
    <m/>
  </r>
  <r>
    <s v="4501721337203001"/>
    <s v="MS POOLA MANISHA"/>
    <s v="O"/>
    <x v="11"/>
    <s v="9908206725"/>
    <s v="X"/>
    <n v="490357.78"/>
    <n v="310000"/>
    <n v="800357.78"/>
    <n v="695967.44"/>
    <n v="104390.34"/>
    <n v="69715.69"/>
    <n v="103490"/>
    <n v="55140"/>
    <x v="1"/>
    <x v="1"/>
    <n v="5000"/>
    <n v="50140"/>
    <x v="1"/>
    <s v="NA"/>
    <n v="0"/>
    <s v="TL045"/>
    <x v="0"/>
    <s v="TC084"/>
    <x v="0"/>
    <s v="38/373-9 TILAK NAGAR B D,COLONY, CUDDAPAH CUDDAPAH  NEAR BY BY PASS ROAD CUDDAPAH ANP 516002"/>
    <s v="TECH MAHINDRA LIMITED ELECTRONIC CITY INDUSTRIAL AREA PHASE 02 BANGLORE 560100 PHASE 02 BANGLORE 560100 BANGALORE KAR 560100"/>
    <s v="CUDDAPAH"/>
    <x v="0"/>
    <x v="16"/>
    <s v="FO080"/>
    <s v="Y GANESH"/>
    <n v="802823528"/>
    <s v="Sms@9290"/>
    <s v="UPLOADED"/>
    <m/>
    <x v="0"/>
    <s v="MESS"/>
    <s v="customer given residency address location visit but door lock and enquired with surrounding people they said they have left from the given residency address to another place and called to customer she is not responding to calls sir "/>
    <x v="9"/>
    <d v="2025-11-01T00:00:00"/>
    <n v="82300"/>
    <s v="0000000024386988"/>
    <s v="ICICI Bank Coral RuPay Credit Card"/>
    <s v="21ST OCT"/>
    <m/>
  </r>
  <r>
    <s v="4501721378107004"/>
    <s v="Mr SADDALA HARIPRASAD"/>
    <s v="N"/>
    <x v="11"/>
    <s v="9966645258"/>
    <s v="X"/>
    <n v="16875.089999999967"/>
    <n v="580000"/>
    <n v="596875.09"/>
    <n v="159655.26999999999"/>
    <n v="437219.82"/>
    <n v="414533.03"/>
    <n v="103030"/>
    <n v="56010"/>
    <x v="1"/>
    <x v="1"/>
    <n v="0"/>
    <n v="56010"/>
    <x v="1"/>
    <s v="NA"/>
    <n v="0"/>
    <s v="TL045"/>
    <x v="0"/>
    <s v="TC084"/>
    <x v="0"/>
    <s v="2 22,YARRAM VARI PALLI,KAMMIREDDY VARI, PALLI SOMALA,MANDALAM KAMIREDDIVARIPALLE   TIRUPATHI ANP 517234"/>
    <s v="XTGLOBAL INFOTECH LIMITED 2 22YARRAM VARI PALLIKAMMIREDDY VARI PAL CHITTOOR 517234 ANDHRAPRADESH INDIA CHITTOOR 517234 ANDHRAPRADESH INDIA TIRUPATHI ANP 517234"/>
    <s v="TIRUPATHI"/>
    <x v="0"/>
    <x v="0"/>
    <s v="FO061"/>
    <s v="S SEKHAR"/>
    <n v="845041675"/>
    <s v="Ssd@9290"/>
    <s v="UPLOADED"/>
    <m/>
    <x v="1"/>
    <m/>
    <m/>
    <x v="0"/>
    <d v="2025-01-18T00:00:00"/>
    <n v="4000"/>
    <s v="0000000025277832"/>
    <s v="ICICI Bank Sapphiro Visa Credit Card"/>
    <s v="21ST OCT"/>
    <m/>
  </r>
  <r>
    <s v="4501721384726011"/>
    <s v="MR DONGRI ZAKEER HUSSAIN"/>
    <s v="N"/>
    <x v="11"/>
    <s v="8886622111"/>
    <s v="X"/>
    <n v="19129.659999999974"/>
    <n v="300000"/>
    <n v="319129.65999999997"/>
    <n v="12812.01"/>
    <n v="306317.65000000002"/>
    <n v="285638.26"/>
    <n v="76970"/>
    <n v="25840"/>
    <x v="1"/>
    <x v="1"/>
    <n v="0"/>
    <n v="25840"/>
    <x v="1"/>
    <s v="NA"/>
    <n v="0"/>
    <s v="TL045"/>
    <x v="0"/>
    <s v="TC084"/>
    <x v="0"/>
    <s v="5-320 ALLA BAKASH STREET ALLA BAKASH STREET ANANTAPUR ANANTAPUR ANP 515411"/>
    <s v="CANARA HSBC OBC LIFE INSURANCE CO LTD 7-1-618,206 QND 207,2ND FLOOR, ADITYA TRADE CENTRE,AMEERPET ADITYA TRADE CENTRE,AMEERPET HYDERABAD TNG 500038"/>
    <s v="ANANTAPUR"/>
    <x v="0"/>
    <x v="6"/>
    <s v="FO011"/>
    <s v="PAVAN"/>
    <n v="802823180"/>
    <s v="Sgr@9290"/>
    <s v="UPLOADED"/>
    <m/>
    <x v="1"/>
    <m/>
    <m/>
    <x v="0"/>
    <d v="2024-09-05T00:00:00"/>
    <n v="149993"/>
    <s v="0000000025387910"/>
    <s v="ICICI Bank Coral RuPay Credit Card"/>
    <s v="21ST OCT"/>
    <m/>
  </r>
  <r>
    <s v="4501721395106013"/>
    <s v="MR KODATI VENKATARAMANARAO"/>
    <s v="N"/>
    <x v="11"/>
    <s v="9963873441"/>
    <s v="X"/>
    <n v="8785.5300000000279"/>
    <n v="500000"/>
    <n v="508785.53"/>
    <n v="86095.3"/>
    <n v="422690.23"/>
    <n v="390306.04"/>
    <n v="88670"/>
    <n v="35000"/>
    <x v="1"/>
    <x v="1"/>
    <n v="20000"/>
    <n v="15000"/>
    <x v="1"/>
    <s v="NA"/>
    <n v="0"/>
    <s v="TL045"/>
    <x v="2"/>
    <s v="TC114"/>
    <x v="0"/>
    <s v="1-88 MUNAGALA MANDALAM MAIN ROAD NALGONDA SURYAPET TNG 508213"/>
    <s v="SHRI RAMACHANDRA TRANSPORTS NCL  TP  MELLACHERUVU ROAD HUZUR NAGAR  DISTT  SURYAPET   TELANGA HUZUR NAGAR  DISTT  SURYAPET   TELANGA SURYAPET TNG 508204"/>
    <s v="SURYAPET"/>
    <x v="2"/>
    <x v="13"/>
    <s v="FO113"/>
    <s v="CHAITANYA"/>
    <n v="802555024"/>
    <s v="Ssde@9290"/>
    <s v="UPLOADED"/>
    <m/>
    <x v="1"/>
    <m/>
    <m/>
    <x v="0"/>
    <s v=""/>
    <n v="0"/>
    <s v="0000000025536921"/>
    <s v="ICICI Bank Coral RuPay Credit Card"/>
    <s v="21ST OCT"/>
    <m/>
  </r>
  <r>
    <s v="4501721445753004"/>
    <s v="MR K ARAVIND"/>
    <s v="N"/>
    <x v="11"/>
    <s v="9014272390"/>
    <s v="X"/>
    <n v="-21197.809999999998"/>
    <n v="300000"/>
    <n v="278802.19"/>
    <s v=""/>
    <n v="278802.19"/>
    <n v="263704.46000000002"/>
    <n v="23730"/>
    <n v="5194.0600000000004"/>
    <x v="1"/>
    <x v="1"/>
    <n v="0"/>
    <n v="5194.0600000000004"/>
    <x v="1"/>
    <s v="NA"/>
    <n v="0"/>
    <s v="TL045"/>
    <x v="0"/>
    <s v="TC084"/>
    <x v="0"/>
    <s v="6-,SETHAYYAPETA KARIVENA,KARIVENA,ATMAKUR    KURNOOL ANP 518422"/>
    <s v="Aravind Seetayyapaeta Karivena Karivena ATMAKUR ANP 518422"/>
    <s v="KURNOOL"/>
    <x v="0"/>
    <x v="35"/>
    <s v="FO066"/>
    <s v="RABBANI"/>
    <n v="802123413"/>
    <s v="Sgr@9290"/>
    <s v="UPLOADED"/>
    <m/>
    <x v="1"/>
    <m/>
    <m/>
    <x v="0"/>
    <d v="2026-07-10T00:00:00"/>
    <n v="50000"/>
    <s v="0000000026296144"/>
    <s v="ICICI Bank Sapphiro Visa Credit Card"/>
    <s v="21ST OCT"/>
    <m/>
  </r>
  <r>
    <s v="4501721607996003"/>
    <s v="MR DARABOINA SANJAY"/>
    <s v="N"/>
    <x v="11"/>
    <s v="9618165494"/>
    <s v="Y"/>
    <n v="-48791.55"/>
    <n v="100000"/>
    <n v="51208.45"/>
    <s v=""/>
    <n v="51208.45"/>
    <n v="48647.72"/>
    <n v="6910"/>
    <n v="4180"/>
    <x v="1"/>
    <x v="1"/>
    <n v="0"/>
    <n v="4180"/>
    <x v="1"/>
    <s v="NA"/>
    <n v="0"/>
    <s v="TL045"/>
    <x v="1"/>
    <s v="TC003"/>
    <x v="0"/>
    <s v="5-11-340/1 HANMAKONDA POCHAMMAKUNTA NAIM NAGAR WARANGAL TNG 506009"/>
    <s v="DARABOINA SANJAY 5-11-340/1 POCHAMMAKUNTA POCHAMMAKUNTA WARANGAL TNG 506009"/>
    <s v="WARANGAL"/>
    <x v="2"/>
    <x v="18"/>
    <s v="FO055"/>
    <s v="AKHIL"/>
    <n v="801772792"/>
    <s v="Sgr@9290"/>
    <s v="UPLOADED"/>
    <m/>
    <x v="0"/>
    <s v="LIVE"/>
    <s v="Met vth cust and given ptp on 30th"/>
    <x v="9"/>
    <d v="2026-10-17T00:00:00"/>
    <n v="12000"/>
    <s v="0000000027411392"/>
    <s v="ICICI Bank Coral RuPay Credit Card"/>
    <s v="21ST OCT"/>
    <m/>
  </r>
  <r>
    <s v="4501721649235006"/>
    <s v="MS PADMINI BISANI"/>
    <s v="N"/>
    <x v="11"/>
    <s v="7569203389"/>
    <s v="X"/>
    <n v="24585.830000000016"/>
    <n v="420000"/>
    <n v="444585.83"/>
    <n v="58781.29"/>
    <n v="385804.54"/>
    <n v="359254.13"/>
    <n v="95660"/>
    <n v="36520"/>
    <x v="1"/>
    <x v="1"/>
    <n v="0"/>
    <n v="36520"/>
    <x v="1"/>
    <s v="NA"/>
    <n v="0"/>
    <s v="TL045"/>
    <x v="3"/>
    <s v="TC126"/>
    <x v="1"/>
    <s v="HNO-21-10/5-82, 2 ND LINE TEACHERS COLONY, VIJAYWADA NR GOVERNMENT PRESS VIJAYAWADA ANP 520011"/>
    <s v="SUBRAMANSWARA ENTERPRISES SHOP NO - 10,  SEETHARAMPURAM VIJAYWADA VIJAYWADA VIJAYAWADA ANP 520004"/>
    <s v="VIJAYAWADA"/>
    <x v="4"/>
    <x v="7"/>
    <s v="FO123"/>
    <s v="SUDHAKAR"/>
    <n v="802913252"/>
    <s v="Ssd@9290"/>
    <s v="UPLOADED"/>
    <m/>
    <x v="1"/>
    <m/>
    <m/>
    <x v="0"/>
    <s v=""/>
    <n v="0"/>
    <s v="0000000028929552"/>
    <s v="ICICI Bank Sapphiro Visa Credit Card"/>
    <s v="21ST OCT"/>
    <m/>
  </r>
  <r>
    <s v="4501721803585006"/>
    <s v="MR NIBHANUPUDI VENKATA BHASKARA"/>
    <s v="N"/>
    <x v="11"/>
    <s v="9014722324"/>
    <s v="X"/>
    <n v="19328.429999999993"/>
    <n v="375000"/>
    <n v="394328.43"/>
    <s v=""/>
    <n v="394328.43"/>
    <n v="357507.01"/>
    <n v="76610"/>
    <n v="24210"/>
    <x v="1"/>
    <x v="1"/>
    <n v="0"/>
    <n v="24210"/>
    <x v="1"/>
    <s v="NA"/>
    <n v="0"/>
    <s v="TL045"/>
    <x v="3"/>
    <s v="TC126"/>
    <x v="0"/>
    <s v="9-42 KUTUKULURU BASIVI REDDY STRETH  KAKINADA ANP 533264"/>
    <s v="LG RICE MILL RAYAVARAM EAST GODAVARI EAST GODAVARI RAJAHMUNDRY ANP 533346"/>
    <s v="KAKINADA"/>
    <x v="3"/>
    <x v="14"/>
    <s v="FO029"/>
    <s v="MANIKANTA"/>
    <n v="802852449"/>
    <s v="Ssd@9290"/>
    <s v="UPLOADED"/>
    <m/>
    <x v="0"/>
    <s v="SKIP"/>
    <s v="visited customer Rajahmundry address customer job resion //  Not available // Visted customer new address ptp. 8nov"/>
    <x v="16"/>
    <d v="2025-08-05T00:00:00"/>
    <n v="7500"/>
    <s v="0000000029023946"/>
    <s v="ICICI Bank Rubyx Visa Credit Card"/>
    <s v="21ST OCT"/>
    <m/>
  </r>
  <r>
    <s v="4501721804386008"/>
    <s v="MS CHITIRALA RUKMINI KUMARI"/>
    <s v="O"/>
    <x v="11"/>
    <s v="9494863313"/>
    <s v="X"/>
    <n v="4220.7100000000064"/>
    <n v="80000"/>
    <n v="84220.71"/>
    <s v=""/>
    <n v="84220.71"/>
    <n v="75547.41"/>
    <n v="24660"/>
    <n v="12220"/>
    <x v="1"/>
    <x v="1"/>
    <n v="0"/>
    <n v="12220"/>
    <x v="1"/>
    <s v="NA"/>
    <n v="0"/>
    <s v="TL045"/>
    <x v="1"/>
    <s v="TC003"/>
    <x v="0"/>
    <s v="5-1-132 NEAR SIVUDI BOMMA  NEAR SIVUDI BOMMA GUNTUR ANP 522601"/>
    <s v="VASAVI TRAVELS 6-1-150 MAIN ROAD NARARAOPET MAIN ROAD NARARAOPET GUNTUR ANP 522601"/>
    <s v="GUNTUR"/>
    <x v="1"/>
    <x v="34"/>
    <s v="FO118"/>
    <s v="DURGA"/>
    <n v="801723195"/>
    <s v="Sgr@9290"/>
    <s v="UPLOADED"/>
    <m/>
    <x v="0"/>
    <s v="LIVE"/>
    <s v=": calls back  //  Met customer // Not available"/>
    <x v="17"/>
    <d v="2026-02-10T00:00:00"/>
    <n v="32500"/>
    <s v="0000000029050547"/>
    <s v="ICICI Bank Rubyx Visa Credit Card"/>
    <s v="21ST OCT"/>
    <m/>
  </r>
  <r>
    <s v="4501721819721009"/>
    <s v="MR PALLEDA KALKI DAMODARA"/>
    <s v="N"/>
    <x v="11"/>
    <s v="9490422791"/>
    <s v="X"/>
    <n v="-2231.7799999999988"/>
    <n v="54000"/>
    <n v="51768.22"/>
    <n v="5577.95"/>
    <n v="46190.27"/>
    <n v="42370.58"/>
    <n v="8800"/>
    <n v="4280"/>
    <x v="1"/>
    <x v="1"/>
    <n v="0"/>
    <n v="4280"/>
    <x v="1"/>
    <s v="NA"/>
    <n v="0"/>
    <s v="TL045"/>
    <x v="3"/>
    <s v="TC126"/>
    <x v="0"/>
    <s v="HOUSE NO.32 RAILWAY QUARTERS AKIVEEDU NEAR AKIVEEDU RAILWAY STATION BHIMAVARAM ANP 534235"/>
    <s v="GOVERNMENT SENIORSECTIONENGINEERPERMANENTWAY,AKIVEE DU,AKIVEEDUMANDAL,WEST GODAVARI DISTRICT DU,AKIVEEDUMANDAL,WEST GODAVARI DISTRICT ELURU ANP 534006"/>
    <s v="BHIMAVARAM"/>
    <x v="3"/>
    <x v="36"/>
    <s v="FO026"/>
    <s v="B NAGABABU"/>
    <n v="801448854"/>
    <s v="Sgr@9290"/>
    <s v="UPLOADED"/>
    <m/>
    <x v="1"/>
    <m/>
    <m/>
    <x v="0"/>
    <d v="2025-07-05T00:00:00"/>
    <n v="6300"/>
    <s v="0000000029665889"/>
    <s v="ICICI Bank Rubyx Visa Credit Card"/>
    <s v="21ST OCT"/>
    <m/>
  </r>
  <r>
    <s v="4501721827501005"/>
    <s v="MR BHUPATHI BABU PRAKASH"/>
    <s v="N"/>
    <x v="11"/>
    <s v="9884477242"/>
    <s v="X"/>
    <n v="-160983.45000000001"/>
    <n v="350000"/>
    <n v="189016.55"/>
    <n v="55727.51"/>
    <n v="133289.04"/>
    <n v="124523.23"/>
    <n v="31300"/>
    <n v="13020"/>
    <x v="1"/>
    <x v="1"/>
    <n v="0"/>
    <n v="13020"/>
    <x v="1"/>
    <s v="NA"/>
    <n v="0"/>
    <s v="TL045"/>
    <x v="0"/>
    <s v="TC084"/>
    <x v="0"/>
    <s v="2-123 PULICHERLA BUS STAND  TIRUPATHI ANP 517172"/>
    <s v="ITC INFOTECH INDIA LIMITED NO.18 DODDA BANASWADI MAIN ROAD MARUTHI SEVANAGAR BANGALORE SEVANAGAR BANGALORE BANGALORE KAR 560005"/>
    <s v="TIRUPATHI"/>
    <x v="0"/>
    <x v="0"/>
    <s v="FO061"/>
    <s v="S SEKHAR"/>
    <n v="845041675"/>
    <s v="Ssd@9290"/>
    <s v="UPLOADED"/>
    <m/>
    <x v="1"/>
    <m/>
    <m/>
    <x v="0"/>
    <s v=""/>
    <n v="0"/>
    <s v="0000000029964902"/>
    <s v="ICICI Bank Sapphiro Visa Credit Card"/>
    <s v="21ST OCT"/>
    <m/>
  </r>
  <r>
    <s v="4501721834012012"/>
    <s v="MR ASHOK BAYARAPU"/>
    <s v="O"/>
    <x v="11"/>
    <s v="9884466919"/>
    <s v="X"/>
    <n v="1588962.75"/>
    <n v="700000"/>
    <n v="2288962.75"/>
    <n v="1759975.61"/>
    <n v="528987.14"/>
    <n v="484362.61"/>
    <n v="203140"/>
    <n v="98620"/>
    <x v="1"/>
    <x v="1"/>
    <n v="0"/>
    <n v="98620"/>
    <x v="1"/>
    <s v="NA"/>
    <n v="0"/>
    <s v="TL045"/>
    <x v="3"/>
    <s v="TC126"/>
    <x v="0"/>
    <s v="18-5-22,AMALANADHUNI PALEAM NEAR RTC DEPO   KANDUKURU ANP 523105"/>
    <s v="BAHWAN CYBERTEK PVT LTD 18-5-22 Amalanadhuni Paleam Amalanadhuni Paleam KANDUKUR ANP 523105"/>
    <s v="PRAKASAM"/>
    <x v="6"/>
    <x v="24"/>
    <m/>
    <s v="DURGA"/>
    <n v="801723195"/>
    <s v="Sgr@9290"/>
    <s v="UPLOADED"/>
    <m/>
    <x v="1"/>
    <m/>
    <m/>
    <x v="0"/>
    <d v="2026-10-06T00:00:00"/>
    <n v="69860"/>
    <s v="0000000030222370"/>
    <s v="ICICI Bank Rubyx Visa Credit Card"/>
    <s v="21ST OCT"/>
    <m/>
  </r>
  <r>
    <s v="4501721852385001"/>
    <s v="MR KENGUVA KISHORE"/>
    <s v="N"/>
    <x v="11"/>
    <s v="9515166723"/>
    <s v="X"/>
    <n v="-103097.60000000001"/>
    <n v="160000"/>
    <n v="56902.400000000001"/>
    <s v=""/>
    <n v="56902.400000000001"/>
    <n v="52350.43"/>
    <n v="7220"/>
    <n v="2610"/>
    <x v="1"/>
    <x v="1"/>
    <n v="0"/>
    <n v="2610"/>
    <x v="1"/>
    <s v="NA"/>
    <n v="0"/>
    <s v="TL045"/>
    <x v="3"/>
    <s v="TC126"/>
    <x v="0"/>
    <s v="H NO- 682/2/1A M SRIRAM MURTHY MATHURA NAGAR, NETAJI STREET KAKINADA, AP NEAR GEETAM SCHOOL KAKINADA ANP 533003"/>
    <s v="ONGC PETRO ADDITIONS LIMITEDOPAL KAKINADA   KAKINADA ANP 533003"/>
    <s v="KAKINADA"/>
    <x v="3"/>
    <x v="5"/>
    <s v="FO063"/>
    <s v="UDAY"/>
    <n v="801436997"/>
    <s v="Ssd@9290"/>
    <s v="UPLOADED"/>
    <m/>
    <x v="0"/>
    <s v="SKIP"/>
    <s v="customer given address skip call not answering sir "/>
    <x v="12"/>
    <s v=""/>
    <n v="0"/>
    <s v="0000000031366138"/>
    <s v="ICICI Bank Rubyx Visa Credit Card"/>
    <s v="21ST OCT"/>
    <m/>
  </r>
  <r>
    <s v="4748468504520006"/>
    <s v="MR Bourisetti Anuroop"/>
    <s v="N"/>
    <x v="11"/>
    <s v="9246458565"/>
    <s v="X"/>
    <n v="-246141.56"/>
    <n v="290000"/>
    <n v="43858.44"/>
    <s v=""/>
    <n v="43858.44"/>
    <n v="40000"/>
    <n v="7760"/>
    <n v="2000"/>
    <x v="1"/>
    <x v="1"/>
    <n v="0"/>
    <n v="2000"/>
    <x v="1"/>
    <s v="NA"/>
    <n v="0"/>
    <s v="TL045"/>
    <x v="2"/>
    <s v="TC114"/>
    <x v="0"/>
    <s v="6-10-136/1A KOTHAGUDEM GANESH BASTHI KHAMMAM KHAMMAM TNG 507101"/>
    <s v="BSL GENERAL STORE D.NO.6-1-72 , M.G.ROAD KOTHAGUDEM KOTHAGUDEM KHAMMAM TNG 507101"/>
    <s v="KHAMMAM"/>
    <x v="2"/>
    <x v="11"/>
    <s v="FO084"/>
    <s v="B RANJITH"/>
    <n v="802293984"/>
    <s v="Sgr@9290"/>
    <s v="UPLOADED"/>
    <m/>
    <x v="0"/>
    <s v="LIVE"/>
    <s v="Visited customer given address Customer live customer given PTP 1st sir"/>
    <x v="12"/>
    <d v="2024-09-05T00:00:00"/>
    <n v="98524.98"/>
    <s v="0000000022508812"/>
    <s v="ICICI Bank HPCL Coral VISA Credit Card"/>
    <s v="21ST OCT"/>
    <m/>
  </r>
  <r>
    <s v="4375513101564004"/>
    <s v="MR A SHEKAR REDDY"/>
    <s v="N"/>
    <x v="12"/>
    <s v="9959835888"/>
    <s v="X"/>
    <n v="3412.880000000001"/>
    <n v="25000"/>
    <n v="28412.880000000001"/>
    <s v=""/>
    <n v="28412.880000000001"/>
    <n v="23916.45"/>
    <n v="9230"/>
    <n v="3450"/>
    <x v="0"/>
    <x v="0"/>
    <n v="0"/>
    <n v="3450"/>
    <x v="7"/>
    <s v="FE"/>
    <n v="0"/>
    <s v="TL045"/>
    <x v="2"/>
    <s v="TC114"/>
    <x v="0"/>
    <s v="HNO 5-11-229/1 SHATHI NAGAR  NALGONDA TOWN NR ASHOKA GARDENS NALGONDA ANP 508001"/>
    <s v="RK EARTH MOVERS SHANTHI NAGAR NALGONDA TOWN NALGONDA NALGONDA NALGONDA ANP 508001"/>
    <s v="NALGONDA"/>
    <x v="2"/>
    <x v="27"/>
    <s v="FO131"/>
    <s v="B SRIKANTH"/>
    <n v="803037151"/>
    <s v="Ssde@9290"/>
    <s v="UPLOADED"/>
    <m/>
    <x v="0"/>
    <s v="LIVE"/>
    <s v="customer meet in nalgonda town and customer going to hyderabad urgently and ptp on Tomorrow"/>
    <x v="12"/>
    <d v="2024-06-07T00:00:00"/>
    <n v="5000"/>
    <s v="0000000015403151"/>
    <s v="ICICI Bank Platinum Chip Credit Card"/>
    <s v="23RD OCT"/>
    <m/>
  </r>
  <r>
    <s v="4035627808577002"/>
    <s v="MR DUDEKULA DASTAGIRI"/>
    <s v="O"/>
    <x v="12"/>
    <s v="7780454162"/>
    <s v="X"/>
    <n v="-7810.369999999999"/>
    <n v="40000"/>
    <n v="32189.63"/>
    <s v=""/>
    <n v="32189.63"/>
    <n v="28655.68"/>
    <n v="7970"/>
    <n v="4040"/>
    <x v="1"/>
    <x v="1"/>
    <n v="0"/>
    <n v="4040"/>
    <x v="1"/>
    <s v="NA"/>
    <n v="0"/>
    <s v="TL045"/>
    <x v="0"/>
    <s v="TC084"/>
    <x v="0"/>
    <s v="VILLAGE GUNDREDDY PALLE DADDAWADA    NANDYAL ANP 523356"/>
    <s v="INDIAN ARMY CAMP UNIT NO 15C ZW SRINAGAR JAMMU AND KASHMIR   SRINAGAR JAK 190001"/>
    <s v="NANDYAL"/>
    <x v="0"/>
    <x v="20"/>
    <s v="FO021"/>
    <s v="HARI"/>
    <n v="802388289"/>
    <s v="Ssd@9290"/>
    <s v="UPLOADED"/>
    <m/>
    <x v="1"/>
    <m/>
    <m/>
    <x v="0"/>
    <d v="2024-10-16T00:00:00"/>
    <n v="2480"/>
    <s v="0000000031466670"/>
    <s v="ICICI Sapphiro Master PLT Chip Card"/>
    <s v="23RD OCT"/>
    <m/>
  </r>
  <r>
    <s v="4035628004166004"/>
    <s v="MR AKEPATI CHAITANYA"/>
    <s v="N"/>
    <x v="12"/>
    <s v="9010984072"/>
    <s v="X"/>
    <n v="678.79000000000815"/>
    <n v="210000"/>
    <n v="210678.79"/>
    <n v="162110.29999999999"/>
    <n v="48568.49"/>
    <n v="42031.87"/>
    <n v="36630"/>
    <n v="17770"/>
    <x v="0"/>
    <x v="0"/>
    <n v="36630"/>
    <n v="-18860"/>
    <x v="1"/>
    <s v="NA"/>
    <n v="0"/>
    <s v="TL045"/>
    <x v="0"/>
    <s v="TC084"/>
    <x v="0"/>
    <s v="2/10-ANADIM PALLI,2/10-ANADIM PALLI  Y.S.R. CUP ANP 516150"/>
    <s v="Ayatacom Tech Solutions Private Ltd. Prestige Bengaluru Karnataka   BNG KAR 560034"/>
    <s v="CUDDAPAH"/>
    <x v="0"/>
    <x v="16"/>
    <s v="FO080"/>
    <s v="Y GANESH"/>
    <n v="802823528"/>
    <s v="Sms@9290"/>
    <s v="UPLOADED"/>
    <m/>
    <x v="0"/>
    <m/>
    <m/>
    <x v="0"/>
    <d v="2026-10-16T00:00:00"/>
    <n v="32050"/>
    <s v="0000000034403663"/>
    <s v="ICICI Bank HPCL Coral VISA Credit Card"/>
    <s v="23RD OCT"/>
    <m/>
  </r>
  <r>
    <s v="4748464726199000"/>
    <s v="MR SHAIKH AZEEF RAHIL"/>
    <s v="N"/>
    <x v="12"/>
    <s v="7032174231"/>
    <s v="X"/>
    <n v="-4754.82"/>
    <n v="40000"/>
    <n v="35245.18"/>
    <s v=""/>
    <n v="35245.18"/>
    <n v="29882.06"/>
    <n v="7210"/>
    <n v="3070"/>
    <x v="0"/>
    <x v="0"/>
    <n v="8000"/>
    <n v="-4930"/>
    <x v="1"/>
    <s v="NA"/>
    <n v="0"/>
    <s v="TL045"/>
    <x v="3"/>
    <s v="TC126"/>
    <x v="0"/>
    <s v="20/04/339 OPP MIHM SCHOOL MECLINES ROAD KOTAMITTA NELLORE ANP 524001"/>
    <s v="PANASONIC INDIA PRIVATE LIMITED VNR TOWER,KARVEY BULDING,VIZWADA MUNICIPAL WATER TANK ROAD,LUBBIPET MUNICIPAL WATER TANK ROAD,LUBBIPET VIJAYAWADA ANP 520010"/>
    <s v="NELLORE"/>
    <x v="5"/>
    <x v="21"/>
    <s v="FO042"/>
    <s v="IMAMVALLI"/>
    <n v="802789320"/>
    <s v="Ssd@9290"/>
    <s v="UPLOADED"/>
    <m/>
    <x v="0"/>
    <s v="LIVE"/>
    <s v="cm not available in the given address sir cm calls not answering sir  "/>
    <x v="3"/>
    <d v="2024-04-19T00:00:00"/>
    <n v="19693"/>
    <s v="0000000024996057"/>
    <s v="Chennai Super Kings ICICI Bank Credit Card"/>
    <s v="23RD OCT"/>
    <m/>
  </r>
  <r>
    <s v="4035627468356002"/>
    <s v="MR KATKAM SHYAM"/>
    <s v="N"/>
    <x v="12"/>
    <s v="9550565623"/>
    <s v="X"/>
    <n v="-2606.9800000000032"/>
    <n v="40000"/>
    <n v="37393.019999999997"/>
    <s v=""/>
    <n v="37393.019999999997"/>
    <n v="31890.86"/>
    <n v="7490"/>
    <n v="3170"/>
    <x v="1"/>
    <x v="1"/>
    <n v="0"/>
    <n v="3170"/>
    <x v="1"/>
    <s v="NA"/>
    <n v="0"/>
    <s v="TL045"/>
    <x v="2"/>
    <s v="TC114"/>
    <x v="0"/>
    <s v="27-395/7 HAMALI WADA HAMALI WADA  ADILABAD TNG 504208"/>
    <s v="TIRUMALA BOOK STALL MARKET ROAD MANCHURIAL ADILABAD TELENGANA ADILABAD TELENGANA ADILABAD TNG 504208"/>
    <s v="ADILABAD"/>
    <x v="2"/>
    <x v="9"/>
    <s v="FO036"/>
    <s v="K RAMU"/>
    <n v="802898520"/>
    <s v="Ssd@9290"/>
    <s v="UPLOADED"/>
    <m/>
    <x v="0"/>
    <s v="MESS"/>
    <s v="Customer given address visit customer not available informed to relatives // Customer office address visit customer not available informed to relatives, trying by call //  customer given address visit customer not available informed to relatives, trying by call"/>
    <x v="17"/>
    <s v=""/>
    <n v="0"/>
    <s v="0000000027994908"/>
    <s v="ICICI Bank HPCL Coral VISA Credit Card"/>
    <s v="23RD OCT"/>
    <m/>
  </r>
  <r>
    <s v="4748468320571001"/>
    <s v="MR RAMANCH RAJ SAIKIA"/>
    <s v="N"/>
    <x v="12"/>
    <s v="9957319396"/>
    <s v="X"/>
    <n v="-41748.6"/>
    <n v="80000"/>
    <n v="38251.4"/>
    <s v=""/>
    <n v="38251.4"/>
    <n v="35058.83"/>
    <n v="17570"/>
    <n v="13480"/>
    <x v="1"/>
    <x v="1"/>
    <n v="0"/>
    <n v="13480"/>
    <x v="1"/>
    <s v="NA"/>
    <n v="0"/>
    <s v="TL045"/>
    <x v="0"/>
    <s v="TC084"/>
    <x v="0"/>
    <s v="SRFMSRFMTTI, COLONY QUATER NO-9 TYPE -3 GARLADINNE SHIV TAMPLE ANANTAPUR ANP 515731"/>
    <s v="SRFMTTI RJ8G V62 SRMTTI ROAD GARLADINNE,TRACTOR NAGAR GARLADINNE,TRACTOR NAGAR ANANTAPUR ANP 515731"/>
    <s v="ANANTAPUR"/>
    <x v="0"/>
    <x v="6"/>
    <s v="FO011"/>
    <s v="PAVAN"/>
    <n v="802823180"/>
    <s v="Sgr@9290"/>
    <s v="UPLOADED"/>
    <m/>
    <x v="1"/>
    <m/>
    <m/>
    <x v="0"/>
    <d v="2024-01-04T00:00:00"/>
    <n v="6176.24"/>
    <s v="0000000020734666"/>
    <s v="ICICI Bank HPCL Coral VISA Credit Card"/>
    <s v="23RD OCT"/>
    <m/>
  </r>
  <r>
    <s v="4748468249069004"/>
    <s v="MR RADHAKRISHNA BIJINEPALLI"/>
    <s v="O"/>
    <x v="12"/>
    <s v="9490728104"/>
    <s v="X"/>
    <n v="-7563.5999999999985"/>
    <n v="50000"/>
    <n v="42436.4"/>
    <s v=""/>
    <n v="42436.4"/>
    <n v="39299.379999999997"/>
    <n v="12120"/>
    <n v="5750"/>
    <x v="0"/>
    <x v="2"/>
    <n v="6000"/>
    <n v="-250"/>
    <x v="4"/>
    <s v="TC"/>
    <n v="0"/>
    <s v="TL045"/>
    <x v="1"/>
    <s v="TC003"/>
    <x v="0"/>
    <s v="2 ND WARD,1-1 VINUKONDA ROAD ERRAGUNDA PALEM OPP RAVINDRA HOSPITAL NANDYAL ANP 523327"/>
    <s v="GAYATHRI ENTER PRIZES 1-1 2ND WARD,VINUKONDA ROAD 2ND WARD,VINUKONDA ROAD NANDYAL ANP 523327"/>
    <s v="NANDYAL"/>
    <x v="1"/>
    <x v="1"/>
    <s v="FO008"/>
    <s v="DURGA"/>
    <n v="801723195"/>
    <s v="Sgr@9290"/>
    <s v="UPLOADED"/>
    <m/>
    <x v="0"/>
    <m/>
    <m/>
    <x v="0"/>
    <d v="2025-03-17T00:00:00"/>
    <n v="3200"/>
    <s v="0000000019961521"/>
    <s v="ICICI Bank Rubyx Visa Credit Card"/>
    <s v="23RD OCT"/>
    <m/>
  </r>
  <r>
    <s v="4748468596800027"/>
    <s v="Mr BOMMANA HARIPRASAD"/>
    <s v="N"/>
    <x v="12"/>
    <s v="8096883045"/>
    <s v="X"/>
    <n v="730.55000000000291"/>
    <n v="50000"/>
    <n v="50730.55"/>
    <n v="9992.58"/>
    <n v="40737.97"/>
    <n v="38641.14"/>
    <n v="9800"/>
    <n v="4469.8999999999996"/>
    <x v="1"/>
    <x v="1"/>
    <n v="0"/>
    <n v="4469.8999999999996"/>
    <x v="1"/>
    <s v="NA"/>
    <n v="0"/>
    <s v="TL045"/>
    <x v="3"/>
    <s v="TC126"/>
    <x v="0"/>
    <s v="8-216-17A FIRST STREEET,RAJIV NAGAR, SULLURPETA,SULLURPETA MANDAL   GUDUR ANP 524121"/>
    <s v="UNICHARM INDIA PVT LTD Sricity Sricity Sricity TIRUPATHI ANP 517646"/>
    <s v="GUDUR"/>
    <x v="5"/>
    <x v="21"/>
    <s v="FO042"/>
    <s v="IMAMVALLI"/>
    <n v="802789320"/>
    <s v="Ssd@9290"/>
    <s v="UPLOADED"/>
    <m/>
    <x v="1"/>
    <m/>
    <m/>
    <x v="0"/>
    <d v="2026-09-30T00:00:00"/>
    <n v="9740.1"/>
    <s v="0000000023243499"/>
    <s v="ICICI Bank Coral Credit Card"/>
    <s v="23RD OCT"/>
    <m/>
  </r>
  <r>
    <s v="4035627460239008"/>
    <s v="MR BHASKAR YADAV GAJULA"/>
    <s v="N"/>
    <x v="12"/>
    <s v="9502071259"/>
    <s v="X"/>
    <n v="3076.6199999999953"/>
    <n v="400000"/>
    <n v="403076.62"/>
    <n v="330039.83"/>
    <n v="73036.789999999994"/>
    <n v="52309.71"/>
    <n v="73036.789999999994"/>
    <n v="37137.83"/>
    <x v="1"/>
    <x v="1"/>
    <n v="0"/>
    <n v="37137.83"/>
    <x v="1"/>
    <s v="NA"/>
    <n v="0"/>
    <s v="TL045"/>
    <x v="2"/>
    <s v="TC114"/>
    <x v="0"/>
    <s v="1-97-/1 ALAIR   NALGONDA TNG 508101"/>
    <s v="BRAMARAMBA MALLIKARJUNA SWAMI TRAVEL 402 JSKR ENCLAVE MAYURI NAGAR MIYAPUR MAYURI NAGAR MIYAPUR HYDERABAD TNG 500049"/>
    <s v="NALGONDA"/>
    <x v="2"/>
    <x v="25"/>
    <s v="FO057"/>
    <s v="RAJKUMAR"/>
    <n v="802835406"/>
    <s v="Ssde@9290"/>
    <s v="UPLOADED"/>
    <m/>
    <x v="1"/>
    <m/>
    <m/>
    <x v="0"/>
    <d v="2024-07-05T00:00:00"/>
    <n v="35000"/>
    <s v="0000000027897573"/>
    <s v="ICICI Bank Coral RuPay Credit Card"/>
    <s v="23RD OCT"/>
    <m/>
  </r>
  <r>
    <s v="4748468796648002"/>
    <s v="MR AYINALA NAVEEN"/>
    <s v="N"/>
    <x v="12"/>
    <s v="9553661180"/>
    <s v="X"/>
    <n v="1596.1500000000015"/>
    <n v="40000"/>
    <n v="41596.15"/>
    <s v=""/>
    <n v="41596.15"/>
    <n v="38579.01"/>
    <n v="6620"/>
    <n v="1620"/>
    <x v="1"/>
    <x v="1"/>
    <n v="0"/>
    <n v="1620"/>
    <x v="1"/>
    <s v="NA"/>
    <n v="0"/>
    <s v="TL045"/>
    <x v="2"/>
    <s v="TC114"/>
    <x v="1"/>
    <s v="1-17,NASURULLABAD BIRKOOR,BODHAN,.    NIZAMABAD TNG 503185"/>
    <s v="AMAZON DEVELOPMENT CENTER INDI Telangana Telangana Telangana NIZAMABAD TNG 503321"/>
    <s v="NIZAMABAD"/>
    <x v="2"/>
    <x v="26"/>
    <s v="FO043"/>
    <s v="D RAMU"/>
    <n v="802663344"/>
    <s v="Sgr@9290"/>
    <s v="UPLOADED"/>
    <m/>
    <x v="1"/>
    <m/>
    <m/>
    <x v="0"/>
    <d v="2025-07-03T00:00:00"/>
    <n v="10540"/>
    <s v="0000000025443869"/>
    <s v="ICICI Bank HPCL Coral VISA Credit Card"/>
    <s v="23RD OCT"/>
    <m/>
  </r>
  <r>
    <s v="4748468516793005"/>
    <s v="MR RAMPRASAD KUMAR D"/>
    <s v="N"/>
    <x v="12"/>
    <s v="9866997935"/>
    <s v="X"/>
    <n v="1444.7300000000032"/>
    <n v="40000"/>
    <n v="41444.730000000003"/>
    <s v=""/>
    <n v="41444.730000000003"/>
    <n v="36225"/>
    <n v="8410"/>
    <n v="2870.62"/>
    <x v="0"/>
    <x v="0"/>
    <n v="41445"/>
    <n v="-38574.379999999997"/>
    <x v="12"/>
    <s v="TC"/>
    <n v="0"/>
    <s v="TL045"/>
    <x v="2"/>
    <s v="TC114"/>
    <x v="0"/>
    <s v="H.NO.5-8/3 THANGAD PALLE CHOUTUPPAL GOVT SCHOOL NALGONDA TNG 508252"/>
    <s v="SRI KATYAYINI DIAGNOSTIC CENTRE H.NO.8/1,OPPOSITE THANGADIPALLE CHOUTUPPAL CHOUTUPPAL NALGONDA TNG 508252"/>
    <s v="NALGONDA"/>
    <x v="2"/>
    <x v="27"/>
    <s v="FO131"/>
    <s v="B SRIKANTH"/>
    <n v="803037151"/>
    <s v="Ssde@9290"/>
    <s v="UPLOADED"/>
    <m/>
    <x v="0"/>
    <s v="SKIP"/>
    <s v="customer work address visit customer not available and not lifting call also, revisit by evening // Customer adress visit and customer said payment done please check sir"/>
    <x v="13"/>
    <d v="2026-06-28T00:00:00"/>
    <n v="3500"/>
    <s v="0000000022581371"/>
    <s v="ICICI Bank HPCL Coral VISA Credit Card"/>
    <s v="23RD OCT"/>
    <m/>
  </r>
  <r>
    <s v="4035627811077008"/>
    <s v="MR MEKALA SUNIL KUMAR"/>
    <s v="N"/>
    <x v="12"/>
    <s v="9848965033"/>
    <s v="X"/>
    <n v="3551.7099999999991"/>
    <n v="39000"/>
    <n v="42551.71"/>
    <s v=""/>
    <n v="42551.71"/>
    <n v="36990.050000000003"/>
    <n v="12810"/>
    <n v="7180"/>
    <x v="1"/>
    <x v="1"/>
    <n v="3500"/>
    <n v="3680"/>
    <x v="1"/>
    <s v="NA"/>
    <n v="0"/>
    <s v="TL045"/>
    <x v="2"/>
    <s v="TC114"/>
    <x v="0"/>
    <s v="H NO 3-334 CHOUTUPPAL MANDALAM PADMASHALI COLONY  NALGONDA TNG 508252"/>
    <s v="KRISHNA JEWELLERS NO 5-542/A,CHINNA KODUR ROAD CHOUTUPPAL CHOUTUPPAL NALGONDA TNG 508252"/>
    <s v="NALGONDA"/>
    <x v="2"/>
    <x v="27"/>
    <s v="FO131"/>
    <s v="B SRIKANTH"/>
    <n v="803037151"/>
    <s v="Ssde@9290"/>
    <s v="UPLOADED"/>
    <m/>
    <x v="0"/>
    <s v="LIVE"/>
    <s v="customer working address visit, customer not available, answered call and customer pay it by evening // customer working address visit customer available customer PTP TODAY EVENING"/>
    <x v="3"/>
    <d v="2026-07-20T00:00:00"/>
    <n v="3340"/>
    <s v="0000000031500615"/>
    <s v="ICICI Bank Coral Credit Card"/>
    <s v="23RD OCT"/>
    <m/>
  </r>
  <r>
    <s v="4748468378462004"/>
    <s v="MR KANAGANAPALLI RAMANA KUMAR"/>
    <s v="N"/>
    <x v="12"/>
    <s v="9959846422"/>
    <s v="X"/>
    <n v="2505.3399999999965"/>
    <n v="40000"/>
    <n v="42505.34"/>
    <s v=""/>
    <n v="42505.34"/>
    <n v="36485.910000000003"/>
    <n v="10430"/>
    <n v="3290"/>
    <x v="1"/>
    <x v="1"/>
    <n v="0"/>
    <n v="3290"/>
    <x v="1"/>
    <s v="NA"/>
    <n v="0"/>
    <s v="TL045"/>
    <x v="0"/>
    <s v="TC084"/>
    <x v="0"/>
    <s v="28-146 BOYA STREET BOYA STREET ANANTAPUR ANAPARTHI ANP 515001"/>
    <s v="SLV  MEDICAL  SERGICAL HOLESALE AREBATI NAGAR REVENUE COLONY ANAPARTHI ANAPARTHI ANAPARTHI ANP 515001"/>
    <s v="ANAPARTHI"/>
    <x v="0"/>
    <x v="6"/>
    <s v="FO011"/>
    <s v="PAVAN"/>
    <n v="802823180"/>
    <s v="Sgr@9290"/>
    <s v="UPLOADED"/>
    <m/>
    <x v="1"/>
    <m/>
    <m/>
    <x v="0"/>
    <d v="2024-03-14T00:00:00"/>
    <n v="2080"/>
    <s v="0000000021487237"/>
    <s v="ICICI Bank HPCL Coral VISA Credit Card"/>
    <s v="23RD OCT"/>
    <m/>
  </r>
  <r>
    <s v="4035627569594006"/>
    <s v="MR VENNAM RAKESH REDDY"/>
    <s v="N"/>
    <x v="12"/>
    <s v="9912747778"/>
    <s v="X"/>
    <n v="3666.510000000002"/>
    <n v="40000"/>
    <n v="43666.51"/>
    <s v=""/>
    <n v="43666.51"/>
    <n v="37543.410000000003"/>
    <n v="11850"/>
    <n v="4160"/>
    <x v="1"/>
    <x v="1"/>
    <n v="0"/>
    <n v="4160"/>
    <x v="1"/>
    <s v="NA"/>
    <n v="0"/>
    <s v="TL045"/>
    <x v="2"/>
    <s v="TC114"/>
    <x v="0"/>
    <s v="H.NO-18-238/1 LUXETTIPET ROAD ,MEDARIWADA MANCHIREAL BESIDE TELANGANA GRAMEENA BANK ADILABAD TNG 504208"/>
    <s v="INDUS TOWERS LIMITED SY NO 1334/51 SLN TERMINALS 8TH FLOOR GACHIBOWLINERS BOTANICAL GARDEN GACHIBOWLINERS BOTANICAL GARDEN HYDERABAD TNG 500032"/>
    <s v="ADILABAD"/>
    <x v="2"/>
    <x v="9"/>
    <s v="FO036"/>
    <s v="K RAMU"/>
    <n v="802898520"/>
    <s v="Ssd@9290"/>
    <s v="UPLOADED"/>
    <m/>
    <x v="0"/>
    <s v="SKIP"/>
    <s v="Customer given address visit customer not living in address information from neighbors, call not answer // customer given address visit customer not living in address, no information from neighbors, call not answer"/>
    <x v="17"/>
    <d v="2026-09-18T00:00:00"/>
    <n v="7920"/>
    <s v="0000000029293008"/>
    <s v="ICICI Bank HPCL Super Saver Visa Credit Card"/>
    <s v="23RD OCT"/>
    <m/>
  </r>
  <r>
    <s v="4748468450441009"/>
    <s v="MR SARVABOTLA RAMESH"/>
    <s v="O"/>
    <x v="12"/>
    <s v="8520030850"/>
    <s v="X"/>
    <n v="-2368.0400000000009"/>
    <n v="50000"/>
    <n v="47631.96"/>
    <s v=""/>
    <n v="47631.96"/>
    <n v="41772.230000000003"/>
    <n v="10400"/>
    <n v="5180"/>
    <x v="1"/>
    <x v="1"/>
    <n v="0"/>
    <n v="5180"/>
    <x v="1"/>
    <s v="NA"/>
    <n v="0"/>
    <s v="TL045"/>
    <x v="3"/>
    <s v="TC126"/>
    <x v="0"/>
    <s v="8-1-9/B KOVUR BRAHMIN STREET NELLORE NELLORE ANP 524137"/>
    <s v="VISHWA SAI COLLAGE MAJUNTAL AYOUT NELLORE NELLORE NELLORE ANP 524004"/>
    <s v="NELLORE"/>
    <x v="5"/>
    <x v="21"/>
    <s v="FO042"/>
    <s v="IMAMVALLI"/>
    <n v="802789320"/>
    <s v="Ssd@9290"/>
    <s v="UPLOADED"/>
    <m/>
    <x v="0"/>
    <s v="DL"/>
    <s v="cm door locked sir cm call not answering sir // cus not respond the call _x000a_taken kyc "/>
    <x v="17"/>
    <d v="2023-10-01T00:00:00"/>
    <n v="57760"/>
    <s v="0000000022103643"/>
    <s v="ICICI Bank Sapphiro Visa Credit Card"/>
    <s v="23RD OCT"/>
    <m/>
  </r>
  <r>
    <s v="4315814936797006"/>
    <s v="Mr MOGULA  GOUD"/>
    <s v="O"/>
    <x v="12"/>
    <s v="8688649535"/>
    <s v="X"/>
    <n v="523472.48"/>
    <n v="500000"/>
    <n v="1023472.48"/>
    <n v="930878.01"/>
    <n v="92594.47"/>
    <n v="71533.600000000006"/>
    <n v="91500"/>
    <n v="44400"/>
    <x v="1"/>
    <x v="1"/>
    <n v="0"/>
    <n v="44400"/>
    <x v="1"/>
    <s v="NA"/>
    <n v="0"/>
    <s v="TL045"/>
    <x v="2"/>
    <s v="TC114"/>
    <x v="1"/>
    <s v="HOUSE,NUMBER 3-34/2 MUPKAL,BALKONDA,MANDAL, KISANNAGAR   BALKONDA TNG 503218"/>
    <s v="Digisprint Hyderabad Raidurg Raidurg HYDERABAD TNG 500082"/>
    <s v="NIZAMABAD"/>
    <x v="2"/>
    <x v="26"/>
    <s v="FO043"/>
    <s v="D RAMU"/>
    <n v="802663344"/>
    <s v="Sgr@9290"/>
    <s v="UPLOADED"/>
    <m/>
    <x v="1"/>
    <m/>
    <m/>
    <x v="0"/>
    <d v="2026-08-14T00:00:00"/>
    <n v="13256.18"/>
    <s v="0000000030024919"/>
    <s v="Amazon Pay ICICI Bank Credit Card"/>
    <s v="23RD OCT"/>
    <m/>
  </r>
  <r>
    <s v="4375513342020006"/>
    <s v="MR BANDA PRANAY KUMAR REDDY"/>
    <s v="N"/>
    <x v="12"/>
    <s v="9390004162"/>
    <s v="X"/>
    <n v="2407.75"/>
    <n v="500000"/>
    <n v="502407.75"/>
    <n v="420324.2"/>
    <n v="82083.55"/>
    <n v="69843.679999999993"/>
    <n v="58340"/>
    <n v="24631.4"/>
    <x v="1"/>
    <x v="1"/>
    <n v="0"/>
    <n v="24631.4"/>
    <x v="1"/>
    <s v="NA"/>
    <n v="0"/>
    <s v="TL045"/>
    <x v="2"/>
    <s v="TC114"/>
    <x v="0"/>
    <s v="S/O BANDA KRISHNA REDDY P NO 405, GAYATHRI ANNAPURNA RESIDENCY,B BLOCK RAMAGIRI NALGONDA TNG 508001"/>
    <s v="PRANAY REDDY POULTRY FORM PANAGAL NALGONDA NALGONDA NALGONDA TNG 508001"/>
    <s v="NALGONDA"/>
    <x v="2"/>
    <x v="27"/>
    <s v="FO131"/>
    <s v="B SRIKANTH"/>
    <n v="803037151"/>
    <s v="Ssde@9290"/>
    <s v="UPLOADED"/>
    <m/>
    <x v="0"/>
    <s v="SKIP"/>
    <s v="customer address visit, customer not available at this address, he is shifted to another address he answered call and he is saying his wife suffering by cancer soo he is facing financial issues, he is not interested to pay asking for settlement"/>
    <x v="12"/>
    <d v="2022-11-03T00:00:00"/>
    <n v="35000"/>
    <s v="0000000018430123"/>
    <s v="ICICI Bank Platinum Chip Credit Card"/>
    <s v="23RD OCT"/>
    <m/>
  </r>
  <r>
    <s v="4748468985344017"/>
    <s v="MR TANTHARAPALLI PRASAD"/>
    <s v="N"/>
    <x v="12"/>
    <s v="9948639444"/>
    <s v="X"/>
    <n v="5879.739999999998"/>
    <n v="50000"/>
    <n v="55879.74"/>
    <s v=""/>
    <n v="55879.74"/>
    <n v="49839.53"/>
    <n v="14680"/>
    <n v="4920"/>
    <x v="0"/>
    <x v="2"/>
    <n v="5050"/>
    <n v="-130"/>
    <x v="11"/>
    <s v="FE"/>
    <n v="0"/>
    <s v="TL045"/>
    <x v="2"/>
    <s v="TC114"/>
    <x v="0"/>
    <s v="2-129 PADAMATISOMARAM  VENKIRYALA BHEEMARAM TNG 508126"/>
    <s v="PRASAD REAL ESTATES HNO-1-113, PADMATI SOMARAM , BIVINAGAR, NALGONDA BIVINAGAR, NALGONDA BHEEMARAM TNG 508126"/>
    <s v="NALGONDA"/>
    <x v="2"/>
    <x v="27"/>
    <s v="FO131"/>
    <s v="B SRIKANTH"/>
    <n v="803037151"/>
    <s v="Ssde@9290"/>
    <s v="UPLOADED"/>
    <m/>
    <x v="0"/>
    <s v="LIVE"/>
    <s v="customer paid STAB amount 5050"/>
    <x v="3"/>
    <d v="2024-09-27T00:00:00"/>
    <n v="10000"/>
    <s v="0000000027156360"/>
    <s v="ICICI Bank HPCL Coral VISA Credit Card"/>
    <s v="23RD OCT"/>
    <m/>
  </r>
  <r>
    <s v="4375513837472001"/>
    <s v="MR B SEKHAR"/>
    <s v="N"/>
    <x v="12"/>
    <s v="9866138855"/>
    <s v="X"/>
    <n v="4644.5199999999968"/>
    <n v="60000"/>
    <n v="64644.52"/>
    <s v=""/>
    <n v="64644.52"/>
    <n v="56341.62"/>
    <n v="16150"/>
    <n v="5400"/>
    <x v="1"/>
    <x v="1"/>
    <n v="0"/>
    <n v="5400"/>
    <x v="1"/>
    <s v="NA"/>
    <n v="0"/>
    <s v="TL045"/>
    <x v="0"/>
    <s v="TC084"/>
    <x v="0"/>
    <s v="NO 1-27 GUDYANAM PALLE PENUTURU   OPP AMMAVARITEMPLE CHITTOOR ANP 517126"/>
    <s v="SUNDARAM FINANCE 1ST FLOOR VJN COMPLEX SRIKALAHASTHI BY PASS ROAD VAYUDUPETA PASS ROAD VAYUDUPETA GUDUR ANP 524126"/>
    <s v="GUDUR"/>
    <x v="0"/>
    <x v="12"/>
    <s v="FO115"/>
    <s v="SK MUJEEB"/>
    <n v="802175739"/>
    <s v="Ssd@9290"/>
    <s v="UPLOADED"/>
    <m/>
    <x v="1"/>
    <m/>
    <m/>
    <x v="0"/>
    <d v="2025-07-01T00:00:00"/>
    <n v="9720"/>
    <s v="0000000016725448"/>
    <s v="ICICI Bank HPCL Coral VISA Credit Card"/>
    <s v="23RD OCT"/>
    <m/>
  </r>
  <r>
    <s v="4035622688383001"/>
    <s v="MR VIJAYAGIRI RAMAKRISHNA"/>
    <s v="N"/>
    <x v="12"/>
    <s v="9573355998"/>
    <s v="X"/>
    <n v="5811.6999999999971"/>
    <n v="60000"/>
    <n v="65811.7"/>
    <s v=""/>
    <n v="65811.7"/>
    <n v="58987.09"/>
    <n v="16030"/>
    <n v="4990"/>
    <x v="1"/>
    <x v="1"/>
    <n v="0"/>
    <n v="4990"/>
    <x v="1"/>
    <s v="NA"/>
    <n v="0"/>
    <s v="TL045"/>
    <x v="2"/>
    <s v="TC114"/>
    <x v="0"/>
    <s v="12-136 RAMAKRISHNAPUR  SARDHARVALLABAI ADILABAD TNG 504301"/>
    <s v="TVS CREDIT SERVICES LIMITED TVS CREDIT SERVICES LIMITED MARUTHI NAGAR MANCHERIAL MARUTHI NAGAR MANCHERIAL ADILABAD TNG 504208"/>
    <s v="ADILABAD"/>
    <x v="2"/>
    <x v="9"/>
    <s v="FO036"/>
    <s v="K RAMU"/>
    <n v="802898520"/>
    <s v="Ssd@9290"/>
    <s v="UPLOADED"/>
    <m/>
    <x v="0"/>
    <s v="MESS"/>
    <s v="ustomer given address visit customer not available informed to wife, call not answer"/>
    <x v="3"/>
    <d v="2024-06-07T00:00:00"/>
    <n v="2257.6"/>
    <s v="0000000021839608"/>
    <s v="ICICI Bank Coral Credit Card"/>
    <s v="23RD OCT"/>
    <m/>
  </r>
  <r>
    <s v="4375513694146003"/>
    <s v="MR SAYED NAYEEM"/>
    <s v="N"/>
    <x v="12"/>
    <s v="9010534612"/>
    <s v="X"/>
    <n v="9774.5299999999988"/>
    <n v="60000"/>
    <n v="69774.53"/>
    <s v=""/>
    <n v="69774.53"/>
    <n v="60375.08"/>
    <n v="24330"/>
    <n v="13250"/>
    <x v="1"/>
    <x v="1"/>
    <n v="0"/>
    <n v="13250"/>
    <x v="1"/>
    <s v="NA"/>
    <n v="0"/>
    <s v="TL045"/>
    <x v="3"/>
    <s v="TC126"/>
    <x v="0"/>
    <s v="S/O SAYED NAVEEN DUVVUR V SANGAM M MUSLIM PALEM DUVUR NEAR MASJID NELLORE ANP 524306"/>
    <s v="AFRA ENTERPRISES 21-6-194 YEHYA ALI ROAD KOTAMITTA KOTAMITTA NELLORE ANP 524001"/>
    <s v="NELLORE"/>
    <x v="5"/>
    <x v="21"/>
    <s v="FO042"/>
    <s v="IMAMVALLI"/>
    <n v="802789320"/>
    <s v="Ssd@9290"/>
    <s v="UPLOADED"/>
    <m/>
    <x v="0"/>
    <s v="LIVE"/>
    <s v="cm not available sir cm call answered will call back later sir "/>
    <x v="18"/>
    <d v="2024-06-06T00:00:00"/>
    <n v="2200"/>
    <s v="0000000015684788"/>
    <s v="ICICI Bank HPCL Coral VISA Credit Card"/>
    <s v="23RD OCT"/>
    <m/>
  </r>
  <r>
    <s v="4748468840121006"/>
    <s v="MS THOTA JYOTHI"/>
    <s v="N"/>
    <x v="12"/>
    <s v="9966563030"/>
    <s v="X"/>
    <n v="5192.3800000000047"/>
    <n v="70000"/>
    <n v="75192.38"/>
    <s v=""/>
    <n v="75192.38"/>
    <n v="68433.070000000007"/>
    <n v="18250"/>
    <n v="3520"/>
    <x v="1"/>
    <x v="1"/>
    <n v="0"/>
    <n v="3520"/>
    <x v="1"/>
    <s v="NA"/>
    <n v="0"/>
    <s v="TL045"/>
    <x v="2"/>
    <s v="TC114"/>
    <x v="0"/>
    <s v="H NO 18-150/10A/1 TEACHERS COLONY  HOUSING BORD COLONY MEDAK TNG 502103"/>
    <s v="ZILLA PARISHAD HIGH SCHOOL MUSTABAD   HYDERABAD TNG 505404"/>
    <s v="MEDAK"/>
    <x v="2"/>
    <x v="25"/>
    <s v="FO057"/>
    <s v="RAJKUMAR"/>
    <n v="802835406"/>
    <s v="Ssde@9290"/>
    <s v="UPLOADED"/>
    <m/>
    <x v="1"/>
    <m/>
    <m/>
    <x v="0"/>
    <d v="2024-11-28T00:00:00"/>
    <n v="1280"/>
    <s v="0000000025794248"/>
    <s v="ICICI Bank HPCL Coral VISA Credit Card"/>
    <s v="23RD OCT"/>
    <m/>
  </r>
  <r>
    <s v="4748468500285000"/>
    <s v="MR THOUDOJU SALENDRA CHARY"/>
    <s v="N"/>
    <x v="12"/>
    <s v="9966017042"/>
    <s v="X"/>
    <n v="4154.5200000000041"/>
    <n v="90000"/>
    <n v="94154.52"/>
    <s v=""/>
    <n v="94154.52"/>
    <n v="83116.39"/>
    <n v="19350"/>
    <n v="6020"/>
    <x v="1"/>
    <x v="1"/>
    <n v="0"/>
    <n v="6020"/>
    <x v="1"/>
    <s v="NA"/>
    <n v="0"/>
    <s v="TL045"/>
    <x v="2"/>
    <s v="TC114"/>
    <x v="0"/>
    <s v="1-1-119/B/3/1 SURYAPET THALLAGADDA OPP VENKATRAMPURAM SCHOOL SURYAPET TNG 508213"/>
    <s v="TS TIMBER TRADERS TS TIMBER TRADERS JANAGA X ROAD SURYAPET TELANGANA TELANGANA SURYAPET TNG 508213"/>
    <s v="SURYAPET"/>
    <x v="2"/>
    <x v="13"/>
    <s v="FO113"/>
    <s v="CHAITANYA"/>
    <n v="802555024"/>
    <s v="Ssde@9290"/>
    <s v="UPLOADED"/>
    <m/>
    <x v="0"/>
    <s v="LIVE"/>
    <s v="customer Shop Live customer contact 30th November PTP Sir "/>
    <x v="9"/>
    <d v="2024-07-09T00:00:00"/>
    <n v="4960"/>
    <s v="0000000022487614"/>
    <s v="ICICI Bank HPCL Coral VISA Credit Card"/>
    <s v="23RD OCT"/>
    <m/>
  </r>
  <r>
    <s v="5241936611217004"/>
    <s v="MR NAGARAJU CHITTIMALLA"/>
    <s v="O"/>
    <x v="12"/>
    <s v="9494270830"/>
    <s v="X"/>
    <n v="-76496.850000000006"/>
    <n v="182000"/>
    <n v="105503.15"/>
    <s v=""/>
    <n v="105503.15"/>
    <n v="99212.69"/>
    <n v="17860"/>
    <n v="11000"/>
    <x v="1"/>
    <x v="1"/>
    <n v="0"/>
    <n v="11000"/>
    <x v="1"/>
    <s v="NA"/>
    <n v="0"/>
    <s v="TL045"/>
    <x v="2"/>
    <s v="TC114"/>
    <x v="0"/>
    <s v="HNO-8-118 NARSIMAHAMA PURAM NAKIREKAL NALGONDA TELANGANA NEAR POST OFFICE SURYAPET TNG 508211"/>
    <s v="SHIVA SAI TRADERS MANGALPALLY NAKERIKAL NAKERIKAL SURYAPET TNG 508211"/>
    <s v="SURYAPET"/>
    <x v="2"/>
    <x v="13"/>
    <s v="FO113"/>
    <s v="CHAITANYA"/>
    <n v="802555024"/>
    <s v="Ssde@9290"/>
    <s v="UPLOADED"/>
    <m/>
    <x v="1"/>
    <m/>
    <m/>
    <x v="0"/>
    <d v="2026-10-14T00:00:00"/>
    <n v="11100"/>
    <s v="0000000018336807"/>
    <s v="ICICI Bank MasterCard  Platinum chip Credit Card"/>
    <s v="23RD OCT"/>
    <m/>
  </r>
  <r>
    <s v="4035623341232015"/>
    <s v="MR PETA SIVA SANKAR"/>
    <s v="N"/>
    <x v="12"/>
    <s v="9296504473"/>
    <s v="X"/>
    <n v="9346.4100000000035"/>
    <n v="110000"/>
    <n v="119346.41"/>
    <n v="4652.42"/>
    <n v="114693.99"/>
    <n v="105010.2"/>
    <n v="23480"/>
    <n v="7650"/>
    <x v="0"/>
    <x v="0"/>
    <n v="23480"/>
    <n v="-15830"/>
    <x v="4"/>
    <s v="FE"/>
    <n v="0"/>
    <s v="TL045"/>
    <x v="3"/>
    <s v="TC126"/>
    <x v="0"/>
    <s v="1/5/227 NAWABUPETA YANAMALA PALEM NEAR VINAYAKA TEMPLE NELLORE ANP 524002"/>
    <s v="DSR NEURO CURE HOSPITAL NEAR VIJAYA MAHAL GATE S2 ROAD PHOGATOTTA NELLORE ANDHRA PRADESH PHOGATOTTA NELLORE ANDHRA PRADESH NELLORE ANP 524004"/>
    <s v="NELLORE"/>
    <x v="5"/>
    <x v="21"/>
    <s v="FO042"/>
    <s v="IMAMVALLI"/>
    <n v="802789320"/>
    <s v="Ssd@9290"/>
    <s v="UPLOADED"/>
    <m/>
    <x v="0"/>
    <s v="LIVE"/>
    <s v="cm not available sir cm call answered cm said paid the amount last 3 days please check once sir "/>
    <x v="17"/>
    <d v="2024-06-16T00:00:00"/>
    <n v="4000"/>
    <s v="0000000029370871"/>
    <s v="ICICI Bank Expressions Credit Card"/>
    <s v="23RD OCT"/>
    <m/>
  </r>
  <r>
    <s v="5241936785823017"/>
    <s v="MR SHAIK. HUSSAIN BASHA"/>
    <s v="N"/>
    <x v="12"/>
    <s v="8247802064"/>
    <s v="X"/>
    <n v="13188.950000000012"/>
    <n v="150000"/>
    <n v="163188.95000000001"/>
    <n v="31760.22"/>
    <n v="131428.73000000001"/>
    <n v="118184.38"/>
    <n v="35000"/>
    <n v="14880"/>
    <x v="1"/>
    <x v="1"/>
    <n v="0"/>
    <n v="14880"/>
    <x v="1"/>
    <s v="NA"/>
    <n v="0"/>
    <s v="TL045"/>
    <x v="0"/>
    <s v="TC084"/>
    <x v="0"/>
    <s v="H NO-3-111,BANDIATMAKURU KAKANUR,KURNOOL  NEAR SARASWATHI TEMPLE NANDYAL ANP 518523"/>
    <s v="INDIAN ARMY 148 LT AD REST COMP MEERUT CANTT UP,UTTAR PRADESH MEERUT CANTT UP,UTTAR PRADESH MEERUT UTP 250001"/>
    <s v="NANDYAL"/>
    <x v="0"/>
    <x v="20"/>
    <s v="FO021"/>
    <s v="HARI"/>
    <n v="802388289"/>
    <s v="Ssd@9290"/>
    <s v="UPLOADED"/>
    <m/>
    <x v="0"/>
    <s v="DL"/>
    <s v="Customer house address visit customer house door lock customer mobile not responding"/>
    <x v="13"/>
    <d v="2024-11-30T00:00:00"/>
    <n v="13080"/>
    <s v="0000000028200895"/>
    <s v="ICICI Bank HPCL Super Saver Master Credit Card"/>
    <s v="23RD OCT"/>
    <m/>
  </r>
  <r>
    <s v="4035623105788004"/>
    <s v="MR KOMMIREDDY RAVI"/>
    <s v="N"/>
    <x v="12"/>
    <s v="9618479279"/>
    <s v="X"/>
    <n v="5347"/>
    <n v="140000"/>
    <n v="145347"/>
    <s v=""/>
    <n v="145347"/>
    <n v="130851.78"/>
    <n v="28510"/>
    <n v="9670"/>
    <x v="1"/>
    <x v="1"/>
    <n v="0"/>
    <n v="9670"/>
    <x v="1"/>
    <s v="NA"/>
    <n v="0"/>
    <s v="TL045"/>
    <x v="0"/>
    <s v="TC084"/>
    <x v="0"/>
    <s v="5/12-118   PRAKASAM NANDYAL ANP 523357"/>
    <s v="VENKATAKARAN AUTO MOBILES 5TH WARD MAIN ROAD GIDDALUR GIDDALUR NANDYAL ANP 523357"/>
    <s v="NANDYAL"/>
    <x v="0"/>
    <x v="20"/>
    <s v="FO021"/>
    <s v="HARI"/>
    <n v="802388289"/>
    <s v="Ssd@9290"/>
    <s v="UPLOADED"/>
    <m/>
    <x v="0"/>
    <s v="SKIP"/>
    <s v="customer house address not found mobile not responding "/>
    <x v="18"/>
    <d v="2024-11-06T00:00:00"/>
    <n v="29910"/>
    <s v="0000000025563780"/>
    <s v="ICICI Bank Platinum Chip Credit Card"/>
    <s v="23RD OCT"/>
    <m/>
  </r>
  <r>
    <s v="4035623030998009"/>
    <s v="MR DONKURI RAJESHWAR"/>
    <s v="O"/>
    <x v="12"/>
    <s v="9951397135"/>
    <s v="X"/>
    <n v="-1555.9500000000116"/>
    <n v="180000"/>
    <n v="178444.05"/>
    <s v=""/>
    <n v="178444.05"/>
    <n v="168473.83"/>
    <n v="37720"/>
    <n v="27490"/>
    <x v="0"/>
    <x v="0"/>
    <n v="37720"/>
    <n v="-10230"/>
    <x v="1"/>
    <s v="NA"/>
    <n v="0"/>
    <s v="TL045"/>
    <x v="2"/>
    <s v="TC114"/>
    <x v="0"/>
    <s v="2-81   ADILABAD ADILABAD TNG 504001"/>
    <s v="GOVERNMENT OF TELANGANA ADILABAD COLLECTOR OFFICE COLLECTOR OFFICE ADILABAD TNG 504001"/>
    <s v="ADILABAD"/>
    <x v="2"/>
    <x v="22"/>
    <s v="FO056"/>
    <s v="KANTH"/>
    <n v="802794852"/>
    <s v="Ssd@9290"/>
    <s v="UPLOADED"/>
    <m/>
    <x v="0"/>
    <s v="LIVE"/>
    <s v="USTOMER VISIT ADDRESS PTP 7TH "/>
    <x v="16"/>
    <d v="2026-04-07T00:00:00"/>
    <n v="180000"/>
    <s v="0000000024554919"/>
    <s v="ICICI Bank Platinum Chip Credit Card"/>
    <s v="23RD OCT"/>
    <m/>
  </r>
  <r>
    <s v="4035622791406004"/>
    <s v="MR NALLANGOLLA SREENIVASULU"/>
    <s v="N"/>
    <x v="12"/>
    <s v="9989923262"/>
    <s v="X"/>
    <n v="2630.4599999999919"/>
    <n v="191000"/>
    <n v="193630.46"/>
    <s v=""/>
    <n v="193630.46"/>
    <n v="178727.41"/>
    <n v="54270"/>
    <n v="36570"/>
    <x v="1"/>
    <x v="1"/>
    <n v="0"/>
    <n v="36570"/>
    <x v="1"/>
    <s v="NA"/>
    <n v="0"/>
    <s v="TL045"/>
    <x v="0"/>
    <s v="TC084"/>
    <x v="0"/>
    <s v="2-148A VEERABALLI NEAR Z,P HIGH,SCHOOL,. ,.  . CUDDAPAH ANP 516268"/>
    <s v="STP INVESTMENT SERVICES INDIA PRIVATE LI TOWER 1,SJRI TECH PARK ROAD NUMBER 9 EPIP ZONE WHITEFIELD EPIP ZONE WHITEFIELD BANGALORE KAR 560066"/>
    <s v="CUDDAPAH"/>
    <x v="0"/>
    <x v="16"/>
    <s v="FO080"/>
    <s v="Y GANESH"/>
    <n v="802823528"/>
    <s v="Sms@9290"/>
    <s v="UPLOADED"/>
    <m/>
    <x v="0"/>
    <s v="SKIP"/>
    <s v="customer given residency address location area visit but customer door number was not found searching for customer door number was not found and customer not responding to calls sir  //  customer given residency address visit but customer has shifted from the given residency to present new address visit it's live but customer is not available at home his parents are responded and inform to them they are asking for time to pay the bill payment ., customer parents are not giving the customer alt number sir "/>
    <x v="17"/>
    <d v="2025-05-08T00:00:00"/>
    <n v="43554.36"/>
    <s v="0000000022496983"/>
    <s v="ICICI Bank HPCL Super Saver Visa Credit Card"/>
    <s v="23RD OCT"/>
    <m/>
  </r>
  <r>
    <s v="4035623160387015"/>
    <s v="MR VEERAMREDDY MADAN MOHAN REDDY"/>
    <s v="N"/>
    <x v="12"/>
    <s v="6302777920"/>
    <s v="X"/>
    <n v="306534.89"/>
    <n v="480000"/>
    <n v="786534.89"/>
    <n v="242119.23"/>
    <n v="544415.66"/>
    <n v="498599.22"/>
    <n v="197110"/>
    <n v="71760"/>
    <x v="1"/>
    <x v="1"/>
    <n v="0"/>
    <n v="71760"/>
    <x v="1"/>
    <s v="NA"/>
    <n v="0"/>
    <s v="TL045"/>
    <x v="0"/>
    <s v="TC084"/>
    <x v="0"/>
    <s v="4/74 J KOTTAPALLI VILLAGE NALLINGAYAPALLI POST KAMALAPURAM MONDEL NEAR MAIN ROAD PRODDATUR ANP 516289"/>
    <s v="EMERSIA TECHNOLOGIES PVT LTD TURBOTECH ENGINEERS CHANDANAGAR HYDERABAD CHANDANAGAR HYDERABAD HYDERABAD TNG 500050"/>
    <s v="PRODDATUR"/>
    <x v="0"/>
    <x v="23"/>
    <s v="FO124 "/>
    <s v="VSSK PRASAD"/>
    <n v="802349062"/>
    <s v="Ssd@9290"/>
    <s v="UPLOADED"/>
    <m/>
    <x v="1"/>
    <m/>
    <m/>
    <x v="0"/>
    <d v="2026-09-08T00:00:00"/>
    <n v="70440"/>
    <s v="0000000026347518"/>
    <s v="ICICI Bank Platinum Chip Credit Card"/>
    <s v="23RD OCT"/>
    <m/>
  </r>
  <r>
    <s v="4748468518686009"/>
    <s v="MR RAJIV REDDY K"/>
    <s v="O"/>
    <x v="12"/>
    <s v="9573322203"/>
    <s v="X"/>
    <n v="49109.989999999991"/>
    <n v="500000"/>
    <n v="549109.99"/>
    <s v=""/>
    <n v="549109.99"/>
    <n v="499830"/>
    <n v="142420"/>
    <n v="94720"/>
    <x v="1"/>
    <x v="1"/>
    <n v="0"/>
    <n v="94720"/>
    <x v="1"/>
    <s v="NA"/>
    <n v="0"/>
    <s v="TL045"/>
    <x v="0"/>
    <s v="TC084"/>
    <x v="0"/>
    <s v="6-3-149 FLAT NO 103 COMFORT RESIDENCY  RAM NAGAR ANAPARTHI ANP 515001"/>
    <s v="RAJIVREDDY CLINIC FLOT NO 103,D.NO 6-3-149 RAM NAGAR RAM NAGAR ANAPARTHI ANP 515004"/>
    <s v="ANAPARTHI"/>
    <x v="0"/>
    <x v="6"/>
    <s v="FO011"/>
    <s v="PAVAN"/>
    <n v="802823180"/>
    <s v="Sgr@9290"/>
    <s v="UPLOADED"/>
    <m/>
    <x v="0"/>
    <s v="LIVE"/>
    <s v="customer PTP on 2nd"/>
    <x v="9"/>
    <d v="2026-09-30T00:00:00"/>
    <n v="23000"/>
    <s v="0000000022594000"/>
    <s v="ICICI Bank HPCL Coral VISA Credit Card"/>
    <s v="23RD OCT"/>
    <m/>
  </r>
  <r>
    <s v="5241936747386004"/>
    <s v="MR KALPAGIRI UPENDER"/>
    <s v="N"/>
    <x v="12"/>
    <s v="9603073062"/>
    <s v="X"/>
    <n v="-20722.77"/>
    <n v="50000"/>
    <n v="29277.23"/>
    <n v="17668.12"/>
    <n v="11609.11"/>
    <n v="8447.24"/>
    <n v="11609.11"/>
    <n v="5752.26"/>
    <x v="1"/>
    <x v="1"/>
    <n v="0"/>
    <n v="5752.26"/>
    <x v="1"/>
    <s v="NA"/>
    <n v="0"/>
    <s v="TL045"/>
    <x v="2"/>
    <s v="TC114"/>
    <x v="0"/>
    <s v="2-15 GARIDEPALLY MANDALAM PONUGODU NALGONDA BHOOPALPALLY TNG 508201"/>
    <s v="OKHOLA INDUSTRIES NEW DELHI, E-42/3, FASE 2 DELHI AREA DELHI AREA DELHI DEL 110005"/>
    <s v="SURYAPET"/>
    <x v="2"/>
    <x v="13"/>
    <s v="FO113"/>
    <s v="CHAITANYA"/>
    <n v="802555024"/>
    <s v="Ssde@9290"/>
    <s v="UPLOADED"/>
    <m/>
    <x v="1"/>
    <m/>
    <m/>
    <x v="0"/>
    <d v="2025-08-17T00:00:00"/>
    <n v="2560"/>
    <s v="0000000026486835"/>
    <s v="ICICI Bank MasterCard  Platinum chip Credit Card"/>
    <s v="23RD OCT"/>
    <m/>
  </r>
  <r>
    <s v="4035622556303008"/>
    <s v="MR AKKA POLU SREENI"/>
    <s v="N"/>
    <x v="12"/>
    <s v="8519815153"/>
    <s v="X"/>
    <n v="-43006.729999999981"/>
    <n v="380000"/>
    <n v="336993.27"/>
    <s v=""/>
    <n v="336993.27"/>
    <n v="319021.86"/>
    <n v="62470"/>
    <n v="43980"/>
    <x v="1"/>
    <x v="1"/>
    <n v="0"/>
    <n v="43980"/>
    <x v="1"/>
    <s v="NA"/>
    <n v="0"/>
    <s v="TL045"/>
    <x v="2"/>
    <s v="TC114"/>
    <x v="0"/>
    <s v="17-190/65/9 TEACHERS COLONY  KODAD MANDALAM SURYAPET TNG 508206"/>
    <s v="VIVO ENTERPRISE SURYAPET DISTICT GODAD MANDAL TELANGANA TELANGANA SURYAPET TNG 508206"/>
    <s v="SURYAPET"/>
    <x v="2"/>
    <x v="13"/>
    <s v="FO113"/>
    <s v="CHAITANYA"/>
    <n v="802555024"/>
    <s v="Ssde@9290"/>
    <s v="UPLOADED"/>
    <m/>
    <x v="1"/>
    <m/>
    <m/>
    <x v="0"/>
    <d v="2026-06-11T00:00:00"/>
    <n v="5180"/>
    <s v="0000000020853041"/>
    <s v="ICICI Bank Platinum Chip Credit Card"/>
    <s v="23RD OCT"/>
    <m/>
  </r>
  <r>
    <s v="4748468705239000"/>
    <s v="MR DOMMETI MOHAN RAO"/>
    <s v="N"/>
    <x v="12"/>
    <s v="9963783877"/>
    <s v="X"/>
    <n v="4996.9800000000032"/>
    <n v="60000"/>
    <n v="64996.98"/>
    <s v=""/>
    <n v="64996.98"/>
    <n v="56623.02"/>
    <n v="16530"/>
    <n v="5750"/>
    <x v="1"/>
    <x v="1"/>
    <n v="0"/>
    <n v="5750"/>
    <x v="1"/>
    <s v="NA"/>
    <n v="0"/>
    <s v="TL045"/>
    <x v="2"/>
    <s v="TC114"/>
    <x v="0"/>
    <s v="3-100 GUDUR CAMP THANDA  NALGONDA SURYAPET TNG 508207"/>
    <s v="MOHAN ENTERPRISES GUDURU MAIN RD, GUDURU, ADDANKI HIGHWAY GUDURU V, MIRYALAGUDA M, NALGONDA DIST GUDURU V, MIRYALAGUDA M, NALGONDA DIST SURYAPET TNG 508207"/>
    <s v="SURYAPET"/>
    <x v="2"/>
    <x v="13"/>
    <s v="FO113"/>
    <s v="CHAITANYA"/>
    <n v="802555024"/>
    <s v="Ssde@9290"/>
    <s v="UPLOADED"/>
    <m/>
    <x v="1"/>
    <m/>
    <m/>
    <x v="0"/>
    <d v="2024-07-17T00:00:00"/>
    <n v="2480"/>
    <s v="0000000024495062"/>
    <s v="ICICI Bank HPCL Coral VISA Credit Card"/>
    <s v="23RD OCT"/>
    <m/>
  </r>
  <r>
    <s v="4748468580781001"/>
    <s v="MR TINGLECAR KUMAR"/>
    <s v="O"/>
    <x v="12"/>
    <s v="8686636161"/>
    <s v="X"/>
    <n v="-17886.910000000003"/>
    <n v="56000"/>
    <n v="38113.089999999997"/>
    <s v=""/>
    <n v="38113.089999999997"/>
    <n v="32716.7"/>
    <n v="8830"/>
    <n v="4440"/>
    <x v="1"/>
    <x v="1"/>
    <n v="0"/>
    <n v="4440"/>
    <x v="1"/>
    <s v="NA"/>
    <n v="0"/>
    <s v="TL045"/>
    <x v="2"/>
    <s v="TC114"/>
    <x v="0"/>
    <s v="2-5-93 SURYAPET GOLLA BAZAR NALGONDA SURYAPET TNG 508213"/>
    <s v="SHRINIVAS MUTTON 2-5-93 GOLLABAZAR NEAR PEDDA MAZID SURYA 2-5-93 GOLLABAZAR NEAR PEDDA MAZID SURYA 2-5-93 GOLLABAZAR NEAR PEDDA MAZID SURYA SURYAPET TNG 508213"/>
    <s v="SURYAPET"/>
    <x v="2"/>
    <x v="13"/>
    <s v="FO113"/>
    <s v="CHAITANYA"/>
    <n v="802555024"/>
    <s v="Ssde@9290"/>
    <s v="UPLOADED"/>
    <m/>
    <x v="0"/>
    <s v="LIVE"/>
    <s v="ustomer permanent address in live customer contact 19th PTP Sir "/>
    <x v="17"/>
    <d v="2025-08-12T00:00:00"/>
    <n v="7370"/>
    <s v="0000000023101767"/>
    <s v="ICICI Bank HPCL Coral VISA Credit Card"/>
    <s v="23RD OCT"/>
    <m/>
  </r>
  <r>
    <s v="4748468221292012"/>
    <s v="MR SAI KUMAR NDS"/>
    <s v="N"/>
    <x v="12"/>
    <s v="7660044399"/>
    <s v="X"/>
    <n v="3285.260000000002"/>
    <n v="50000"/>
    <n v="53285.26"/>
    <s v=""/>
    <n v="53285.26"/>
    <n v="46683.44"/>
    <n v="12570"/>
    <n v="3730"/>
    <x v="1"/>
    <x v="1"/>
    <n v="0"/>
    <n v="3730"/>
    <x v="1"/>
    <s v="NA"/>
    <n v="0"/>
    <s v="TL045"/>
    <x v="0"/>
    <s v="TC084"/>
    <x v="0"/>
    <s v="13/599,R K M STREET, KADAPA KADAPA ONE TOWN CUDDAPAH ANP 516001"/>
    <s v="SAI KUMAR TRADERS 13/599,R K M STREET KADAPA KADAPA CUDDAPAH ANP 516001"/>
    <s v="CUDDAPAH"/>
    <x v="0"/>
    <x v="16"/>
    <s v="FO080"/>
    <s v="Y GANESH"/>
    <n v="802823528"/>
    <s v="Sms@9290"/>
    <s v="UPLOADED"/>
    <m/>
    <x v="0"/>
    <s v="SKIP"/>
    <s v="customer given residency address location area visit but customer door number was not found and called to customer he responded in call and said that he already shifted from the given address to another place sir and said that he will do the bill payment today EOD sir"/>
    <x v="9"/>
    <d v="2024-06-16T00:00:00"/>
    <n v="4580"/>
    <s v="0000000019726586"/>
    <s v="ICICI Bank HPCL Coral VISA Credit Card"/>
    <s v="23RD OCT"/>
    <m/>
  </r>
  <r>
    <s v="4035622800157002"/>
    <s v="MR PAPPU VEERA PAVAN"/>
    <s v="N"/>
    <x v="12"/>
    <s v="8247688744"/>
    <s v="Y"/>
    <n v="-43848.639999999999"/>
    <n v="90000"/>
    <n v="46151.360000000001"/>
    <s v=""/>
    <n v="46151.360000000001"/>
    <n v="43211.45"/>
    <n v="9550"/>
    <n v="4680"/>
    <x v="0"/>
    <x v="0"/>
    <n v="45702.9"/>
    <n v="-41022.9"/>
    <x v="1"/>
    <s v="NA"/>
    <n v="0"/>
    <s v="TL045"/>
    <x v="3"/>
    <s v="TC126"/>
    <x v="0"/>
    <s v="00 Chejarla Mandalam Nellore Sri Potti Sriramulu Nellore NEL ANP 524309"/>
    <s v="00 PHASE 2 ELECTRONIC CITY ELECTRONIC CITY BNG KAR 560100"/>
    <s v="NELLORE"/>
    <x v="5"/>
    <x v="21"/>
    <s v="FO042"/>
    <s v="IMAMVALLI"/>
    <n v="802789320"/>
    <s v="Ssd@9290"/>
    <s v="UPLOADED"/>
    <m/>
    <x v="0"/>
    <m/>
    <m/>
    <x v="0"/>
    <d v="2026-10-19T00:00:00"/>
    <n v="30000"/>
    <s v="0000000022580341"/>
    <s v="ICICI Bank Coral Credit Card"/>
    <s v="23RD OCT"/>
    <m/>
  </r>
  <r>
    <s v="4073520095646007"/>
    <s v="MR MADNURE PRAKASH"/>
    <s v="N"/>
    <x v="13"/>
    <s v="9948941917"/>
    <s v="X"/>
    <n v="653340.14"/>
    <n v="280000"/>
    <n v="933340.14"/>
    <n v="580116.75"/>
    <n v="353223.39"/>
    <n v="324775.57"/>
    <n v="169640"/>
    <n v="59960"/>
    <x v="1"/>
    <x v="1"/>
    <n v="0"/>
    <n v="59960"/>
    <x v="1"/>
    <s v="NA"/>
    <n v="0"/>
    <s v="TL045"/>
    <x v="2"/>
    <s v="TC114"/>
    <x v="0"/>
    <s v="QUARTER NO-113/A RAILWAY COLONY ADILABAD   100 MTS TO WATER TANK ADILABAD TNG 504001"/>
    <s v="SCR NANDED DIVISION SENIOR SECTION ENGG SSE P-LIAY RAILWAY COLONY ADILABAD COLONY ADILABAD ADILABAD TNG 504001"/>
    <s v="ADILABAD"/>
    <x v="2"/>
    <x v="22"/>
    <s v="FO056"/>
    <s v="KANTH"/>
    <n v="802794852"/>
    <s v="Ssd@9290"/>
    <s v="UPLOADED"/>
    <m/>
    <x v="0"/>
    <s v="DL"/>
    <s v="NOT AVAILABLE CUSTOMER VISIT HOME ADDRESS CUSTOMER LIVE DORE LOCK ASK THE NYBERS HE WAS GOING TO NANDED DUE TO HEALTH ISSUES LAST 2 MONTHS BACK CUSTOMER PHONE CALLS NOT RESPONDING  // Customer visit home address customer Live meet customer customer ask the some time due to financial issue and health condition not good customer submitted the Health Reports"/>
    <x v="3"/>
    <d v="2026-08-29T00:00:00"/>
    <n v="1000"/>
    <s v="0000000019031760"/>
    <s v="MakeMyTrip ICICI Bank Signature Credit Card"/>
    <s v="23RD OCT"/>
    <m/>
  </r>
  <r>
    <s v="4073520151844009"/>
    <s v="MR BOLISHETTY AKHIL"/>
    <s v="N"/>
    <x v="13"/>
    <s v="9700180428"/>
    <s v="X"/>
    <n v="8934.3999999999942"/>
    <n v="120000"/>
    <n v="128934.39999999999"/>
    <s v=""/>
    <n v="128934.39999999999"/>
    <n v="119985.49"/>
    <n v="19230"/>
    <n v="1850"/>
    <x v="1"/>
    <x v="1"/>
    <n v="0"/>
    <n v="1850"/>
    <x v="1"/>
    <s v="NA"/>
    <n v="0"/>
    <s v="TL045"/>
    <x v="2"/>
    <s v="TC114"/>
    <x v="1"/>
    <s v="H NO 10-3-517 NIZAMABAD SHIVAJI NAGAR NIZAMABAD NIZAMABAD TNG 503001"/>
    <s v="VINAYAKA MOBILES SHOP NO 58,VINAYAKA MOBILES, OPP SINDH BHAVAN,TILAK GARDEN COMPLEX, OPP SINDH BHAVAN,TILAK GARDEN COMPLEX, NIZAMABAD TNG 503001"/>
    <s v="NIZAMABAD"/>
    <x v="2"/>
    <x v="26"/>
    <s v="FO043"/>
    <s v="D RAMU"/>
    <n v="802663344"/>
    <s v="Sgr@9290"/>
    <s v="UPLOADED"/>
    <m/>
    <x v="1"/>
    <m/>
    <m/>
    <x v="0"/>
    <d v="2024-09-05T00:00:00"/>
    <n v="20000"/>
    <s v="0000000021137040"/>
    <s v="MakeMyTrip ICICI Bank Signature Credit Card"/>
    <s v="23RD OCT"/>
    <m/>
  </r>
  <r>
    <s v="4073520296292007"/>
    <s v="MR ASAM GANGADHAR"/>
    <s v="O"/>
    <x v="13"/>
    <s v="9676490487"/>
    <s v="X"/>
    <n v="443930.91000000003"/>
    <n v="260000"/>
    <n v="703930.91"/>
    <n v="417070.79"/>
    <n v="286860.12"/>
    <n v="270684.76"/>
    <n v="146300"/>
    <n v="84090"/>
    <x v="1"/>
    <x v="1"/>
    <n v="0"/>
    <n v="84090"/>
    <x v="1"/>
    <s v="NA"/>
    <n v="0"/>
    <s v="TL045"/>
    <x v="1"/>
    <s v="TC003"/>
    <x v="0"/>
    <s v="3-118/A DONUR  KARIMNAGAR KARIMNAGAR TNG 505454"/>
    <s v="GOVERNMENT OF TELANGANA SECONDARY EDUCAT DORNOOR JAGITHYAL JAGITHYAL KARIMNAGAR TNG 505454"/>
    <s v="KARIMNAGAR"/>
    <x v="2"/>
    <x v="28"/>
    <s v="FO032"/>
    <s v="SUMANTH"/>
    <n v="802370852"/>
    <s v="Sgr@9290"/>
    <s v="UPLOADED"/>
    <m/>
    <x v="1"/>
    <m/>
    <m/>
    <x v="0"/>
    <d v="2024-11-07T00:00:00"/>
    <n v="98394"/>
    <s v="0000000027079499"/>
    <s v="MakeMyTrip ICICI Bank Signature Credit Card"/>
    <s v="23RD OCT"/>
    <m/>
  </r>
  <r>
    <s v="4073520308571000"/>
    <s v="MR V B SRINIVASARAO"/>
    <s v="N"/>
    <x v="13"/>
    <s v="9515227226"/>
    <s v="X"/>
    <n v="15478.149999999994"/>
    <n v="120000"/>
    <n v="135478.15"/>
    <s v=""/>
    <n v="135478.15"/>
    <n v="119847.53"/>
    <n v="37250"/>
    <n v="18110"/>
    <x v="1"/>
    <x v="1"/>
    <n v="0"/>
    <n v="18110"/>
    <x v="1"/>
    <s v="NA"/>
    <n v="0"/>
    <s v="TL045"/>
    <x v="3"/>
    <s v="TC126"/>
    <x v="0"/>
    <s v="H NO 11-75 BHIMADOLU MANDALAM SANTA BAZAR  ELURU ANP 534427"/>
    <s v="SRI VINAYAKA READYMADES D NO 6-76,SANTA MARKET,GOPAL VILLAS GUNDUGOLANU,WEST GODAVARI GUNDUGOLANU,WEST GODAVARI ELURU ANP 534427"/>
    <s v="ELURU"/>
    <x v="3"/>
    <x v="29"/>
    <s v="FO035"/>
    <s v="BOJJA KRISHNA SAI"/>
    <n v="802663436"/>
    <s v="Sgr@9290"/>
    <s v="UPLOADED"/>
    <m/>
    <x v="1"/>
    <m/>
    <m/>
    <x v="0"/>
    <d v="2024-12-10T00:00:00"/>
    <n v="30000"/>
    <s v="0000000027358132"/>
    <s v="MakeMyTrip ICICI Bank Signature Credit Card"/>
    <s v="23RD OCT"/>
    <m/>
  </r>
  <r>
    <s v="4073520313946007"/>
    <s v="MR SHAIK ABDUL RASOOL"/>
    <s v="N"/>
    <x v="13"/>
    <s v="9966551123"/>
    <s v="X"/>
    <n v="-18677.080000000002"/>
    <n v="118000"/>
    <n v="99322.92"/>
    <s v=""/>
    <n v="99322.92"/>
    <n v="88097.4"/>
    <n v="16640"/>
    <n v="6750"/>
    <x v="1"/>
    <x v="1"/>
    <n v="0"/>
    <n v="6750"/>
    <x v="1"/>
    <s v="NA"/>
    <n v="0"/>
    <s v="TL045"/>
    <x v="0"/>
    <s v="TC084"/>
    <x v="0"/>
    <s v="10-1098-179-B NIZAM VALI COLONY NIZAM VALI COLONY  HINDUPUR ANP 515591"/>
    <s v="BASHA CLINIC CENTRE 10-1098-179-A,NIZAM VALI COLONY KADIRI,ANANTAPUR,OPP MAKKA MASZID KADIRI,ANANTAPUR,OPP MAKKA MASZID HINDUPUR ANP 515591"/>
    <s v="HINDUPUR"/>
    <x v="0"/>
    <x v="6"/>
    <s v="FO011"/>
    <s v="PAVAN"/>
    <n v="802823180"/>
    <s v="Sgr@9290"/>
    <s v="UPLOADED"/>
    <m/>
    <x v="1"/>
    <m/>
    <m/>
    <x v="0"/>
    <d v="2025-01-15T00:00:00"/>
    <n v="6810"/>
    <s v="0000000027458500"/>
    <s v="MakeMyTrip ICICI Bank Signature Credit Card"/>
    <s v="23RD OCT"/>
    <m/>
  </r>
  <r>
    <s v="4073520314153009"/>
    <s v="MS SANDHYA ASAMPALLI"/>
    <s v="N"/>
    <x v="13"/>
    <s v="9177971094"/>
    <s v="X"/>
    <n v="482168.6"/>
    <n v="70000"/>
    <n v="552168.6"/>
    <n v="432130.92"/>
    <n v="120037.68"/>
    <n v="104752.26"/>
    <n v="104280"/>
    <n v="54230"/>
    <x v="1"/>
    <x v="1"/>
    <n v="0"/>
    <n v="54230"/>
    <x v="1"/>
    <s v="NA"/>
    <n v="0"/>
    <s v="TL045"/>
    <x v="2"/>
    <s v="TC114"/>
    <x v="0"/>
    <s v="4-7-110/1 VIDYA NAGAR VIDYA NAGAR BESIDE BUS DEPOT ADILABAD TNG 504001"/>
    <s v="MUTHOOT FINCORP LTD H NO 7/1/8/8/3,G FLR,MURAD RESIDENCY BUSTOP RD,ADILABAD BUSTOP RD,ADILABAD ADILABAD TNG 504001"/>
    <s v="ADILABAD"/>
    <x v="2"/>
    <x v="22"/>
    <s v="FO056"/>
    <s v="KANTH"/>
    <n v="802794852"/>
    <s v="Ssd@9290"/>
    <s v="UPLOADED"/>
    <m/>
    <x v="0"/>
    <s v="LIVE"/>
    <s v="CUSTOMER VISIT HOME ADDRESS PTP ON 5TH "/>
    <x v="16"/>
    <d v="2024-07-09T00:00:00"/>
    <n v="76481.929999999993"/>
    <s v="0000000027490983"/>
    <s v="MakeMyTrip ICICI Bank Signature Credit Card"/>
    <s v="23RD OCT"/>
    <m/>
  </r>
  <r>
    <s v="4073520332653014"/>
    <s v="MR JULAKANTI VINAY"/>
    <s v="N"/>
    <x v="13"/>
    <s v="9666619444"/>
    <s v="X"/>
    <n v="5.2999999999883585"/>
    <n v="160000"/>
    <n v="160005.29999999999"/>
    <s v=""/>
    <n v="160005.29999999999"/>
    <n v="143783.13"/>
    <n v="25070"/>
    <n v="9890"/>
    <x v="0"/>
    <x v="0"/>
    <n v="25070"/>
    <n v="-15180"/>
    <x v="12"/>
    <s v="TC"/>
    <n v="0"/>
    <s v="TL045"/>
    <x v="2"/>
    <s v="TC114"/>
    <x v="0"/>
    <s v="H NO 1-27/3 ANDOL MANDAL   SANGAREDDY TNG 502270"/>
    <s v="SRI VEERABHADRA GENERAL STORE VENKATESHWARA THEATRE BHAGET SINGHROAD  JODIPET SANGAREDDY SINGHROAD  JODIPET SANGAREDDY SANGAREDDY TNG 502270"/>
    <s v="SANGAREDDY"/>
    <x v="2"/>
    <x v="2"/>
    <s v="FO076"/>
    <s v="RADHAKRISHNA"/>
    <n v="801354813"/>
    <s v="Sgr@9290"/>
    <s v="UPLOADED"/>
    <m/>
    <x v="0"/>
    <m/>
    <m/>
    <x v="0"/>
    <d v="2024-10-01T00:00:00"/>
    <n v="10000"/>
    <s v="0000000027870875"/>
    <s v="MakeMyTrip ICICI Bank Signature Credit Card"/>
    <s v="23RD OCT"/>
    <m/>
  </r>
  <r>
    <s v="4073520338123004"/>
    <s v="MR MOHAMMED KHAJA KAMRODDIN"/>
    <s v="N"/>
    <x v="13"/>
    <s v="6300528943"/>
    <s v="X"/>
    <n v="632087.14"/>
    <n v="270000"/>
    <n v="902087.14"/>
    <n v="562077.92000000004"/>
    <n v="340009.22"/>
    <n v="317627.83"/>
    <n v="162090"/>
    <n v="62630"/>
    <x v="1"/>
    <x v="1"/>
    <n v="0"/>
    <n v="62630"/>
    <x v="1"/>
    <s v="NA"/>
    <n v="0"/>
    <s v="TL045"/>
    <x v="1"/>
    <s v="TC003"/>
    <x v="0"/>
    <s v="HOUSE NUMBER 1-37/4    WARANGAL TNG 506165"/>
    <s v="TS NPDCL OGULAPUR HANAMKONDA HANAMKONDA WARANGAL TNG 506001"/>
    <s v="WARANGAL"/>
    <x v="2"/>
    <x v="18"/>
    <s v="FO055"/>
    <s v="AKHIL"/>
    <n v="801772792"/>
    <s v="Sgr@9290"/>
    <s v="UPLOADED"/>
    <m/>
    <x v="1"/>
    <m/>
    <m/>
    <x v="0"/>
    <d v="2024-06-04T00:00:00"/>
    <n v="90000"/>
    <s v="0000000027945118"/>
    <s v="MakeMyTrip ICICI Bank Signature Credit Card"/>
    <s v="23RD OCT"/>
    <m/>
  </r>
  <r>
    <s v="4073520361787006"/>
    <s v="MR M PRAKASH"/>
    <s v="N"/>
    <x v="13"/>
    <s v="8125735591"/>
    <s v="X"/>
    <n v="3012.0599999999977"/>
    <n v="100000"/>
    <n v="103012.06"/>
    <n v="81183.67"/>
    <n v="21828.39"/>
    <n v="16615.759999999998"/>
    <n v="18190"/>
    <n v="8110"/>
    <x v="1"/>
    <x v="1"/>
    <n v="0"/>
    <n v="8110"/>
    <x v="1"/>
    <s v="NA"/>
    <n v="0"/>
    <s v="TL045"/>
    <x v="0"/>
    <s v="TC084"/>
    <x v="0"/>
    <s v="4-106-U CHILLAKONDAYAPALLI  TADIMARRI HINDUPUR ANP 515631"/>
    <s v="MPS GROUNDNUT THRESHER H NO 3-105-U, CHILLAKONDAYAPALLI TADIMARRI,PEDDAKOTLA,ANANTHAPUR TADIMARRI,PEDDAKOTLA,ANANTHAPUR HINDUPUR ANP 515631"/>
    <s v="HINDUPUR"/>
    <x v="0"/>
    <x v="6"/>
    <s v="FO011"/>
    <s v="PAVAN"/>
    <n v="802823180"/>
    <s v="Sgr@9290"/>
    <s v="UPLOADED"/>
    <m/>
    <x v="1"/>
    <m/>
    <m/>
    <x v="0"/>
    <d v="2023-12-28T00:00:00"/>
    <n v="81100"/>
    <s v="0000000028324631"/>
    <s v="MakeMyTrip ICICI Bank Signature Credit Card"/>
    <s v="23RD OCT"/>
    <m/>
  </r>
  <r>
    <s v="4315814742052018"/>
    <s v="MR SHAIK ABID"/>
    <s v="N"/>
    <x v="13"/>
    <s v="7989093399"/>
    <s v="J3"/>
    <n v="-76769.279999999999"/>
    <n v="100000"/>
    <n v="23230.720000000001"/>
    <s v=""/>
    <n v="23230.720000000001"/>
    <n v="22073.25"/>
    <n v="3080"/>
    <n v="1840"/>
    <x v="1"/>
    <x v="1"/>
    <n v="0"/>
    <n v="1840"/>
    <x v="1"/>
    <s v="NA"/>
    <n v="0"/>
    <s v="TL045"/>
    <x v="1"/>
    <s v="TC003"/>
    <x v="0"/>
    <s v="2-196 GORLAGADDA  PRAKASAM NANDYAL ANP 523316"/>
    <s v="TECH MAHINDRA LIMITED SURVEY NO 64,UNIT NO 12,HITECH LAYOUT,JU BLIEE ENCLAVE,MADHAPUR,HYDERABAD BLIEE ENCLAVE,MADHAPUR,HYDERABAD HYDERABAD TNG 500081"/>
    <s v="NANDYAL"/>
    <x v="1"/>
    <x v="1"/>
    <s v="FO008"/>
    <s v="DURGA"/>
    <n v="801723195"/>
    <s v="Sgr@9290"/>
    <s v="UPLOADED"/>
    <m/>
    <x v="1"/>
    <m/>
    <m/>
    <x v="0"/>
    <d v="2025-04-12T00:00:00"/>
    <n v="35000"/>
    <s v="0000000029124503"/>
    <s v="Amazon Pay ICICI Bank Credit Card"/>
    <s v="23RD OCT"/>
    <m/>
  </r>
  <r>
    <s v="4375518372580001"/>
    <s v="MR AKULA NAGAMALLESWARA RAO"/>
    <s v="N"/>
    <x v="13"/>
    <s v="9010244443"/>
    <s v="X"/>
    <n v="4095.1500000000015"/>
    <n v="30000"/>
    <n v="34095.15"/>
    <s v=""/>
    <n v="34095.15"/>
    <n v="29995.9"/>
    <n v="9820"/>
    <n v="3220"/>
    <x v="1"/>
    <x v="1"/>
    <n v="0"/>
    <n v="3220"/>
    <x v="1"/>
    <s v="NA"/>
    <n v="0"/>
    <s v="TL045"/>
    <x v="2"/>
    <s v="TC114"/>
    <x v="0"/>
    <s v="SAIBABA 1ST LEFT 2ND RIGHT 1ST APPARTMENT SAI MAHESWARA RESIDENCY F NO 105 BEERUMGUDA AMEENPUR N/R SHIVALAYAM TEMPLE Medak TNG 502032"/>
    <s v="AUROBINDO PHARMALIMITED UNIT-1 BORAPATLA V HATNOOR M   Medak TNG 502296"/>
    <s v="SANGAREDDY"/>
    <x v="2"/>
    <x v="2"/>
    <s v="FO076"/>
    <s v="RADHAKRISHNA"/>
    <n v="801354813"/>
    <s v="Sgr@9290"/>
    <s v="UPLOADED"/>
    <m/>
    <x v="1"/>
    <m/>
    <m/>
    <x v="0"/>
    <d v="2024-12-07T00:00:00"/>
    <n v="3124.66"/>
    <s v="0000000013382600"/>
    <s v="MakeMyTrip ICICI Bank Platinum Credit Card"/>
    <s v="23RD OCT"/>
    <m/>
  </r>
  <r>
    <s v="4375518424158012"/>
    <s v="MR JINJIPELLI SWAMY"/>
    <s v="N"/>
    <x v="13"/>
    <s v="8096773355"/>
    <s v="X"/>
    <n v="5170.25"/>
    <n v="50000"/>
    <n v="55170.25"/>
    <n v="8461.8799999999992"/>
    <n v="46708.37"/>
    <n v="41299.410000000003"/>
    <n v="15410"/>
    <n v="9280"/>
    <x v="1"/>
    <x v="1"/>
    <n v="0"/>
    <n v="9280"/>
    <x v="1"/>
    <s v="NA"/>
    <n v="0"/>
    <s v="TL045"/>
    <x v="1"/>
    <s v="TC003"/>
    <x v="0"/>
    <s v="HNO 3-29/2 CHERLAPALLY GULLAKOTA   NEAR ANJANEYA TYPE PUNCHER SHOP Karimnagar TNG 505526"/>
    <s v="FAIRVAYS TOLL AND SECURITY SERVICES KM 210 100 BASANTH NAGAR TOLL PLAZA PALAKURTHI PALAKURTHI Karimnagar TNG 505187"/>
    <s v="KARIMNAGAR"/>
    <x v="2"/>
    <x v="28"/>
    <s v="FO032"/>
    <s v="SUMANTH"/>
    <n v="802370852"/>
    <s v="Sgr@9290"/>
    <s v="UPLOADED"/>
    <m/>
    <x v="1"/>
    <m/>
    <m/>
    <x v="0"/>
    <d v="2024-12-07T00:00:00"/>
    <n v="4876.92"/>
    <s v="0000000013773102"/>
    <s v="MakeMyTrip ICICI Bank Platinum Credit Card"/>
    <s v="23RD OCT"/>
    <m/>
  </r>
  <r>
    <s v="4375518584336002"/>
    <s v="MS SYKM HARIKA"/>
    <s v="N"/>
    <x v="13"/>
    <s v="9701248887"/>
    <s v="X"/>
    <n v="-93128.489999999991"/>
    <n v="300000"/>
    <n v="206871.51"/>
    <n v="25729.35"/>
    <n v="181142.16"/>
    <n v="170071.34"/>
    <n v="52400"/>
    <n v="38450"/>
    <x v="1"/>
    <x v="1"/>
    <n v="0"/>
    <n v="38450"/>
    <x v="1"/>
    <s v="NA"/>
    <n v="0"/>
    <s v="TL045"/>
    <x v="3"/>
    <s v="TC126"/>
    <x v="1"/>
    <s v="FLATNO 101 RAJ TOWERS 100 FEET ROAD TADIGADAPA KRISHNA  OPP PVP LADIES HOSTEL VIJAYAWADA ANP 521137"/>
    <s v="STATE BANK OF INDIA GOVERNARPETA BESENT ROAD VIJYAWADA   VIJAYAWADA ANP 520002"/>
    <s v="VIJAYAWADA"/>
    <x v="4"/>
    <x v="7"/>
    <s v="FO123"/>
    <s v="SUDHAKAR"/>
    <n v="802913252"/>
    <s v="Ssd@9290"/>
    <s v="UPLOADED"/>
    <m/>
    <x v="1"/>
    <m/>
    <m/>
    <x v="0"/>
    <d v="2024-07-09T00:00:00"/>
    <n v="29500"/>
    <s v="0000000014877842"/>
    <s v="MakeMyTrip ICICI Bank Platinum Credit Card"/>
    <s v="23RD OCT"/>
    <m/>
  </r>
  <r>
    <s v="4375518633983002"/>
    <s v="MR BOLLU SIVAKESHAVARAO"/>
    <s v="O"/>
    <x v="13"/>
    <s v="9000895520"/>
    <s v="X"/>
    <n v="2545.4900000000016"/>
    <n v="30000"/>
    <n v="32545.49"/>
    <s v=""/>
    <n v="32545.49"/>
    <n v="28674.38"/>
    <n v="11320"/>
    <n v="5060"/>
    <x v="0"/>
    <x v="0"/>
    <n v="11320"/>
    <n v="-6260"/>
    <x v="12"/>
    <s v="TC"/>
    <n v="0"/>
    <s v="TL045"/>
    <x v="2"/>
    <s v="TC114"/>
    <x v="0"/>
    <s v="HNO 1-33/A MR HNFC ATM PENUBALLT MANDALAPAHAD  BESIDE GOVT SCHOOL KHAMMAM ANP 507302"/>
    <s v="SAI SHRUTI DAV SCHOOL INTHE CSMPUS OF SSIT KHAMMAD KHAMMAD KHAMMAM ANP 507303"/>
    <s v="KHAMMAM"/>
    <x v="2"/>
    <x v="31"/>
    <s v="FO025"/>
    <s v="SUDHAKAR"/>
    <n v="802913252"/>
    <s v="Ssd@9290"/>
    <s v="UPLOADED"/>
    <m/>
    <x v="0"/>
    <m/>
    <m/>
    <x v="0"/>
    <d v="2024-07-09T00:00:00"/>
    <n v="3520"/>
    <s v="0000000015381759"/>
    <s v="MakeMyTrip ICICI Bank Platinum Credit Card"/>
    <s v="23RD OCT"/>
    <m/>
  </r>
  <r>
    <s v="4375518682646005"/>
    <s v="MR GURRALA JOHN MILTON"/>
    <s v="N"/>
    <x v="13"/>
    <s v="8985836996"/>
    <s v="X"/>
    <n v="7781.6600000000035"/>
    <n v="100000"/>
    <n v="107781.66"/>
    <n v="32611.48"/>
    <n v="75170.179999999993"/>
    <n v="66170.8"/>
    <n v="18180"/>
    <n v="8110"/>
    <x v="1"/>
    <x v="1"/>
    <n v="0"/>
    <n v="8110"/>
    <x v="1"/>
    <s v="NA"/>
    <n v="0"/>
    <s v="TL045"/>
    <x v="1"/>
    <s v="TC003"/>
    <x v="0"/>
    <s v="D NO-26-17-45 3RD LANE KANKARA GUNTA GUNTUR  NEAR MERI MATHA STATUE GUNTUR ANP 522004"/>
    <s v="WISDOM STARS ENGLISH MEDIUM SCHOOL CANARA BANK BUILDING DOWN FLOOR SYAMALANAGAR SYAMALANAGAR GUNTUR ANP 522007"/>
    <s v="GUNTUR"/>
    <x v="1"/>
    <x v="10"/>
    <s v="FO001"/>
    <s v="INAMUL"/>
    <n v="802823175"/>
    <s v="Sgr@9290"/>
    <s v="UPLOADED"/>
    <m/>
    <x v="0"/>
    <s v="LIVE"/>
    <s v="Customer given House address visited customer live but present not available at home door locked enquired with neighbour's customer went outside not responding phone calls will revisit again  // Customer given House address revisited customer not available at home will revisit again afternoon "/>
    <x v="17"/>
    <d v="2024-12-06T00:00:00"/>
    <n v="12854.27"/>
    <s v="0000000015753795"/>
    <s v="MakeMyTrip ICICI Bank Platinum Credit Card"/>
    <s v="23RD OCT"/>
    <m/>
  </r>
  <r>
    <s v="4375518693037004"/>
    <s v="MR PATNALA VEERAVENKATA SATYANARA"/>
    <s v="N"/>
    <x v="13"/>
    <s v="9866244194"/>
    <s v="X"/>
    <n v="12331.359999999986"/>
    <n v="120000"/>
    <n v="132331.35999999999"/>
    <s v=""/>
    <n v="132331.35999999999"/>
    <n v="119749.73"/>
    <n v="31540"/>
    <n v="12290"/>
    <x v="1"/>
    <x v="1"/>
    <n v="0"/>
    <n v="12290"/>
    <x v="1"/>
    <s v="NA"/>
    <n v="0"/>
    <s v="TL045"/>
    <x v="3"/>
    <s v="TC126"/>
    <x v="0"/>
    <s v="D NO -2-16-8 P NO G2 SIRANGU RESIDENCY VENKAT NAGAR  NEAR ADITYA JUNIOR COLLEGE KAKINADA ANP 533003"/>
    <s v="PATNALA FINANCE SERVICES D NO 2-16-8 F NO-G2 SRIGARU APARTMENTS VENKAT NAGAR VENKAT NAGAR KAKINADA ANP 533003"/>
    <s v="KAKINADA"/>
    <x v="3"/>
    <x v="5"/>
    <s v="FO063"/>
    <s v="UDAY"/>
    <n v="801436997"/>
    <s v="Ssd@9290"/>
    <s v="UPLOADED"/>
    <m/>
    <x v="0"/>
    <s v="SKIP"/>
    <s v="customer address visit customer not available skip address "/>
    <x v="18"/>
    <d v="2026-05-27T00:00:00"/>
    <n v="15310"/>
    <s v="0000000015819338"/>
    <s v="MakeMyTrip ICICI Bank Platinum Credit Card"/>
    <s v="23RD OCT"/>
    <m/>
  </r>
  <r>
    <s v="4748460704802003"/>
    <s v="MR JAMMULA VENKATESH"/>
    <s v="N"/>
    <x v="13"/>
    <s v="9959372105"/>
    <s v="X"/>
    <n v="-645.26000000000931"/>
    <n v="140000"/>
    <n v="139354.74"/>
    <s v=""/>
    <n v="139354.74"/>
    <n v="124991.21"/>
    <n v="36500"/>
    <n v="17330"/>
    <x v="1"/>
    <x v="1"/>
    <n v="0"/>
    <n v="17330"/>
    <x v="1"/>
    <s v="NA"/>
    <n v="0"/>
    <s v="TL045"/>
    <x v="2"/>
    <s v="TC114"/>
    <x v="0"/>
    <s v="4-73 KURVAGADDA PALLY ALWAN PALLY GANGAPUR JADCHERLA  NEAR Z P HIGH SCHOOL JEDCHERLA ANP 509301"/>
    <s v="APL HEALTH CARE AUROBINDO PRIVATE LIMITE SY NO 410/3 411/3 458/3 PLOT NO 5-1/B JAD CHERLA JAD CHERLA MAHBUBNAGAR ANP 509302"/>
    <s v="MAHBUBNAGAR"/>
    <x v="2"/>
    <x v="30"/>
    <s v="FO117"/>
    <s v="SAMBA"/>
    <n v="801772794"/>
    <s v="Ssde@9876"/>
    <s v="UPLOADED"/>
    <m/>
    <x v="0"/>
    <s v="LIVE"/>
    <s v="visited cus adrs sir _x000a_cus ptp next month 6 sir "/>
    <x v="12"/>
    <d v="2024-07-09T00:00:00"/>
    <n v="102324.47"/>
    <s v="0000000016611215"/>
    <s v="MakeMyTrip ICICI Bank Platinum Credit Card"/>
    <s v="23RD OCT"/>
    <m/>
  </r>
  <r>
    <s v="4748460805827008"/>
    <s v="MR LINGANNAGARI SATISH REDDY"/>
    <s v="N"/>
    <x v="13"/>
    <s v="8019553379"/>
    <s v="X"/>
    <n v="3297.0400000000009"/>
    <n v="36000"/>
    <n v="39297.040000000001"/>
    <s v=""/>
    <n v="39297.040000000001"/>
    <n v="35760.379999999997"/>
    <n v="10160"/>
    <n v="1790"/>
    <x v="1"/>
    <x v="1"/>
    <n v="0"/>
    <n v="1790"/>
    <x v="1"/>
    <s v="NA"/>
    <n v="0"/>
    <s v="TL045"/>
    <x v="2"/>
    <s v="TC114"/>
    <x v="0"/>
    <s v="HNO 6-54 ISNAPUR X ROAD PATANCHERU MANDAL  NEAR SM HOSPITAL HYDERABAD TNG 502307"/>
    <s v="MSN PHARMA LTD PLOT NO 212 ABCD IDA PHASE II PASHAMYLARAM PATANCHERUVU PASHAMYLARAM PATANCHERUVU HYDERABAD TNG 502307"/>
    <s v="SANGAREDDY"/>
    <x v="2"/>
    <x v="2"/>
    <s v="FO076"/>
    <s v="RADHAKRISHNA"/>
    <n v="801354813"/>
    <s v="Sgr@9290"/>
    <s v="UPLOADED"/>
    <m/>
    <x v="1"/>
    <m/>
    <m/>
    <x v="0"/>
    <d v="2026-01-05T00:00:00"/>
    <n v="5760"/>
    <s v="0000000018085086"/>
    <s v="MakeMyTrip ICICI Bank Platinum Credit Card"/>
    <s v="23RD OCT"/>
    <m/>
  </r>
  <r>
    <s v="4748460838592009"/>
    <s v="MR RAJENDRA KODAMANCHILI"/>
    <s v="N"/>
    <x v="13"/>
    <s v="8186910210"/>
    <s v="X"/>
    <n v="61664.91"/>
    <n v="80000"/>
    <n v="141664.91"/>
    <n v="45930.239999999998"/>
    <n v="95734.67"/>
    <n v="83212.77"/>
    <n v="41790"/>
    <n v="20760"/>
    <x v="1"/>
    <x v="1"/>
    <n v="0"/>
    <n v="20760"/>
    <x v="1"/>
    <s v="NA"/>
    <n v="0"/>
    <s v="TL045"/>
    <x v="3"/>
    <s v="TC126"/>
    <x v="0"/>
    <s v="12-178 NEHUR NNAGAR 2VENKATAPURAM NAER NTR STATU E  NEAR NO-3 SCHOOL ROAD ELURU ANP 534001"/>
    <s v="RAMACHANDRA COLLEGE OF ENGENEERING COLL N H-16-BY PASS ROAD VATULURU   ELURU ANP 534007"/>
    <s v="ELURU"/>
    <x v="3"/>
    <x v="29"/>
    <s v="FO035"/>
    <s v="BOJJA KRISHNA SAI"/>
    <n v="802663436"/>
    <s v="Sgr@9290"/>
    <s v="UPLOADED"/>
    <m/>
    <x v="1"/>
    <m/>
    <m/>
    <x v="0"/>
    <d v="2026-08-08T00:00:00"/>
    <n v="3730"/>
    <s v="0000000018372373"/>
    <s v="MakeMyTrip ICICI Bank Platinum Credit Card"/>
    <s v="23RD OCT"/>
    <m/>
  </r>
  <r>
    <s v="4748460844736004"/>
    <s v="MR MARAM KONDALU"/>
    <s v="N"/>
    <x v="13"/>
    <s v="9177350869"/>
    <s v="X"/>
    <n v="-412.16999999999825"/>
    <n v="80000"/>
    <n v="79587.83"/>
    <n v="5950.62"/>
    <n v="73637.210000000006"/>
    <n v="67397.429999999993"/>
    <n v="13240"/>
    <n v="4790"/>
    <x v="1"/>
    <x v="1"/>
    <n v="0"/>
    <n v="4790"/>
    <x v="1"/>
    <s v="NA"/>
    <n v="0"/>
    <s v="TL045"/>
    <x v="0"/>
    <s v="TC084"/>
    <x v="0"/>
    <s v="10-4-11 WARD 10 CHEKKA VANTENA SATTENAPALLE GUNTUR  NEAR HANUMAN TEMPLE OPP NTR STATUE NARASAPURAM ANP 522403"/>
    <s v="SRIRAM CITY UNION FINANCE PVT LTD DOOR NO 04-19-48 AND 49 MATTUPALLI COMPLEX 2ND FLOOR GUNTUR COMPLEX 2ND FLOOR GUNTUR GUNTUR ANP 522002"/>
    <s v="NARASARAOPET"/>
    <x v="0"/>
    <x v="37"/>
    <s v="FO050"/>
    <s v="DURGA"/>
    <n v="801723195"/>
    <s v="Sgr@9290"/>
    <s v="UPLOADED"/>
    <m/>
    <x v="1"/>
    <m/>
    <m/>
    <x v="0"/>
    <d v="2024-09-03T00:00:00"/>
    <n v="2000"/>
    <s v="0000000018436654"/>
    <s v="MakeMyTrip ICICI Bank Platinum Credit Card"/>
    <s v="23RD OCT"/>
    <m/>
  </r>
  <r>
    <s v="4748460849325001"/>
    <s v="MR RAVINDER SENAM"/>
    <s v="O"/>
    <x v="13"/>
    <s v="9390901715"/>
    <s v="X"/>
    <n v="-58094.59"/>
    <n v="210000"/>
    <n v="151905.41"/>
    <s v=""/>
    <n v="151905.41"/>
    <n v="143740.79999999999"/>
    <n v="18410"/>
    <n v="8830"/>
    <x v="0"/>
    <x v="0"/>
    <n v="0"/>
    <n v="8830"/>
    <x v="7"/>
    <s v="TC"/>
    <n v="0"/>
    <s v="TL045"/>
    <x v="2"/>
    <s v="TC114"/>
    <x v="0"/>
    <s v="KANNALA BASTHI BELLAMPALLE 1 3 25   100M TO NEW BUSSTAND ADILABAD TNG 504251"/>
    <s v="SBI LIFE INSURANCE COMPANY LIMITED BELLAMPALLY CHOURASTHA SBI LIFE INSURANCE INSURANCE ADILABAD TNG 504208"/>
    <s v="ADILABAD"/>
    <x v="2"/>
    <x v="9"/>
    <s v="FO036"/>
    <s v="K RAMU"/>
    <n v="802898520"/>
    <s v="Ssd@9290"/>
    <s v="UPLOADED"/>
    <m/>
    <x v="0"/>
    <s v="MESS"/>
    <s v="customer given address visit customer not available informed to relatives // customer given address visit customer not available informed to relatives // customer given address visit customer not available informed to relatives, trying by call"/>
    <x v="18"/>
    <d v="2026-04-21T00:00:00"/>
    <n v="6040"/>
    <s v="0000000018469385"/>
    <s v="MakeMyTrip ICICI Bank Platinum Credit Card"/>
    <s v="23RD OCT"/>
    <m/>
  </r>
  <r>
    <s v="4748460859563012"/>
    <s v="MR BUMNI SURESH"/>
    <s v="N"/>
    <x v="13"/>
    <s v="8686273792"/>
    <s v="X"/>
    <n v="-10927.36"/>
    <n v="100000"/>
    <n v="89072.639999999999"/>
    <s v=""/>
    <n v="89072.639999999999"/>
    <n v="78720.649999999994"/>
    <n v="15200"/>
    <n v="6200"/>
    <x v="0"/>
    <x v="2"/>
    <n v="6200"/>
    <n v="0"/>
    <x v="11"/>
    <s v="FE"/>
    <n v="0"/>
    <s v="TL045"/>
    <x v="2"/>
    <s v="TC114"/>
    <x v="1"/>
    <s v="PLOT NO 3-10-206/1 CHANDRA NAGAR N/R MUNNURU KAPU HALL  NR PADMASHALI HIGH SCHOOL NIZAMABAD TNG 503001"/>
    <s v="MAHENDRA ATUO MOTIVES PVT LTD BARDIPUR DICHPALLY   NIZAMABAD TNG 503230"/>
    <s v="NIZAMABAD"/>
    <x v="2"/>
    <x v="26"/>
    <s v="FO043"/>
    <s v="D RAMU"/>
    <n v="802663344"/>
    <s v="Sgr@9290"/>
    <s v="UPLOADED"/>
    <m/>
    <x v="0"/>
    <s v="LIVE"/>
    <s v="Feedback coustomer payment on today evening"/>
    <x v="9"/>
    <d v="2026-01-12T00:00:00"/>
    <n v="4710"/>
    <s v="0000000018549378"/>
    <s v="MakeMyTrip ICICI Bank Platinum Credit Card"/>
    <s v="23RD OCT"/>
    <m/>
  </r>
  <r>
    <s v="4748460908015006"/>
    <s v="MR POTTIGARI LAKSHMI NARAYANA"/>
    <s v="N"/>
    <x v="13"/>
    <s v="9490281122"/>
    <s v="X"/>
    <n v="-2924.9900000000052"/>
    <n v="130000"/>
    <n v="127075.01"/>
    <s v=""/>
    <n v="127075.01"/>
    <n v="118150"/>
    <n v="20450"/>
    <n v="5910"/>
    <x v="1"/>
    <x v="1"/>
    <n v="0"/>
    <n v="5910"/>
    <x v="1"/>
    <s v="NA"/>
    <n v="0"/>
    <s v="TL045"/>
    <x v="1"/>
    <s v="TC003"/>
    <x v="0"/>
    <s v="1-2033 80 PULASUBBAIAH COLONY WARD NO-1 MARKAPUR 1-203B80  BESIDE GOVT SCHOOL NR RAMALAYAM NANDYAL ANP 523316"/>
    <s v="NEHA DRIVING SCHOOL NAIDU STREET 4-494-B NEAR SHIVALAYAM TEMPLE SHIVALAYAM TEMPLE SHIVALAYAM NANDYAL ANP 523316"/>
    <s v="NANDYAL"/>
    <x v="1"/>
    <x v="1"/>
    <s v="FO008"/>
    <s v="DURGA"/>
    <n v="801723195"/>
    <s v="Sgr@9290"/>
    <s v="UPLOADED"/>
    <m/>
    <x v="1"/>
    <m/>
    <m/>
    <x v="0"/>
    <d v="2024-02-17T00:00:00"/>
    <n v="12600"/>
    <s v="0000000018944775"/>
    <s v="MakeMyTrip ICICI Bank Platinum Credit Card"/>
    <s v="23RD OCT"/>
    <m/>
  </r>
  <r>
    <s v="4748460914611004"/>
    <s v="MR SHAIK SHANAWAZ"/>
    <s v="N"/>
    <x v="13"/>
    <s v="9160786108"/>
    <s v="X"/>
    <n v="-50924.240000000005"/>
    <n v="80000"/>
    <n v="29075.759999999998"/>
    <s v=""/>
    <n v="29075.759999999998"/>
    <n v="26000"/>
    <n v="5620"/>
    <n v="1300"/>
    <x v="1"/>
    <x v="1"/>
    <n v="0"/>
    <n v="1300"/>
    <x v="1"/>
    <s v="NA"/>
    <n v="0"/>
    <s v="TL045"/>
    <x v="0"/>
    <s v="TC084"/>
    <x v="0"/>
    <s v="H NO 28/64 MADHAVARAM VILLAGE RAYACHOTY   NEAR JHANDA TEREE CUDDAPAH ANP 516269"/>
    <s v="MAHINDRA FINANCIAL SERVICES LIMITED 64/121-C OPP LAKSHMI THEATRE   CUDDAPAH ANP 516269"/>
    <s v="CUDDAPAH"/>
    <x v="0"/>
    <x v="16"/>
    <s v="FO080"/>
    <s v="Y GANESH"/>
    <n v="802823528"/>
    <s v="Sms@9290"/>
    <s v="UPLOADED"/>
    <m/>
    <x v="0"/>
    <s v="LIVE"/>
    <s v="customer given residency address location visit it's live but customer is not available at home his mother responded, saying that he has shifted from the residency address to another place 4 years back sir called to customer he is not responding to calls sir "/>
    <x v="17"/>
    <d v="2024-07-05T00:00:00"/>
    <n v="10000"/>
    <s v="0000000019009028"/>
    <s v="MakeMyTrip ICICI Bank Platinum Credit Card"/>
    <s v="23RD OCT"/>
    <m/>
  </r>
  <r>
    <s v="4748460916424000"/>
    <s v="MR CHENNOJU NARENDRA CHARY"/>
    <s v="N"/>
    <x v="13"/>
    <s v="9652746224"/>
    <s v="X"/>
    <n v="-51917.22"/>
    <n v="300000"/>
    <n v="248082.78"/>
    <s v=""/>
    <n v="248082.78"/>
    <n v="231400"/>
    <n v="39250"/>
    <n v="11570"/>
    <x v="1"/>
    <x v="1"/>
    <n v="0"/>
    <n v="11570"/>
    <x v="1"/>
    <s v="NA"/>
    <n v="0"/>
    <s v="TL045"/>
    <x v="2"/>
    <s v="TC114"/>
    <x v="0"/>
    <s v="13 174/1/E1/B2 MOHKALWAKURTHY BADEPALLY STN JAOCHERLA  NR PREM GANGA GARDENS N/R AYYAPPA TEMPLE JEDCHERLA TNG 509301"/>
    <s v="VENKATRAMANA TIMBER DEPOT H NO 13 179 KALWAKUTHI ROAD BADEPALLY BADEPALLY JEDCHERLA TNG 509301"/>
    <s v="JEDCHERLA"/>
    <x v="2"/>
    <x v="30"/>
    <s v="FO117"/>
    <s v="SAMBA"/>
    <n v="801772794"/>
    <s v="Ssde@9876"/>
    <s v="UPLOADED"/>
    <m/>
    <x v="0"/>
    <s v="SKIP"/>
    <s v="isited cus given adrs sir cus  not there neighbors told that name person not there sir taken kyc sir kyc details mobile number also not respond the call sir// 4748460916424000"/>
    <x v="17"/>
    <d v="2026-08-07T00:00:00"/>
    <n v="43864"/>
    <s v="0000000019021179"/>
    <s v="MakeMyTrip ICICI Bank Platinum Credit Card"/>
    <s v="23RD OCT"/>
    <m/>
  </r>
  <r>
    <s v="4748460917075009"/>
    <s v="MR DAREDDY SRINIVASULA REDDY"/>
    <s v="O"/>
    <x v="13"/>
    <s v="9490100760"/>
    <s v="X"/>
    <n v="5836.6399999999994"/>
    <n v="80000"/>
    <n v="85836.64"/>
    <s v=""/>
    <n v="85836.64"/>
    <n v="79656.3"/>
    <n v="19510"/>
    <n v="13910"/>
    <x v="1"/>
    <x v="1"/>
    <n v="0"/>
    <n v="13910"/>
    <x v="1"/>
    <s v="NA"/>
    <n v="0"/>
    <s v="TL045"/>
    <x v="0"/>
    <s v="TC084"/>
    <x v="0"/>
    <s v="6-89 OANUDU JATTAJUBDAOAKKU   N/ ELIMINTARY SCHOOL OPP/ HANUMAN TEMPLE ANANTAPUR ANP 515832"/>
    <s v="NSPIRA MANAGEMENT SERVICES PRIVATE LIMITED D NO 17/336 GOVERNMENT SCHOOL LANE THILAK NAGAR GUNTAKAL LANE THILAK NAGAR GUNTAKAL ANANTAPUR ANP 515832"/>
    <s v="ANANTAPUR"/>
    <x v="0"/>
    <x v="6"/>
    <s v="FO011"/>
    <s v="PAVAN"/>
    <n v="802823180"/>
    <s v="Sgr@9290"/>
    <s v="UPLOADED"/>
    <m/>
    <x v="1"/>
    <m/>
    <m/>
    <x v="0"/>
    <d v="2025-11-08T00:00:00"/>
    <n v="61500"/>
    <s v="0000000019024472"/>
    <s v="MakeMyTrip ICICI Bank Platinum Credit Card"/>
    <s v="23RD OCT"/>
    <m/>
  </r>
  <r>
    <s v="4748460928041008"/>
    <s v="MR G GOURI SANKARA KRISHNA"/>
    <s v="O"/>
    <x v="13"/>
    <s v="9000037914"/>
    <s v="X"/>
    <n v="-30.869999999998981"/>
    <n v="30000"/>
    <n v="29969.13"/>
    <s v=""/>
    <n v="29969.13"/>
    <n v="25275.71"/>
    <n v="7410"/>
    <n v="3727"/>
    <x v="1"/>
    <x v="1"/>
    <n v="0"/>
    <n v="3727"/>
    <x v="1"/>
    <s v="NA"/>
    <n v="0"/>
    <s v="TL045"/>
    <x v="3"/>
    <s v="TC126"/>
    <x v="0"/>
    <s v="3H NO 21-4-41/1 B JANARDHANA SWAMI TEMPL DKANDUKUR  NR JANARDHANA SWAMI TEMPLE Prakasam ANP 523105"/>
    <s v="SHREE NARAYANA DATTA DENTAL CLINIC MEDICAL DEPARTMENT SHREE NARAYANA DATA DENTAL CLINIC KANDUKUR DATA DENTAL CLINIC KANDUKUR Prakasam ANP 523105"/>
    <s v="PRAKASAM"/>
    <x v="6"/>
    <x v="24"/>
    <m/>
    <s v="DURGA"/>
    <n v="801723195"/>
    <s v="Sgr@9290"/>
    <s v="UPLOADED"/>
    <m/>
    <x v="1"/>
    <m/>
    <m/>
    <x v="0"/>
    <d v="2026-02-20T00:00:00"/>
    <n v="1400"/>
    <s v="0000000019106910"/>
    <s v="MakeMyTrip ICICI Bank Platinum Credit Card"/>
    <s v="23RD OCT"/>
    <m/>
  </r>
  <r>
    <s v="4748460942599023"/>
    <s v="MR MANOJ KUMAR PAMDNTI"/>
    <s v="N"/>
    <x v="13"/>
    <s v="9093386819"/>
    <s v="X"/>
    <n v="4729.0899999999965"/>
    <n v="80000"/>
    <n v="84729.09"/>
    <s v=""/>
    <n v="84729.09"/>
    <n v="79646.539999999994"/>
    <n v="17930"/>
    <n v="7530"/>
    <x v="1"/>
    <x v="1"/>
    <n v="0"/>
    <n v="7530"/>
    <x v="1"/>
    <s v="NA"/>
    <n v="0"/>
    <s v="TL045"/>
    <x v="3"/>
    <s v="TC126"/>
    <x v="0"/>
    <s v="VENKAJA GIRI POLICE QUARTERS ANANDAPURAM H NO 602  NR SHIVALAYAM NR COURT GUDUR ANP 524132"/>
    <s v="GOV OF ANDHRA PRADESH PANCHAYATTRA DEPARJMV   GUDUR ANP 524101"/>
    <s v="GUDUR"/>
    <x v="5"/>
    <x v="21"/>
    <s v="FO042"/>
    <s v="IMAMVALLI"/>
    <n v="802789320"/>
    <s v="Ssd@9290"/>
    <s v="UPLOADED"/>
    <m/>
    <x v="1"/>
    <m/>
    <m/>
    <x v="0"/>
    <d v="2024-11-30T00:00:00"/>
    <n v="200"/>
    <s v="0000000019286942"/>
    <s v="MakeMyTrip ICICI Bank Platinum Credit Card"/>
    <s v="23RD OCT"/>
    <m/>
  </r>
  <r>
    <s v="4748460964464007"/>
    <s v="MR KOTTURI SRAVAN KUMAR"/>
    <s v="N"/>
    <x v="13"/>
    <s v="9493110209"/>
    <s v="X"/>
    <n v="7618.2899999999936"/>
    <n v="70000"/>
    <n v="77618.289999999994"/>
    <n v="4380.54"/>
    <n v="73237.75"/>
    <n v="65600.33"/>
    <n v="22790"/>
    <n v="8000"/>
    <x v="1"/>
    <x v="1"/>
    <n v="0"/>
    <n v="8000"/>
    <x v="1"/>
    <s v="NA"/>
    <n v="0"/>
    <s v="TL045"/>
    <x v="1"/>
    <s v="TC003"/>
    <x v="0"/>
    <s v="HOUSE NUMBER 2-1-237 JAGITIAL BEHIND MARKET KARIMNAGAR KARIMNAGAR TNG 505327"/>
    <s v="SRI MOBILES T N G O BUILDING THAHSIL CHOWRASTA JAGITIAL JAGITIAL KARIMNAGAR TNG 505327"/>
    <s v="KARIMNAGAR"/>
    <x v="2"/>
    <x v="28"/>
    <s v="FO032"/>
    <s v="SUMANTH"/>
    <n v="802370852"/>
    <s v="Sgr@9290"/>
    <s v="UPLOADED"/>
    <m/>
    <x v="1"/>
    <m/>
    <m/>
    <x v="0"/>
    <d v="2025-02-19T00:00:00"/>
    <n v="20"/>
    <s v="0000000019543709"/>
    <s v="MakeMyTrip ICICI Bank Platinum Credit Card"/>
    <s v="23RD OCT"/>
    <m/>
  </r>
  <r>
    <s v="4748460969736003"/>
    <s v="MR ANDE RAMESH"/>
    <s v="N"/>
    <x v="13"/>
    <s v="9703769235"/>
    <s v="X"/>
    <n v="3682.0400000000009"/>
    <n v="60000"/>
    <n v="63682.04"/>
    <n v="31745.89"/>
    <n v="31936.15"/>
    <n v="27511.61"/>
    <n v="17490"/>
    <n v="7820"/>
    <x v="1"/>
    <x v="1"/>
    <n v="0"/>
    <n v="7820"/>
    <x v="1"/>
    <s v="NA"/>
    <n v="0"/>
    <s v="TL045"/>
    <x v="1"/>
    <s v="TC003"/>
    <x v="0"/>
    <s v="4-49   KARIMNAGAR PEDDAPALLI TNG 505497"/>
    <s v="GOVERNMENT JUNIOR COLLEGE PEDDEMUL, VIKARABAD VIKARABAD SECUNDERABAD TNG 501142"/>
    <s v="PEDDAPALLI"/>
    <x v="2"/>
    <x v="18"/>
    <s v="FO055"/>
    <s v="AKHIL"/>
    <n v="801772792"/>
    <s v="Sgr@9290"/>
    <s v="UPLOADED"/>
    <m/>
    <x v="1"/>
    <m/>
    <m/>
    <x v="0"/>
    <d v="2024-07-02T00:00:00"/>
    <n v="14363.54"/>
    <s v="0000000019606100"/>
    <s v="MakeMyTrip ICICI Bank Platinum Credit Card"/>
    <s v="23RD OCT"/>
    <m/>
  </r>
  <r>
    <s v="4748460987281008"/>
    <s v="MR VEERLA MAHESH"/>
    <s v="N"/>
    <x v="13"/>
    <s v="8897347821"/>
    <s v="X"/>
    <n v="-1410.6999999999971"/>
    <n v="40000"/>
    <n v="38589.300000000003"/>
    <s v=""/>
    <n v="38589.300000000003"/>
    <n v="35000"/>
    <n v="7010"/>
    <n v="1750"/>
    <x v="0"/>
    <x v="0"/>
    <n v="38589.300000000003"/>
    <n v="-36839.300000000003"/>
    <x v="17"/>
    <s v="FE"/>
    <n v="0"/>
    <s v="TL045"/>
    <x v="2"/>
    <s v="TC114"/>
    <x v="0"/>
    <s v="D.NO 5-8 KACHIRAJU GUDEM GANDHI CHOWK ,KHAMMAM NEAR RAMALAYAM KHAMMAM TNG 507003"/>
    <s v="SREE ZOOM DIGITAL COLOUR LAB SHOP NO 9-2-154 BOMMANA CENTRE,KHAMMAM BOMMANA CENTRE,KHAMMAM KHAMMAM TNG 507001"/>
    <s v="KHAMMAM"/>
    <x v="2"/>
    <x v="3"/>
    <s v="FO030"/>
    <s v="CHAITANYA"/>
    <n v="802555024"/>
    <s v="Ssde@9290"/>
    <s v="UPLOADED"/>
    <m/>
    <x v="0"/>
    <m/>
    <m/>
    <x v="0"/>
    <d v="2024-07-11T00:00:00"/>
    <n v="3501.85"/>
    <s v="0000000019815213"/>
    <s v="MakeMyTrip ICICI Bank Platinum Credit Card"/>
    <s v="23RD OCT"/>
    <m/>
  </r>
  <r>
    <s v="4748461017340004"/>
    <s v="MR GANGU REDDY"/>
    <s v="N"/>
    <x v="13"/>
    <s v="9966199975"/>
    <s v="X"/>
    <n v="-35434.239999999998"/>
    <n v="70000"/>
    <n v="34565.760000000002"/>
    <s v=""/>
    <n v="34565.760000000002"/>
    <n v="28559.35"/>
    <n v="8810"/>
    <n v="4820"/>
    <x v="1"/>
    <x v="1"/>
    <n v="0"/>
    <n v="4820"/>
    <x v="1"/>
    <s v="NA"/>
    <n v="0"/>
    <s v="TL045"/>
    <x v="0"/>
    <s v="TC084"/>
    <x v="0"/>
    <s v="8-7, KAPA VEEDI MANAPANDAL  NR OLD MRO OFFICE MAHBOOBNAGAR TNG 509128"/>
    <s v="HARINATHA REDDY MEFICSL AND GENERAL STOR WANAPARTHY RTC COLONY RTC COLONY MAHBOOBNAGAR TNG 509128"/>
    <s v="MAHBOOBNAGAR"/>
    <x v="0"/>
    <x v="35"/>
    <s v="FO066"/>
    <s v="RABBANI"/>
    <n v="802123413"/>
    <s v="Sgr@9290"/>
    <s v="UPLOADED"/>
    <m/>
    <x v="0"/>
    <s v="LIVE"/>
    <s v="customer give ptp on Tuesday  //  customer give ptp on 30"/>
    <x v="3"/>
    <d v="2026-05-06T00:00:00"/>
    <n v="251.7"/>
    <s v="0000000020135141"/>
    <s v="MakeMyTrip ICICI Bank Signature Credit Card"/>
    <s v="23RD OCT"/>
    <m/>
  </r>
  <r>
    <s v="4748461027599003"/>
    <s v="MS SHAKKERA SWAPNA"/>
    <s v="O"/>
    <x v="13"/>
    <s v="7075525417"/>
    <s v="X"/>
    <n v="8297.2200000000012"/>
    <n v="100000"/>
    <n v="108297.22"/>
    <s v=""/>
    <n v="108297.22"/>
    <n v="100467.51"/>
    <n v="31060"/>
    <n v="20820"/>
    <x v="1"/>
    <x v="1"/>
    <n v="0"/>
    <n v="20820"/>
    <x v="1"/>
    <s v="NA"/>
    <n v="0"/>
    <s v="TL045"/>
    <x v="2"/>
    <s v="TC114"/>
    <x v="0"/>
    <s v="1-7-91/1 KOLLAPUR MANDALAM SATHYASAI TAKEES ROAD KOLLAPUR VILLAGE WANAPARTHY TNG 509102"/>
    <s v="HDFC BANK LIMITED H.NO 38-54,GROUND FLOOR,WANAPARTHY   WANAPARTHY TNG 509103"/>
    <s v="WANAPARTHY"/>
    <x v="2"/>
    <x v="38"/>
    <s v="FO109"/>
    <s v="SAMBA"/>
    <n v="801772794"/>
    <s v="Ssde@9876"/>
    <s v="UPLOADED"/>
    <m/>
    <x v="1"/>
    <m/>
    <m/>
    <x v="0"/>
    <d v="2025-09-08T00:00:00"/>
    <n v="2000"/>
    <s v="0000000020219341"/>
    <s v="MakeMyTrip ICICI Bank Platinum Credit Card"/>
    <s v="23RD OCT"/>
    <m/>
  </r>
  <r>
    <s v="4748461051250002"/>
    <s v="MR SHAIK SHAKEER AHMED"/>
    <s v="N"/>
    <x v="13"/>
    <s v="9440529002"/>
    <s v="X"/>
    <n v="2392.570000000007"/>
    <n v="100000"/>
    <n v="102392.57"/>
    <s v=""/>
    <n v="102392.57"/>
    <n v="96576.43"/>
    <n v="19020"/>
    <n v="10049"/>
    <x v="1"/>
    <x v="1"/>
    <n v="0"/>
    <n v="10049"/>
    <x v="1"/>
    <s v="NA"/>
    <n v="0"/>
    <s v="TL045"/>
    <x v="3"/>
    <s v="TC126"/>
    <x v="0"/>
    <s v="28-9-507 VENKATESWARAPURAM NELLORE 100 MTS TO VISWA BHARATI SCHOOL NELLORE ANP 524005"/>
    <s v="GOVERNMENT OF ANDHRA PRADESH ZPP OFFICE,PODALAKUR ROAD, DARGA MITTA,NELLORE DARGA MITTA,NELLORE NELLORE ANP 524003"/>
    <s v="NELLORE"/>
    <x v="5"/>
    <x v="21"/>
    <s v="FO042"/>
    <s v="IMAMVALLI"/>
    <n v="802789320"/>
    <s v="Ssd@9290"/>
    <s v="UPLOADED"/>
    <m/>
    <x v="0"/>
    <s v="LIVE"/>
    <s v=" cm not available sir cm call not answering sir "/>
    <x v="18"/>
    <d v="2024-07-31T00:00:00"/>
    <n v="9001"/>
    <s v="0000000020453378"/>
    <s v="MakeMyTrip ICICI Bank Platinum Credit Card"/>
    <s v="23RD OCT"/>
    <m/>
  </r>
  <r>
    <s v="4748461057144001"/>
    <s v="MR BANAGANAPALLI PRAVEEN"/>
    <s v="N"/>
    <x v="13"/>
    <s v="9700423560"/>
    <s v="X"/>
    <n v="4009.3399999999965"/>
    <n v="80000"/>
    <n v="84009.34"/>
    <s v=""/>
    <n v="84009.34"/>
    <n v="75587.3"/>
    <n v="16970"/>
    <n v="4460"/>
    <x v="1"/>
    <x v="1"/>
    <n v="0"/>
    <n v="4460"/>
    <x v="1"/>
    <s v="NA"/>
    <n v="0"/>
    <s v="TL045"/>
    <x v="0"/>
    <s v="TC084"/>
    <x v="0"/>
    <s v="26/923-35-3 MITTAMADI STREET  CUDDAPAH PRODDATUR ANP 516360"/>
    <s v="THERMOSYSTEM PVT LTD 28 NAGARJUNA HILLS PUNJAGUTTA PUNJAGUTTA HYDERABAD TNG 500082"/>
    <s v="PRODDATUR"/>
    <x v="0"/>
    <x v="23"/>
    <s v="FO124 "/>
    <s v="VSSK PRASAD"/>
    <n v="802349062"/>
    <s v="Ssd@9290"/>
    <s v="UPLOADED"/>
    <m/>
    <x v="1"/>
    <m/>
    <m/>
    <x v="0"/>
    <d v="2024-07-08T00:00:00"/>
    <n v="3870"/>
    <s v="0000000020511900"/>
    <s v="MakeMyTrip ICICI Bank Platinum Credit Card"/>
    <s v="23RD OCT"/>
    <m/>
  </r>
  <r>
    <s v="4748461066077002"/>
    <s v="MR BOLLOJU RAMESH"/>
    <s v="N"/>
    <x v="13"/>
    <s v="9652306861"/>
    <s v="X"/>
    <n v="57995.03"/>
    <n v="170000"/>
    <n v="227995.03"/>
    <n v="132979.20000000001"/>
    <n v="95015.83"/>
    <n v="83402.460000000006"/>
    <n v="32080"/>
    <n v="16510"/>
    <x v="1"/>
    <x v="1"/>
    <n v="0"/>
    <n v="16510"/>
    <x v="1"/>
    <s v="NA"/>
    <n v="0"/>
    <s v="TL045"/>
    <x v="2"/>
    <s v="TC114"/>
    <x v="0"/>
    <s v="1-9-78 SURYAPET HOUSING BOARD COLONY NALGONDA SURYAPET TNG 508213"/>
    <s v="BOLLOJU RAMESH JEWELLERY WORKS HNO.1-9-4/D/0/2 BOPLPURAM SURYAPET SURYAPET SURYAPET TNG 508213"/>
    <s v="SURYAPET"/>
    <x v="2"/>
    <x v="13"/>
    <s v="FO113"/>
    <s v="CHAITANYA"/>
    <n v="802555024"/>
    <s v="Ssde@9290"/>
    <s v="UPLOADED"/>
    <m/>
    <x v="0"/>
    <s v="SKIP"/>
    <s v=" customer shop address customer shop close. customer contact not respond Sir "/>
    <x v="9"/>
    <d v="2024-07-05T00:00:00"/>
    <n v="7343"/>
    <s v="0000000020651966"/>
    <s v="MakeMyTrip ICICI Bank Platinum Credit Card"/>
    <s v="23RD OCT"/>
    <m/>
  </r>
  <r>
    <s v="4748461070083012"/>
    <s v="MR KASHABOINA RAJESH"/>
    <s v="N"/>
    <x v="13"/>
    <s v="7396394089"/>
    <s v="X"/>
    <n v="11769.739999999991"/>
    <n v="130000"/>
    <n v="141769.74"/>
    <s v=""/>
    <n v="141769.74"/>
    <n v="130504.7"/>
    <n v="35080"/>
    <n v="9930"/>
    <x v="1"/>
    <x v="1"/>
    <n v="0"/>
    <n v="9930"/>
    <x v="1"/>
    <s v="NA"/>
    <n v="0"/>
    <s v="TL045"/>
    <x v="1"/>
    <s v="TC003"/>
    <x v="0"/>
    <s v="23-1-34/1 NEWSHAYAMPET  WARANGAL WARANGAL TNG 506001"/>
    <s v="INDUSIND BANK LIMITED B.NO 23-5-45/1 RAC OPP 2ND GATE RAC OPP 2ND GATE WARANGAL TNG 506001"/>
    <s v="WARANGAL"/>
    <x v="2"/>
    <x v="18"/>
    <s v="FO055"/>
    <s v="AKHIL"/>
    <n v="801772792"/>
    <s v="Sgr@9290"/>
    <s v="UPLOADED"/>
    <m/>
    <x v="1"/>
    <m/>
    <m/>
    <x v="0"/>
    <d v="2025-04-08T00:00:00"/>
    <n v="50000"/>
    <s v="0000000020726999"/>
    <s v="MakeMyTrip ICICI Bank Platinum Credit Card"/>
    <s v="23RD OCT"/>
    <m/>
  </r>
  <r>
    <s v="4748461073304019"/>
    <s v="MS NASAM HARI PRIYA"/>
    <s v="N"/>
    <x v="13"/>
    <s v="8499844386"/>
    <s v="X"/>
    <n v="-20210.169999999998"/>
    <n v="130000"/>
    <n v="109789.83"/>
    <s v=""/>
    <n v="109789.83"/>
    <n v="103201.77"/>
    <n v="21330"/>
    <n v="14369"/>
    <x v="1"/>
    <x v="1"/>
    <n v="0"/>
    <n v="14369"/>
    <x v="1"/>
    <s v="NA"/>
    <n v="0"/>
    <s v="TL045"/>
    <x v="0"/>
    <s v="TC084"/>
    <x v="0"/>
    <s v="7/103-1 DEVASAMUDRAM,.,DEVASAMUDRAM, PULLAMPET,MANDAL  NEAR GOVERNMENT SCHOOL CUDDAPAH ANP 516107"/>
    <s v="MICROGREEN TECHNOLOGIES PVT LTD CAPGEMINI MANYATA TECH PARK OUTER RING ROAD NAGAWARA RACHENAHALLI ROAD NAGAWARA RACHENAHALLI BANGALORE KAR 560045"/>
    <s v="CUDDAPAH"/>
    <x v="0"/>
    <x v="16"/>
    <s v="FO080"/>
    <s v="Y GANESH"/>
    <n v="802823528"/>
    <s v="Sms@9290"/>
    <s v="UPLOADED"/>
    <m/>
    <x v="1"/>
    <m/>
    <m/>
    <x v="0"/>
    <d v="2026-04-06T00:00:00"/>
    <n v="18640"/>
    <s v="0000000020772405"/>
    <s v="MakeMyTrip ICICI Bank Platinum Credit Card"/>
    <s v="23RD OCT"/>
    <m/>
  </r>
  <r>
    <s v="4748461080015004"/>
    <s v="MR GAJJALA SRINIVASA REDDY"/>
    <s v="N"/>
    <x v="13"/>
    <s v="9032468105"/>
    <s v="X"/>
    <n v="640.01999999998952"/>
    <n v="200000"/>
    <n v="200640.02"/>
    <s v=""/>
    <n v="200640.02"/>
    <n v="185617.51"/>
    <n v="27370"/>
    <n v="7940.55"/>
    <x v="0"/>
    <x v="2"/>
    <n v="11100"/>
    <n v="-3159.45"/>
    <x v="1"/>
    <s v="NA"/>
    <n v="0"/>
    <s v="TL045"/>
    <x v="1"/>
    <s v="TC003"/>
    <x v="0"/>
    <s v="2-119 NSP COLANY KURCHEDU  PRAKASAM Prakasam ANP 523304"/>
    <s v="HDB FINANCIAL SERVICES LIMITED KOUSTUBAM NILAYAM,SHOP NO-C,D NO-10-1-2B,1ST FLOOR,OPPOSITE CORONATION NO-10-1-2B,1ST FLOOR,OPPOSITE CORONATION NELLORE ANP 524201"/>
    <s v="NELLORE"/>
    <x v="1"/>
    <x v="1"/>
    <s v="FO008"/>
    <s v="DURGA"/>
    <n v="801723195"/>
    <s v="Sgr@9290"/>
    <s v="UPLOADED"/>
    <m/>
    <x v="0"/>
    <m/>
    <m/>
    <x v="0"/>
    <d v="2024-12-13T00:00:00"/>
    <n v="199663"/>
    <s v="0000000020859723"/>
    <s v="MakeMyTrip ICICI Bank Platinum Credit Card"/>
    <s v="23RD OCT"/>
    <m/>
  </r>
  <r>
    <s v="4748461099103015"/>
    <s v="MR KATTA CHANDRA KANTH"/>
    <s v="N"/>
    <x v="13"/>
    <s v="9866866052"/>
    <s v="X"/>
    <n v="6092.9900000000052"/>
    <n v="86000"/>
    <n v="92092.99"/>
    <n v="73030.509999999995"/>
    <n v="19062.48"/>
    <n v="12968.75"/>
    <n v="18280"/>
    <n v="11080"/>
    <x v="1"/>
    <x v="1"/>
    <n v="0"/>
    <n v="11080"/>
    <x v="1"/>
    <s v="NA"/>
    <n v="0"/>
    <s v="TL045"/>
    <x v="2"/>
    <s v="TC114"/>
    <x v="1"/>
    <s v="3-3-400/9 GAYATHRI NAGAR  NEAR SRI VENKATESHWARA KALYANA MANDAPAM NIZAMABAD TNG 503001"/>
    <s v="GANESHA AGENCY SHOP NO 2,GROUND FLOOR,NYALKAL ROAD GANESHA AGENCY,RADIO STAION ROAD,NIZAMAB GANESHA AGENCY,RADIO STAION ROAD,NIZAMAB NIZAMABAD TNG 503001"/>
    <s v="NIZAMABAD"/>
    <x v="2"/>
    <x v="26"/>
    <s v="FO043"/>
    <s v="D RAMU"/>
    <n v="802663344"/>
    <s v="Sgr@9290"/>
    <s v="UPLOADED"/>
    <m/>
    <x v="0"/>
    <s v="LIVE"/>
    <s v="Feedback coustomer payment on 1date"/>
    <x v="9"/>
    <d v="2024-06-08T00:00:00"/>
    <n v="38124.660000000003"/>
    <s v="0000000021180860"/>
    <s v="MakeMyTrip ICICI Bank Platinum Credit Card"/>
    <s v="23RD OCT"/>
    <m/>
  </r>
  <r>
    <s v="4748461101426008"/>
    <s v="MR K SASI KUMAR"/>
    <s v="N"/>
    <x v="13"/>
    <s v="9379797933"/>
    <s v="X"/>
    <n v="168589.11"/>
    <n v="590000"/>
    <n v="758589.11"/>
    <n v="352468.37"/>
    <n v="406120.74"/>
    <n v="365343.13"/>
    <n v="94550"/>
    <n v="39130"/>
    <x v="1"/>
    <x v="1"/>
    <n v="0"/>
    <n v="39130"/>
    <x v="1"/>
    <s v="NA"/>
    <n v="0"/>
    <s v="TL045"/>
    <x v="0"/>
    <s v="TC084"/>
    <x v="0"/>
    <s v="4-97 B C COLONY RAYADURGAM REKULAKUNTA ANANTHAPURAMU ANANTAPUR ANP 515865"/>
    <s v="VIRTUSA CONSULTING SERVICES PRIVATE LIMI SY NO 115,NANAKRAMGUDA VILLAGE SERILINGAMPALLY MANDAL SERILINGAMPALLY MANDAL HYDERABAD TNG 500032"/>
    <s v="ANANTAPUR"/>
    <x v="0"/>
    <x v="6"/>
    <s v="FO011"/>
    <s v="PAVAN"/>
    <n v="802823180"/>
    <s v="Sgr@9290"/>
    <s v="UPLOADED"/>
    <m/>
    <x v="1"/>
    <m/>
    <m/>
    <x v="0"/>
    <d v="2026-09-15T00:00:00"/>
    <n v="6500"/>
    <s v="0000000021206912"/>
    <s v="MakeMyTrip ICICI Bank Platinum Credit Card"/>
    <s v="23RD OCT"/>
    <m/>
  </r>
  <r>
    <s v="4748461153664001"/>
    <s v="MR GORREPATI NANIN KUMAR"/>
    <s v="N"/>
    <x v="13"/>
    <s v="9381564886"/>
    <s v="X"/>
    <n v="-127514.05"/>
    <n v="170000"/>
    <n v="42485.95"/>
    <s v=""/>
    <n v="42485.95"/>
    <n v="41241.51"/>
    <n v="2970"/>
    <n v="100"/>
    <x v="0"/>
    <x v="0"/>
    <n v="42485.95"/>
    <n v="-42385.95"/>
    <x v="17"/>
    <s v="TC"/>
    <n v="0"/>
    <s v="TL045"/>
    <x v="2"/>
    <s v="TC114"/>
    <x v="0"/>
    <s v="HOUSE NUMBER 7-1-130/3 KHAMMAM SAHAKARA NAGAR KHAMMAM KHAMMAM TNG 507002"/>
    <s v="VEER INFRA GROUND FLOOR SUN MOON HIGHTS VIJAYAWADA VIJAYAWADA VIJAYAWADA ANP 520007"/>
    <s v="KHAMMAM"/>
    <x v="2"/>
    <x v="3"/>
    <s v="FO030"/>
    <s v="CHAITANYA"/>
    <n v="802555024"/>
    <s v="Ssde@9290"/>
    <s v="UPLOADED"/>
    <m/>
    <x v="0"/>
    <m/>
    <m/>
    <x v="0"/>
    <d v="2026-09-10T00:00:00"/>
    <n v="6335.74"/>
    <s v="0000000021838666"/>
    <s v="MakeMyTrip ICICI Bank Platinum Credit Card"/>
    <s v="23RD OCT"/>
    <m/>
  </r>
  <r>
    <s v="4748461172979000"/>
    <s v="MR KOLLA PEDDIRAJU"/>
    <s v="O"/>
    <x v="13"/>
    <s v="8886862722"/>
    <s v="X"/>
    <n v="3933.7200000000012"/>
    <n v="60000"/>
    <n v="63933.72"/>
    <s v=""/>
    <n v="63933.72"/>
    <n v="59613.74"/>
    <n v="18330"/>
    <n v="10040"/>
    <x v="1"/>
    <x v="1"/>
    <n v="0"/>
    <n v="10040"/>
    <x v="1"/>
    <s v="NA"/>
    <n v="0"/>
    <s v="TL045"/>
    <x v="3"/>
    <s v="TC126"/>
    <x v="1"/>
    <s v="5-7/6-10/2 CHITTINAGAR K L RAO NAGAR, 6TH LINE KRISHNA VIJAYAWADA ANP 520001"/>
    <s v="OK SILKS H NO 40-1-42 MG ROAD   VIJAYAWADA ANP 520010"/>
    <s v="VIJAYAWADA"/>
    <x v="4"/>
    <x v="7"/>
    <s v="FO123"/>
    <s v="SUDHAKAR"/>
    <n v="802913252"/>
    <s v="Ssd@9290"/>
    <s v="UPLOADED"/>
    <m/>
    <x v="1"/>
    <m/>
    <m/>
    <x v="0"/>
    <d v="2025-04-22T00:00:00"/>
    <n v="21966"/>
    <s v="0000000022063083"/>
    <s v="MakeMyTrip ICICI Bank Platinum Credit Card"/>
    <s v="23RD OCT"/>
    <m/>
  </r>
  <r>
    <s v="4748461183351009"/>
    <s v="MR FAROOQ KHAN"/>
    <s v="N"/>
    <x v="13"/>
    <s v="9553895531"/>
    <s v="X"/>
    <n v="7639.7400000000052"/>
    <n v="100000"/>
    <n v="107639.74"/>
    <s v=""/>
    <n v="107639.74"/>
    <n v="99858.95"/>
    <n v="24790"/>
    <n v="5000"/>
    <x v="1"/>
    <x v="1"/>
    <n v="0"/>
    <n v="5000"/>
    <x v="1"/>
    <s v="NA"/>
    <n v="0"/>
    <s v="TL045"/>
    <x v="2"/>
    <s v="TC114"/>
    <x v="0"/>
    <s v="H NO 1-3-77/44/1 MEDAK VENKATESHWAR COLONY MEDAK MEDAK TNG 502110"/>
    <s v="FIBER BROND BAND NETWORK H NO 9-1-125, REDDYS REFRIGERATOR 2 ND FLOOR, KANCHARI BAZAR,SIDDIPET 2 ND FLOOR, KANCHARI BAZAR,SIDDIPET MEDAK TNG 502103"/>
    <s v="MEDAK"/>
    <x v="2"/>
    <x v="25"/>
    <s v="FO057"/>
    <s v="RAJKUMAR"/>
    <n v="802835406"/>
    <s v="Ssde@9290"/>
    <s v="UPLOADED"/>
    <m/>
    <x v="1"/>
    <m/>
    <m/>
    <x v="0"/>
    <d v="2024-10-10T00:00:00"/>
    <n v="99159.3"/>
    <s v="0000000022185863"/>
    <s v="MakeMyTrip ICICI Bank Platinum Credit Card"/>
    <s v="23RD OCT"/>
    <m/>
  </r>
  <r>
    <s v="4748461185233007"/>
    <s v="MR DONTULA RAVIKIRAN"/>
    <s v="N"/>
    <x v="13"/>
    <s v="9866767177"/>
    <s v="X"/>
    <n v="-301144.83999999997"/>
    <n v="420000"/>
    <n v="118855.16"/>
    <s v=""/>
    <n v="118855.16"/>
    <n v="114727.93"/>
    <n v="38880"/>
    <n v="13691"/>
    <x v="0"/>
    <x v="0"/>
    <n v="40000"/>
    <n v="-26309"/>
    <x v="17"/>
    <s v="FE"/>
    <n v="0"/>
    <s v="TL045"/>
    <x v="2"/>
    <s v="TC114"/>
    <x v="0"/>
    <s v="301/a,3,Vashinavi apt Divyanag,Sathinagar x road NIRMAL Sbi bank NIRMAL TNG 504106"/>
    <s v="VENKATESHWARA MOBILES OLD BUS STOP ROAD,BESIDE GEETHA PRACHAR MANDHIR,NIRMAL,NIRMAL,ADILABAD MANDHIR,NIRMAL,NIRMAL,ADILABAD ADILABAD TNG 504106"/>
    <s v="ADILABAD"/>
    <x v="2"/>
    <x v="22"/>
    <s v="FO056"/>
    <s v="KANTH"/>
    <n v="802794852"/>
    <s v="Ssd@9290"/>
    <s v="UPLOADED"/>
    <m/>
    <x v="0"/>
    <s v="LIVE"/>
    <s v="payment collected 40000/- update confirm Sir "/>
    <x v="12"/>
    <d v="2026-09-08T00:00:00"/>
    <n v="29965.85"/>
    <s v="0000000022226605"/>
    <s v="MakeMyTrip ICICI Bank Signature Credit Card"/>
    <s v="23RD OCT"/>
    <m/>
  </r>
  <r>
    <s v="4748461204164001"/>
    <s v="MR SINGREDDY KARTIK REDDY"/>
    <s v="N"/>
    <x v="13"/>
    <s v="9553444077"/>
    <s v="X"/>
    <n v="470144.03"/>
    <n v="180000"/>
    <n v="650144.03"/>
    <n v="612849.57999999996"/>
    <n v="37294.449999999997"/>
    <n v="31262.28"/>
    <n v="37294.449999999997"/>
    <n v="17090.29"/>
    <x v="0"/>
    <x v="0"/>
    <n v="37294.449999999997"/>
    <n v="-20204.159999999996"/>
    <x v="1"/>
    <s v="NA"/>
    <n v="0"/>
    <s v="TL045"/>
    <x v="2"/>
    <s v="TC114"/>
    <x v="0"/>
    <s v="2-53/1 ELVI  ADILABAD ADILABAD TNG 504102"/>
    <s v="REDDY AQVA WATER PURIFIERS SALES  SERVIC VILLAGE TANOOR MANDAL TANOOR DISTC, NIRMAL BHAINSA ROAD TANOOR DISTC, NIRMAL BHAINSA ROAD ADILABAD TNG 504102"/>
    <s v="ADILABAD"/>
    <x v="2"/>
    <x v="22"/>
    <s v="FO056"/>
    <s v="KANTH"/>
    <n v="802794852"/>
    <s v="Ssd@9290"/>
    <s v="UPLOADED"/>
    <m/>
    <x v="0"/>
    <s v="MESS"/>
    <s v="customer visit home address customer Live present not available customer living at Nizamabad meet her mother inform to mother phone calls not respond  //  customer payment done update confirm Sir "/>
    <x v="16"/>
    <s v=""/>
    <n v="0"/>
    <s v="0000000022399490"/>
    <s v="MakeMyTrip ICICI Bank Platinum Credit Card"/>
    <s v="23RD OCT"/>
    <m/>
  </r>
  <r>
    <s v="4748461211329019"/>
    <s v="MR ADUVALA MANIDEEP"/>
    <s v="N"/>
    <x v="13"/>
    <s v="8985849998"/>
    <s v="X"/>
    <n v="13625.119999999995"/>
    <n v="300000"/>
    <n v="313625.12"/>
    <n v="248567.33"/>
    <n v="65057.79"/>
    <n v="51159.27"/>
    <n v="37880"/>
    <n v="16720"/>
    <x v="1"/>
    <x v="1"/>
    <n v="0"/>
    <n v="16720"/>
    <x v="1"/>
    <s v="NA"/>
    <n v="0"/>
    <s v="TL045"/>
    <x v="1"/>
    <s v="TC003"/>
    <x v="0"/>
    <s v="1-2-230/1 ROAD NO 5,KRISHNA NAGAR,JAGITAL - KARIMNAGAR - KARIMNAGAR TNG 505327"/>
    <s v="HONEY BEES RESTUARANT H NO L16/2 SHOP NO1 AND 2KPHB COLONY MEDICAL CIRCLE NO 24 WEST ZONE COLONY MEDICAL CIRCLE NO 24 WEST ZONE HYDERABAD TNG 500072"/>
    <s v="KARIMNAGAR"/>
    <x v="2"/>
    <x v="28"/>
    <s v="FO032"/>
    <s v="SUMANTH"/>
    <n v="802370852"/>
    <s v="Sgr@9290"/>
    <s v="UPLOADED"/>
    <m/>
    <x v="1"/>
    <m/>
    <m/>
    <x v="0"/>
    <d v="2026-09-09T00:00:00"/>
    <n v="19156.39"/>
    <s v="0000000022480065"/>
    <s v="MakeMyTrip ICICI Bank Platinum Credit Card"/>
    <s v="23RD OCT"/>
    <m/>
  </r>
  <r>
    <s v="4748461222187000"/>
    <s v="MR V CHANDRASHEKHAR"/>
    <s v="N"/>
    <x v="13"/>
    <s v="9666843337"/>
    <s v="X"/>
    <n v="-28222.770000000004"/>
    <n v="100000"/>
    <n v="71777.23"/>
    <n v="9666.84"/>
    <n v="62110.39"/>
    <n v="55892.59"/>
    <n v="13510"/>
    <n v="2728.2"/>
    <x v="0"/>
    <x v="2"/>
    <n v="0"/>
    <n v="2728.2"/>
    <x v="7"/>
    <s v="TC"/>
    <n v="0"/>
    <s v="TL045"/>
    <x v="2"/>
    <s v="TC114"/>
    <x v="0"/>
    <s v="3-161 -  BHOOTH PUR M MAHBOOBNAGAR TNG 509382"/>
    <s v="AMBA BHAVANI MOBILES AND ENTERPRISES HNO 61 62 SAI RAM COMPLEX,NEAR APGVB BANK BHOOTHPUR MAHABUBNAGAR BANK BHOOTHPUR MAHABUBNAGAR MAHBOOBNAGAR TNG 509382"/>
    <s v="MAHBOOBNAGAR"/>
    <x v="2"/>
    <x v="30"/>
    <s v="FO117"/>
    <s v="SAMBA"/>
    <n v="801772794"/>
    <s v="Ssde@9876"/>
    <s v="UPLOADED"/>
    <m/>
    <x v="0"/>
    <s v="MESS"/>
    <s v="cus not at adrs sir _x000a_cus went out side _x000a_cus not respond the call _x000a_inform to his wife sir  // cys ptp next month 5 sir "/>
    <x v="17"/>
    <d v="2025-08-08T00:00:00"/>
    <n v="5151"/>
    <s v="0000000022612248"/>
    <s v="MakeMyTrip ICICI Bank Platinum Credit Card"/>
    <s v="23RD OCT"/>
    <m/>
  </r>
  <r>
    <s v="4748461227610006"/>
    <s v="MR MAHABOOBBASHA SHAIK"/>
    <s v="N"/>
    <x v="13"/>
    <s v="7207171786"/>
    <s v="X"/>
    <n v="-11478.170000000013"/>
    <n v="170000"/>
    <n v="158521.82999999999"/>
    <n v="137623.35"/>
    <n v="20898.48"/>
    <n v="12544.54"/>
    <n v="20898.48"/>
    <n v="9473.5499999999993"/>
    <x v="1"/>
    <x v="1"/>
    <n v="0"/>
    <n v="9473.5499999999993"/>
    <x v="1"/>
    <s v="NA"/>
    <n v="0"/>
    <s v="TL045"/>
    <x v="0"/>
    <s v="TC084"/>
    <x v="0"/>
    <s v="H.NO 4-4-717, NEHRU NAGAR, TIRUPATI, TIRUPATI URBAN, CHITTOR, OPP BRAHMAMGARI TEMPLE. NEAR URDU GOVT SCHOOL TIRUPATHI ANP 517501"/>
    <s v="SK TRADERS 4-1-143F, PATNOOL STREET, NEHRU NAGAR, MAIN RD TIRUPATI, NEAR CHANDU BAKERY, MAIN RD TIRUPATI, NEAR CHANDU BAKERY, TIRUPATHI ANP 517501"/>
    <s v="TIRUPATHI"/>
    <x v="0"/>
    <x v="0"/>
    <s v="FO061"/>
    <s v="S SEKHAR"/>
    <n v="845041675"/>
    <s v="Ssd@9290"/>
    <s v="UPLOADED"/>
    <m/>
    <x v="0"/>
    <s v="LIVE"/>
    <s v=" Remarks: Customer giving office address visit ch tomorrow"/>
    <x v="18"/>
    <d v="2024-12-10T00:00:00"/>
    <n v="26946.720000000001"/>
    <s v="0000000022693446"/>
    <s v="MakeMyTrip ICICI Bank Platinum Credit Card"/>
    <s v="23RD OCT"/>
    <m/>
  </r>
  <r>
    <s v="4748461227926006"/>
    <s v="MR VEJELLA BHARGAV"/>
    <s v="N"/>
    <x v="13"/>
    <s v="9666943989"/>
    <s v="X"/>
    <n v="8365.1199999999953"/>
    <n v="100000"/>
    <n v="108365.12"/>
    <s v=""/>
    <n v="108365.12"/>
    <n v="99994"/>
    <n v="26070"/>
    <n v="5000"/>
    <x v="1"/>
    <x v="1"/>
    <n v="0"/>
    <n v="5000"/>
    <x v="1"/>
    <s v="NA"/>
    <n v="0"/>
    <s v="TL045"/>
    <x v="3"/>
    <s v="TC126"/>
    <x v="1"/>
    <s v="2ND FLOOR  SAI TOWERS KALPANA NAGAR, KANURU NEAR SCOTS SPINE INTERNATIONAL SCHOOL NEAR OPPOSITE MALABAR JEWELLARS VIJAYAWADA ANP 520007"/>
    <s v="BHIMA JEWELLERS MG ROAD, BESIDE GATEWAY HOTEL VIJAYAWADA, VIJAYAWADA, VIJAYAWADA ANP 520010"/>
    <s v="VIJAYAWADA"/>
    <x v="4"/>
    <x v="7"/>
    <s v="FO123"/>
    <s v="SUDHAKAR"/>
    <n v="802913252"/>
    <s v="Ssd@9290"/>
    <s v="UPLOADED"/>
    <m/>
    <x v="1"/>
    <m/>
    <m/>
    <x v="0"/>
    <d v="2024-05-25T00:00:00"/>
    <n v="513.07000000000005"/>
    <s v="0000000022698140"/>
    <s v="MakeMyTrip ICICI Bank Platinum Credit Card"/>
    <s v="23RD OCT"/>
    <m/>
  </r>
  <r>
    <s v="4748461233340002"/>
    <s v="MR GUNDRATHI JAGADEESHWAR GOUD"/>
    <s v="N"/>
    <x v="13"/>
    <s v="9912136801"/>
    <s v="X"/>
    <n v="6697.6900000000023"/>
    <n v="140000"/>
    <n v="146697.69"/>
    <n v="98972.800000000003"/>
    <n v="47724.89"/>
    <n v="37351.089999999997"/>
    <n v="30200"/>
    <n v="15240"/>
    <x v="1"/>
    <x v="1"/>
    <n v="0"/>
    <n v="15240"/>
    <x v="1"/>
    <s v="NA"/>
    <n v="0"/>
    <s v="TL045"/>
    <x v="2"/>
    <s v="TC114"/>
    <x v="0"/>
    <s v="15-2-78/B BANDAMEEDI PALLY  MAHABUBNAGAR MAHBOOBNAGAR TNG 509001"/>
    <s v="AKSHARA TRAVELS H NO 2-78/B BANDAMEEDIPALLY MAHABUBNAGAR MAHABUBNAGAR MAHBOOBNAGAR TNG 509001"/>
    <s v="MAHBOOBNAGAR"/>
    <x v="2"/>
    <x v="30"/>
    <s v="FO117"/>
    <s v="SAMBA"/>
    <n v="801772794"/>
    <s v="Ssde@9876"/>
    <s v="UPLOADED"/>
    <m/>
    <x v="0"/>
    <s v="SKIP"/>
    <s v="cus not there sir _x000a_cus respond the call sir _x000a_cus call back 1 hour sir "/>
    <x v="16"/>
    <d v="2026-09-16T00:00:00"/>
    <n v="1"/>
    <s v="0000000022760603"/>
    <s v="MakeMyTrip ICICI Bank Platinum Credit Card"/>
    <s v="23RD OCT"/>
    <m/>
  </r>
  <r>
    <s v="4748461353071007"/>
    <s v="MR T SAI TEJA"/>
    <s v="O"/>
    <x v="13"/>
    <s v="8179819006"/>
    <s v="X"/>
    <n v="3284.0500000000029"/>
    <n v="70000"/>
    <n v="73284.05"/>
    <n v="17916.830000000002"/>
    <n v="55367.22"/>
    <n v="48772.22"/>
    <n v="21490"/>
    <n v="10120"/>
    <x v="1"/>
    <x v="1"/>
    <n v="0"/>
    <n v="10120"/>
    <x v="1"/>
    <s v="NA"/>
    <n v="0"/>
    <s v="TL045"/>
    <x v="0"/>
    <s v="TC084"/>
    <x v="0"/>
    <s v="4-67/2, SAINILYAM BANK EMPLOYEES COLONY TIRUPATI OPP RAMEE GUEST LINE HOTEL NEAR TIRUMULA HOT CHIPS TIRUPATHI ANP 517501"/>
    <s v="GOVT JUNIOUR COLLEGE PAPANAIDUPETA GOVERNAMENT JUNIOUR COLLEGE PAPANAIDUPETA,TIRUPATI PAPANAIDUPETA,TIRUPATI TIRUPATHI ANP 517526"/>
    <s v="TIRUPATHI"/>
    <x v="0"/>
    <x v="0"/>
    <s v="FO061"/>
    <s v="S SEKHAR"/>
    <n v="845041675"/>
    <s v="Ssd@9290"/>
    <s v="UPLOADED"/>
    <m/>
    <x v="0"/>
    <s v="LIVE"/>
    <s v=" Remarks: Customer giving house address visit ch out off station phone calls answering commitment 30th"/>
    <x v="9"/>
    <d v="2024-08-26T00:00:00"/>
    <n v="970"/>
    <s v="0000000024900376"/>
    <s v="MakeMyTrip ICICI Bank Platinum Credit Card"/>
    <s v="23RD OCT"/>
    <m/>
  </r>
  <r>
    <s v="4748461392473008"/>
    <s v="MR KOLIPAKA SAMPATH"/>
    <s v="N"/>
    <x v="13"/>
    <s v="9912586143"/>
    <s v="X"/>
    <n v="-17102.339999999997"/>
    <n v="60000"/>
    <n v="42897.66"/>
    <s v=""/>
    <n v="42897.66"/>
    <n v="36899.47"/>
    <n v="8280"/>
    <n v="3480"/>
    <x v="0"/>
    <x v="0"/>
    <n v="8280"/>
    <n v="-4800"/>
    <x v="1"/>
    <s v="NA"/>
    <n v="0"/>
    <s v="TL045"/>
    <x v="2"/>
    <s v="TC114"/>
    <x v="0"/>
    <s v="2-7-58/1 THENUGU WADA  KARIMNAGAR PEDDAPALLI TNG 505172"/>
    <s v="KPN DEVELOPERS 2-7-58/2, GROUND FLOOR PEDDAPALLY PEDDAPALLY PEDDAPALLI TNG 505172"/>
    <s v="PEDDAPALLI"/>
    <x v="2"/>
    <x v="39"/>
    <s v="FO082"/>
    <s v="KANTH"/>
    <n v="802794852"/>
    <s v="Ssd@9290"/>
    <s v="UPLOADED"/>
    <m/>
    <x v="0"/>
    <m/>
    <m/>
    <x v="0"/>
    <d v="2025-06-04T00:00:00"/>
    <n v="60000"/>
    <s v="0000000025971390"/>
    <s v="MakeMyTrip ICICI Bank Platinum Credit Card"/>
    <s v="23RD OCT"/>
    <m/>
  </r>
  <r>
    <s v="4748464706060008"/>
    <s v="MS MOKARA VENKATA NAGADEVI"/>
    <s v="N"/>
    <x v="13"/>
    <s v="9000403903"/>
    <s v="X"/>
    <n v="2038.989999999998"/>
    <n v="50000"/>
    <n v="52038.99"/>
    <s v=""/>
    <n v="52038.99"/>
    <n v="47500"/>
    <n v="11120"/>
    <n v="2380"/>
    <x v="1"/>
    <x v="1"/>
    <n v="0"/>
    <n v="2380"/>
    <x v="1"/>
    <s v="NA"/>
    <n v="0"/>
    <s v="TL045"/>
    <x v="3"/>
    <s v="TC126"/>
    <x v="1"/>
    <s v="75-11-93 KARAKATTA NORTH BALA BASKAR NAGAR BAVANIPURAM VIJAYAVADA NEAR BANK CENTER VIJAYAWADA ANP 520012"/>
    <s v="GVT OF AP COLLECTOR CAMP OFFICE COLLECTER CAMP OFFICE VIJAYAVADA PWD GROUND MG ROAD VIJAYAVADA PWD GROUND MG ROAD VIJAYAWADA ANP 520012"/>
    <s v="VIJAYAWADA"/>
    <x v="4"/>
    <x v="7"/>
    <s v="FO123"/>
    <s v="SUDHAKAR"/>
    <n v="802913252"/>
    <s v="Ssd@9290"/>
    <s v="UPLOADED"/>
    <m/>
    <x v="1"/>
    <m/>
    <m/>
    <x v="0"/>
    <d v="2024-05-30T00:00:00"/>
    <n v="49800"/>
    <s v="0000000023372766"/>
    <s v="Chennai Super Kings ICICI Bank Credit Card"/>
    <s v="23RD OCT"/>
    <m/>
  </r>
  <r>
    <s v="4748464707612005"/>
    <s v="MR THATI VARAPRASAD"/>
    <s v="O"/>
    <x v="13"/>
    <s v="9966527257"/>
    <s v="X"/>
    <n v="4191.5499999999884"/>
    <n v="200000"/>
    <n v="204191.55"/>
    <s v=""/>
    <n v="204191.55"/>
    <n v="193903.61"/>
    <n v="48390"/>
    <n v="33120"/>
    <x v="1"/>
    <x v="1"/>
    <n v="0"/>
    <n v="33120"/>
    <x v="1"/>
    <s v="NA"/>
    <n v="0"/>
    <s v="TL045"/>
    <x v="0"/>
    <s v="TC084"/>
    <x v="0"/>
    <s v="1-95 VEDANTAPURAM  NEAR GANGAMMA TEMPLE TIRUPATHI ANP 517501"/>
    <s v="SRI KALYANA CHAKRAVARTI MEMORIAL EDUCATI MALLAMGUNTA RAYALACHERUV ROAD RAYALACHERUV ROAD TIRUPATHI ANP 517502"/>
    <s v="TIRUPATHI"/>
    <x v="0"/>
    <x v="0"/>
    <s v="FO061"/>
    <s v="S SEKHAR"/>
    <n v="845041675"/>
    <s v="Ssd@9290"/>
    <s v="UPLOADED"/>
    <m/>
    <x v="1"/>
    <m/>
    <m/>
    <x v="0"/>
    <d v="2024-12-30T00:00:00"/>
    <n v="60154"/>
    <s v="0000000023470792"/>
    <s v="ICICI Bank Sapphiro Visa Credit Card"/>
    <s v="23RD OCT"/>
    <m/>
  </r>
  <r>
    <s v="4748464715163017"/>
    <s v="MR MARABOINA MAHENDER"/>
    <s v="N"/>
    <x v="13"/>
    <s v="9912396319"/>
    <s v="W"/>
    <n v="-58368.800000000003"/>
    <n v="100000"/>
    <n v="41631.199999999997"/>
    <s v=""/>
    <n v="41631.199999999997"/>
    <n v="39268.85"/>
    <n v="6230"/>
    <n v="4000"/>
    <x v="1"/>
    <x v="1"/>
    <n v="0"/>
    <n v="4000"/>
    <x v="1"/>
    <s v="NA"/>
    <n v="0"/>
    <s v="TL045"/>
    <x v="1"/>
    <s v="TC003"/>
    <x v="0"/>
    <s v="31-3-279 WADDEPALLY SAPTHAGIRI COLONY PHASE-2 WADDEPALLY FILTER BED ROAD WARANGAL TNG 506370"/>
    <s v="GOVT OF TS SECONDARY EDUCATION SECRETARI ZPSS GOPALPUR GOPALPUR GOPALPUR WARANGAL TNG 506356"/>
    <s v="WARANGAL"/>
    <x v="2"/>
    <x v="18"/>
    <s v="FO055"/>
    <s v="AKHIL"/>
    <n v="801772792"/>
    <s v="Sgr@9290"/>
    <s v="UPLOADED"/>
    <m/>
    <x v="1"/>
    <m/>
    <m/>
    <x v="0"/>
    <s v=""/>
    <n v="0"/>
    <s v="0000000024147522"/>
    <s v="Chennai Super Kings ICICI Bank Credit Card"/>
    <s v="23RD OCT"/>
    <m/>
  </r>
  <r>
    <s v="4748464717195009"/>
    <s v="MR RAVIPATI VENKATAKRISHNA"/>
    <s v="N"/>
    <x v="13"/>
    <s v="8332823477"/>
    <s v="X"/>
    <n v="-56800.79"/>
    <n v="82000"/>
    <n v="25199.21"/>
    <n v="15315.56"/>
    <n v="9883.65"/>
    <n v="7488.44"/>
    <n v="9883.65"/>
    <n v="590"/>
    <x v="1"/>
    <x v="1"/>
    <n v="0"/>
    <n v="590"/>
    <x v="1"/>
    <s v="NA"/>
    <n v="0"/>
    <s v="TL045"/>
    <x v="3"/>
    <s v="TC126"/>
    <x v="0"/>
    <s v="16A-8-9/2 YADAV NAGAR TANGELLAMUDI GOVERNMENT HOSPITAL ELURU ANP 534005"/>
    <s v="SAI SWASTA MOTORS 16A/1/136,A, ARUNDATINAGAR, ELURU NR GOVT HIGH SCHOOL ELURU NR GOVT HIGH SCHOOL ELURU ANP 534005"/>
    <s v="ELURU"/>
    <x v="3"/>
    <x v="29"/>
    <s v="FO035"/>
    <s v="BOJJA KRISHNA SAI"/>
    <n v="802663436"/>
    <s v="Sgr@9290"/>
    <s v="UPLOADED"/>
    <m/>
    <x v="1"/>
    <m/>
    <m/>
    <x v="0"/>
    <s v=""/>
    <n v="0"/>
    <s v="0000000024364891"/>
    <s v="Chennai Super Kings ICICI Bank Credit Card"/>
    <s v="23RD OCT"/>
    <m/>
  </r>
  <r>
    <s v="4748464722701015"/>
    <s v="MR MOHAMMAD SUFIAN ALI"/>
    <s v="N"/>
    <x v="13"/>
    <s v="9398889146"/>
    <s v="X"/>
    <n v="360096.31999999995"/>
    <n v="320000"/>
    <n v="680096.32"/>
    <n v="329233.3"/>
    <n v="350863.02"/>
    <n v="332577.09000000003"/>
    <n v="94010"/>
    <n v="25920"/>
    <x v="0"/>
    <x v="0"/>
    <n v="199000"/>
    <n v="-173080"/>
    <x v="1"/>
    <s v="NA"/>
    <n v="0"/>
    <s v="TL045"/>
    <x v="3"/>
    <s v="TC126"/>
    <x v="0"/>
    <s v="H.NO.7-164 CHINTALAPUDI MANDAL MUSLIM STREET NEAR URDU SCHOOL ELURU ANP 534460"/>
    <s v="LIFE INSURANCE CORPORATION OF INDIAPLICA 19-136/2 GANTAVARI VEEDHI MAIN RD CHINTALPUDI CHINTALPUDI ELURU ANP 534460"/>
    <s v="ELURU"/>
    <x v="3"/>
    <x v="40"/>
    <m/>
    <s v="BOJJA KRISHNA SAI"/>
    <n v="802663436"/>
    <s v="Sgr@9290"/>
    <s v="UPLOADED"/>
    <m/>
    <x v="0"/>
    <m/>
    <m/>
    <x v="0"/>
    <d v="2024-07-01T00:00:00"/>
    <n v="169309.8"/>
    <s v="0000000024971612"/>
    <s v="Chennai Super Kings ICICI Bank Credit Card"/>
    <s v="23RD OCT"/>
    <m/>
  </r>
  <r>
    <s v="4748464724255002"/>
    <s v="MR KUKKAPALLI NAGARJUNA"/>
    <s v="N"/>
    <x v="13"/>
    <s v="8341783231"/>
    <s v="X"/>
    <n v="-176669.97"/>
    <n v="270000"/>
    <n v="93330.03"/>
    <n v="57276.21"/>
    <n v="36053.82"/>
    <n v="32052.54"/>
    <n v="36053.82"/>
    <n v="15613.06"/>
    <x v="1"/>
    <x v="1"/>
    <n v="0"/>
    <n v="15613.06"/>
    <x v="1"/>
    <s v="NA"/>
    <n v="0"/>
    <s v="TL045"/>
    <x v="1"/>
    <s v="TC003"/>
    <x v="0"/>
    <s v="4-1-877/58 BC COLONY  KARIMNAGAR KARIMNAGAR TNG 505326"/>
    <s v="ACCENTURE SOLUTIONS PRIVATE LIMITED SURVEY NO 115,WAVE ROCKS BUILDING, NANAKARAMGUDA,HYDERABAD NANAKARAMGUDA,HYDERABAD HYDERABAD TNG 500032"/>
    <s v="KARIMNAGAR"/>
    <x v="2"/>
    <x v="28"/>
    <s v="FO032"/>
    <s v="SUMANTH"/>
    <n v="802370852"/>
    <s v="Sgr@9290"/>
    <s v="UPLOADED"/>
    <m/>
    <x v="1"/>
    <m/>
    <m/>
    <x v="0"/>
    <d v="2024-07-15T00:00:00"/>
    <n v="50000"/>
    <s v="0000000025080523"/>
    <s v="Chennai Super Kings ICICI Bank Credit Card"/>
    <s v="23RD OCT"/>
    <m/>
  </r>
  <r>
    <s v="4748464724809006"/>
    <s v="MR GADDAM PRASHANTH"/>
    <s v="O"/>
    <x v="13"/>
    <s v="9010676656"/>
    <s v="X"/>
    <n v="296433.14"/>
    <n v="210000"/>
    <n v="506433.14"/>
    <n v="359801.03"/>
    <n v="146632.10999999999"/>
    <n v="136325.68"/>
    <n v="68450"/>
    <n v="33720"/>
    <x v="1"/>
    <x v="1"/>
    <n v="0"/>
    <n v="33720"/>
    <x v="1"/>
    <s v="NA"/>
    <n v="0"/>
    <s v="TL045"/>
    <x v="1"/>
    <s v="TC003"/>
    <x v="0"/>
    <s v="2-77, RAYAPARTHY MANDAL  WARANGAL WARANGAL TNG 506314"/>
    <s v="DEPARTMENT OF POSTAL 2-43 RAYAPARTHY WARANGAL WARANGAL WARANGAL TNG 506314"/>
    <s v="WARANGAL"/>
    <x v="2"/>
    <x v="18"/>
    <s v="FO055"/>
    <s v="AKHIL"/>
    <n v="801772792"/>
    <s v="Sgr@9290"/>
    <s v="UPLOADED"/>
    <m/>
    <x v="0"/>
    <s v="SKIP"/>
    <s v="Cust not available cust staying in hyd and no respond to calls will update "/>
    <x v="17"/>
    <d v="2026-07-09T00:00:00"/>
    <n v="100000"/>
    <s v="0000000025151411"/>
    <s v="Chennai Super Kings ICICI Bank Credit Card"/>
    <s v="23RD OCT"/>
    <m/>
  </r>
  <r>
    <s v="4748464729840006"/>
    <s v="MR SURE SUBBA RAO"/>
    <s v="O"/>
    <x v="13"/>
    <s v="9494841390"/>
    <s v="X"/>
    <n v="1.8099999999976717"/>
    <n v="35000"/>
    <n v="35001.81"/>
    <s v=""/>
    <n v="35001.81"/>
    <n v="30354"/>
    <n v="8990"/>
    <n v="4910"/>
    <x v="1"/>
    <x v="1"/>
    <n v="0"/>
    <n v="4910"/>
    <x v="1"/>
    <s v="NA"/>
    <n v="0"/>
    <s v="TL045"/>
    <x v="1"/>
    <s v="TC003"/>
    <x v="0"/>
    <s v="PLAT NO 4 NEAR ST MARY HIGH SCHOOL NARASARAOPET BIBLE CHURCH SRI SAI GREEN FIELDS NARASAPURAM ANP 522603"/>
    <s v="ASIAN CHRISTIAN HIGH SCHOOL ASIAN CHRISTIAN HIGH SCHOOL UPPALAPADU ROAD, NARSARAOPET UPPALAPADU ROAD, NARSARAOPET GUNTUR ANP 522601"/>
    <s v="NARASARAOPET"/>
    <x v="1"/>
    <x v="37"/>
    <s v="FO050"/>
    <s v="DURGA"/>
    <n v="801723195"/>
    <s v="Sgr@9290"/>
    <s v="UPLOADED"/>
    <m/>
    <x v="1"/>
    <m/>
    <m/>
    <x v="0"/>
    <d v="2024-11-30T00:00:00"/>
    <n v="41534.39"/>
    <s v="0000000025581454"/>
    <s v="Chennai Super Kings ICICI Bank Credit Card"/>
    <s v="23RD OCT"/>
    <m/>
  </r>
  <r>
    <s v="4748464733959008"/>
    <s v="MR PALIKOJU SHASHIKUMAR"/>
    <s v="N"/>
    <x v="13"/>
    <s v="7396890064"/>
    <s v="X"/>
    <n v="-33537.14"/>
    <n v="120000"/>
    <n v="86462.86"/>
    <s v=""/>
    <n v="86462.86"/>
    <n v="79907.259999999995"/>
    <n v="14210"/>
    <n v="3850"/>
    <x v="1"/>
    <x v="1"/>
    <n v="0"/>
    <n v="3850"/>
    <x v="1"/>
    <s v="NA"/>
    <n v="0"/>
    <s v="TL045"/>
    <x v="1"/>
    <s v="TC003"/>
    <x v="0"/>
    <s v="45-12-9 GORREKUNTA GAREEB NAGAR WARANGAL URBAN WARANGAL TNG 506013"/>
    <s v="CITY MAN FASHIONS 8-9-34,JPN ROAD CHOWRASTA WARANGAL WARANGAL WARANGAL TNG 506002"/>
    <s v="WARANGAL"/>
    <x v="2"/>
    <x v="18"/>
    <s v="FO055"/>
    <s v="AKHIL"/>
    <n v="801772792"/>
    <s v="Sgr@9290"/>
    <s v="UPLOADED"/>
    <m/>
    <x v="0"/>
    <s v="SKIP"/>
    <s v="Customer not available and no respond to calls will update  // Visited to cust second address Cust not available and no respond to calls // House door locked and cust no respond to calls "/>
    <x v="18"/>
    <d v="2024-12-06T00:00:00"/>
    <n v="48000"/>
    <s v="0000000026256659"/>
    <s v="Chennai Super Kings ICICI Bank Credit Card"/>
    <s v="23RD OCT"/>
    <m/>
  </r>
  <r>
    <s v="4748464734272005"/>
    <s v="MR DOPPALAPUDI MANIKANTA"/>
    <s v="O"/>
    <x v="13"/>
    <s v="9949292542"/>
    <s v="X"/>
    <n v="1396.4199999999983"/>
    <n v="50000"/>
    <n v="51396.42"/>
    <n v="14911.33"/>
    <n v="36485.089999999997"/>
    <n v="33240.269999999997"/>
    <n v="17210"/>
    <n v="6970"/>
    <x v="1"/>
    <x v="1"/>
    <n v="0"/>
    <n v="6970"/>
    <x v="1"/>
    <s v="NA"/>
    <n v="0"/>
    <s v="TL045"/>
    <x v="1"/>
    <s v="TC003"/>
    <x v="0"/>
    <s v="1-271 PARAGATICHERLA  GUNTUR NARASAPURAM ANP 522603"/>
    <s v="VASAVI JUNIOR COLLEGE 11-14-5/1ST FLOOR,ARUNDELPET RAMIREDDY PET,NEAR OLD BHASYAM SCHOOL RO RAMIREDDY PET,NEAR OLD BHASYAM SCHOOL RO GUNTUR ANP 522601"/>
    <s v="NARASARAOPET"/>
    <x v="1"/>
    <x v="37"/>
    <s v="FO050"/>
    <s v="DURGA"/>
    <n v="801723195"/>
    <s v="Sgr@9290"/>
    <s v="UPLOADED"/>
    <m/>
    <x v="1"/>
    <m/>
    <m/>
    <x v="0"/>
    <d v="2025-01-20T00:00:00"/>
    <n v="47400"/>
    <s v="0000000026350591"/>
    <s v="ICICI Bank Coral RuPay Credit Card"/>
    <s v="23RD OCT"/>
    <m/>
  </r>
  <r>
    <s v="4748464735531011"/>
    <s v="MS KAISHARLA DURGADEVI"/>
    <s v="O"/>
    <x v="13"/>
    <s v="9347118892"/>
    <s v="X"/>
    <n v="647028.02"/>
    <n v="180000"/>
    <n v="827028.02"/>
    <n v="739041.55"/>
    <n v="87986.47"/>
    <n v="78463.75"/>
    <n v="86230"/>
    <n v="42780"/>
    <x v="1"/>
    <x v="1"/>
    <n v="0"/>
    <n v="42780"/>
    <x v="1"/>
    <s v="NA"/>
    <n v="0"/>
    <s v="TL045"/>
    <x v="3"/>
    <s v="TC126"/>
    <x v="0"/>
    <s v="8-83 ROWTHULAPUDI KOTA STREET EAST GODAVARI KAKINADA ANP 533446"/>
    <s v="HDB FINANCIAL SERVICES LIMITED SYNO 2/139 GROUNDFLOOR BURRAKATHAMASTER MAIN RD ANNAVARAM NEAR KANAKS DURGA TEMP MAIN RD ANNAVARAM NEAR KANAKS DURGA TEMP KAKINADA ANP 533406"/>
    <s v="KAKINADA"/>
    <x v="3"/>
    <x v="41"/>
    <m/>
    <s v="UDAY"/>
    <n v="801436997"/>
    <s v="Ssd@9290"/>
    <s v="UPLOADED"/>
    <m/>
    <x v="1"/>
    <m/>
    <m/>
    <x v="0"/>
    <d v="2026-06-21T00:00:00"/>
    <n v="42355"/>
    <s v="0000000026600301"/>
    <s v="ICICI Bank Coral RuPay Credit Card"/>
    <s v="23RD OCT"/>
    <m/>
  </r>
  <r>
    <s v="4748464738006003"/>
    <s v="MR VENNA SANDEEP"/>
    <s v="N"/>
    <x v="13"/>
    <s v="9700154772"/>
    <s v="X"/>
    <n v="14422.98000000001"/>
    <n v="190000"/>
    <n v="204422.98"/>
    <n v="13011.52"/>
    <n v="191411.46"/>
    <n v="180127.71"/>
    <n v="60190"/>
    <n v="42180"/>
    <x v="1"/>
    <x v="1"/>
    <n v="0"/>
    <n v="42180"/>
    <x v="1"/>
    <s v="NA"/>
    <n v="0"/>
    <s v="TL045"/>
    <x v="1"/>
    <s v="TC003"/>
    <x v="0"/>
    <s v="H.NO. 2-98/9-B-1 GHANPUR STATION VIDYANAGAR COLONY WARANGAL WARANGAL TNG 506143"/>
    <s v="WIPRO LIMITED ALSO WIPRO TECHNOLOGIES SYNO.203,115/1ISB ROADFINANCIALDISTRICT GACHIBOWLI,NANAKARAMGUDA,HYD GACHIBOWLI,NANAKARAMGUDA,HYD HYDERABAD TNG 500032"/>
    <s v="WARANGAL"/>
    <x v="2"/>
    <x v="18"/>
    <s v="FO055"/>
    <s v="AKHIL"/>
    <n v="801772792"/>
    <s v="Sgr@9290"/>
    <s v="UPLOADED"/>
    <m/>
    <x v="1"/>
    <m/>
    <m/>
    <x v="0"/>
    <d v="2025-10-09T00:00:00"/>
    <n v="191500"/>
    <s v="0000000027097856"/>
    <s v="Chennai Super Kings ICICI Bank Credit Card"/>
    <s v="23RD OCT"/>
    <m/>
  </r>
  <r>
    <s v="4748464741263005"/>
    <s v="MR RAGIPATI SREENIVASULU"/>
    <s v="N"/>
    <x v="13"/>
    <s v="7989885216"/>
    <s v="X"/>
    <n v="-10215.779999999999"/>
    <n v="80000"/>
    <n v="69784.22"/>
    <s v=""/>
    <n v="69784.22"/>
    <n v="64711.31"/>
    <n v="12510"/>
    <n v="7418"/>
    <x v="1"/>
    <x v="1"/>
    <n v="0"/>
    <n v="7418"/>
    <x v="1"/>
    <s v="NA"/>
    <n v="0"/>
    <s v="TL045"/>
    <x v="3"/>
    <s v="TC126"/>
    <x v="0"/>
    <s v="ARUNDHATHIWADA,CHERLOPALLI POST,JOREPALL E,  MAIN ROAD GUDUR ANP 524408"/>
    <s v="ADROIT GLOBAL PERSONNEL SERVICES PVT LTD 2ND FLOOR,S NO.- 24 MARKET OLD RAJENDRA NAGAR,NEW DELHI CENTRAL DELHI , NAGAR,NEW DELHI CENTRAL DELHI , DELHI DEL 110060"/>
    <s v="GUDUR"/>
    <x v="5"/>
    <x v="21"/>
    <s v="FO042"/>
    <s v="IMAMVALLI"/>
    <n v="802789320"/>
    <s v="Ssd@9290"/>
    <s v="UPLOADED"/>
    <m/>
    <x v="1"/>
    <m/>
    <m/>
    <x v="0"/>
    <d v="2026-10-13T00:00:00"/>
    <n v="27282"/>
    <s v="0000000027843014"/>
    <s v="Chennai Super Kings ICICI Bank Credit Card"/>
    <s v="23RD OCT"/>
    <m/>
  </r>
  <r>
    <s v="4748464742044008"/>
    <s v="MR PONATH UNNI KRISHNA"/>
    <s v="N"/>
    <x v="13"/>
    <s v="9703014102"/>
    <s v="X"/>
    <n v="12206.100000000006"/>
    <n v="120000"/>
    <n v="132206.1"/>
    <s v=""/>
    <n v="132206.1"/>
    <n v="119838.71"/>
    <n v="31290"/>
    <n v="10080"/>
    <x v="1"/>
    <x v="1"/>
    <n v="0"/>
    <n v="10080"/>
    <x v="1"/>
    <s v="NA"/>
    <n v="0"/>
    <s v="TL045"/>
    <x v="3"/>
    <s v="TC126"/>
    <x v="1"/>
    <s v="D NO 70-6-32 FLAT NO 301 SR GRAND APPART DEVI LITTEL PUBLIC SCHOL ROAD PATAMATA VIJAYAWADA AP NEAR NSM SCHOOL ND DEVI PUBLIC SCHOOL VIJAYAWADA ANP 520010"/>
    <s v="S S AUTOMOBILES D NO 2/47 ATAPAKA KAIKALURU GUDIVADA AP KAIKALURU GUDIVADA AP GUDIVADA ANP 521333"/>
    <s v="VIJAYAWADA"/>
    <x v="4"/>
    <x v="7"/>
    <s v="FO123"/>
    <s v="SUDHAKAR"/>
    <n v="802913252"/>
    <s v="Ssd@9290"/>
    <s v="UPLOADED"/>
    <m/>
    <x v="1"/>
    <m/>
    <m/>
    <x v="0"/>
    <d v="2026-06-19T00:00:00"/>
    <n v="2800"/>
    <s v="0000000027963326"/>
    <s v="ICICI Bank Coral RuPay Credit Card"/>
    <s v="23RD OCT"/>
    <m/>
  </r>
  <r>
    <s v="4748464742760009"/>
    <s v="MR SHAIK KHALEEL PASHA"/>
    <s v="N"/>
    <x v="13"/>
    <s v="9505939533"/>
    <s v="X"/>
    <n v="-20827.339999999997"/>
    <n v="113000"/>
    <n v="92172.66"/>
    <s v=""/>
    <n v="92172.66"/>
    <n v="80431.539999999994"/>
    <n v="17220"/>
    <n v="8780"/>
    <x v="0"/>
    <x v="0"/>
    <n v="18000"/>
    <n v="-9220"/>
    <x v="12"/>
    <s v="TC"/>
    <n v="0"/>
    <s v="TL045"/>
    <x v="1"/>
    <s v="TC003"/>
    <x v="0"/>
    <s v="3-57 NARSAMPET MANDAL   WARANGAL TNG 506331"/>
    <s v="COOPERATIVE DEVELOPMENT FOUNDATION SY NO 702,LAKBEPALLE,NARSAMPET WARANGAL,NEAR GRAMAPANCHAYITHI WARANGAL,NEAR GRAMAPANCHAYITHI WARANGAL TNG 506331"/>
    <s v="WARANGAL"/>
    <x v="2"/>
    <x v="18"/>
    <s v="FO055"/>
    <s v="AKHIL"/>
    <n v="801772792"/>
    <s v="Sgr@9290"/>
    <s v="UPLOADED"/>
    <m/>
    <x v="0"/>
    <m/>
    <m/>
    <x v="0"/>
    <s v=""/>
    <n v="0"/>
    <s v="0000000028043241"/>
    <s v="Chennai Super Kings ICICI Bank Credit Card"/>
    <s v="23RD OCT"/>
    <m/>
  </r>
  <r>
    <s v="4748464742771006"/>
    <s v="MR DARA PRASAD"/>
    <s v="O"/>
    <x v="13"/>
    <s v="9542217675"/>
    <s v="X"/>
    <n v="15092.98000000001"/>
    <n v="119000"/>
    <n v="134092.98000000001"/>
    <s v=""/>
    <n v="134092.98000000001"/>
    <n v="118880"/>
    <n v="40530"/>
    <n v="26350"/>
    <x v="1"/>
    <x v="1"/>
    <n v="0"/>
    <n v="26350"/>
    <x v="1"/>
    <s v="NA"/>
    <n v="0"/>
    <s v="TL045"/>
    <x v="2"/>
    <s v="TC114"/>
    <x v="0"/>
    <s v="H NO 3-71/A KESHAVAPURAM KESHAVAPURAM  SURYAPET TNG 508234"/>
    <s v="PRASAD DIGITAL STUDIO H NO -1-8-75/12/4/A BHAGAT SINGH NAGAR SURYAPET TELANGANA SURYAPET TELANGANA SURYAPET TNG 508234"/>
    <s v="SURYAPET"/>
    <x v="2"/>
    <x v="13"/>
    <s v="FO113"/>
    <s v="CHAITANYA"/>
    <n v="802555024"/>
    <s v="Ssde@9290"/>
    <s v="UPLOADED"/>
    <m/>
    <x v="0"/>
    <s v="LIVE"/>
    <s v="customer parmat address in live customer wife customer contact 7th PTP Sir "/>
    <x v="3"/>
    <d v="2025-07-21T00:00:00"/>
    <n v="130"/>
    <s v="0000000028043952"/>
    <s v="Chennai Super Kings ICICI Bank Credit Card"/>
    <s v="23RD OCT"/>
    <m/>
  </r>
  <r>
    <s v="4748464746223004"/>
    <s v="MR SHAIK FAYAZ AHMED"/>
    <s v="N"/>
    <x v="13"/>
    <s v="9866608615"/>
    <s v="X"/>
    <n v="8628.8800000000047"/>
    <n v="100000"/>
    <n v="108628.88"/>
    <n v="3527.44"/>
    <n v="105101.44"/>
    <n v="91050.43"/>
    <n v="27680"/>
    <n v="11890"/>
    <x v="1"/>
    <x v="1"/>
    <n v="0"/>
    <n v="11890"/>
    <x v="1"/>
    <s v="NA"/>
    <n v="0"/>
    <s v="TL045"/>
    <x v="0"/>
    <s v="TC084"/>
    <x v="0"/>
    <s v="32-57 MADERE STREET  NEAR ONE TOWN KURNOOL ANP 518001"/>
    <s v="FAYAZ AND BROTHERS FANCY DIE WORKS SHOP NO 52/2 UPSTAIRS OLD BUS STAND OLD BUS STAND KURNOOL ANP 518001"/>
    <s v="KURNOOL"/>
    <x v="0"/>
    <x v="35"/>
    <s v="FO066"/>
    <s v="RABBANI"/>
    <n v="802123413"/>
    <s v="Sgr@9290"/>
    <s v="UPLOADED"/>
    <m/>
    <x v="0"/>
    <s v="LIVE"/>
    <s v="Customer out of station.not visited again sir // customer not available he is out of station.not responding for calls . visit again // customer not available give ptp by phone "/>
    <x v="17"/>
    <d v="2024-07-05T00:00:00"/>
    <n v="98000"/>
    <s v="0000000028688695"/>
    <s v="ICICI Bank Coral American Express Credit Card"/>
    <s v="23RD OCT"/>
    <m/>
  </r>
  <r>
    <s v="4748464747914007"/>
    <s v="MR KOTA SREEHARI"/>
    <s v="N"/>
    <x v="13"/>
    <s v="9966452610"/>
    <s v="X"/>
    <n v="-14334.279999999999"/>
    <n v="49000"/>
    <n v="34665.72"/>
    <n v="18072.849999999999"/>
    <n v="16592.87"/>
    <n v="13172.87"/>
    <n v="12560"/>
    <n v="6070"/>
    <x v="0"/>
    <x v="2"/>
    <n v="6070"/>
    <n v="0"/>
    <x v="1"/>
    <s v="NA"/>
    <n v="0"/>
    <s v="TL045"/>
    <x v="0"/>
    <s v="TC084"/>
    <x v="0"/>
    <s v="4-1-565 BADVEL MUNCIPALITY FATHIMA NAGAR  CUDDAPAH ANP 516227"/>
    <s v="RRR FASHIONS SHOP NO 7 BADVEL BADVEL CUDDAPAH ANP 516227"/>
    <s v="CUDDAPAH"/>
    <x v="0"/>
    <x v="16"/>
    <s v="FO080"/>
    <s v="Y GANESH"/>
    <n v="802823528"/>
    <s v="Sms@9290"/>
    <s v="UPLOADED"/>
    <m/>
    <x v="0"/>
    <m/>
    <m/>
    <x v="0"/>
    <d v="2023-12-06T00:00:00"/>
    <n v="589"/>
    <s v="0000000028986605"/>
    <s v="ICICI Bank Coral RuPay Credit Card"/>
    <s v="23RD OCT"/>
    <m/>
  </r>
  <r>
    <s v="4748464748494009"/>
    <s v="MR DUBBAKA PARAMESH"/>
    <s v="N"/>
    <x v="13"/>
    <s v="9989349162"/>
    <s v="X"/>
    <n v="35465.070000000007"/>
    <n v="150000"/>
    <n v="185465.07"/>
    <n v="24106.91"/>
    <n v="161358.16"/>
    <n v="145973.32999999999"/>
    <n v="42000"/>
    <n v="12430"/>
    <x v="0"/>
    <x v="0"/>
    <n v="50000"/>
    <n v="-37570"/>
    <x v="11"/>
    <s v="TC"/>
    <n v="0"/>
    <s v="TL045"/>
    <x v="2"/>
    <s v="TC114"/>
    <x v="0"/>
    <s v="1-240 NALGONDA MANDALAM  DUBBAKAGUDEM NALGONDA TNG 508004"/>
    <s v="MANIKANTA ENTERPRISES 14-2-20/1 SANTHOSH NAGAR GUNDLAPALLY ROAD SANTHOSH NAGAR GUNDLAPALLY ROAD NALGONDA TNG 508001"/>
    <s v="NALGONDA"/>
    <x v="2"/>
    <x v="27"/>
    <s v="FO131"/>
    <s v="B SRIKANTH"/>
    <n v="803037151"/>
    <s v="Ssde@9290"/>
    <s v="UPLOADED"/>
    <m/>
    <x v="0"/>
    <s v="LIVE"/>
    <s v="customer shop adress visit and customer prasent going to village and customer ptp on Tuesday"/>
    <x v="12"/>
    <d v="2024-07-06T00:00:00"/>
    <n v="9875.4599999999991"/>
    <s v="0000000029024416"/>
    <s v="Chennai Super Kings ICICI Bank Credit Card"/>
    <s v="23RD OCT"/>
    <m/>
  </r>
  <r>
    <s v="4748464748647002"/>
    <s v="MR AKINAPALLY RAJASHEKAR"/>
    <s v="N"/>
    <x v="13"/>
    <s v="9959787970"/>
    <s v="X"/>
    <n v="13875.510000000009"/>
    <n v="160000"/>
    <n v="173875.51"/>
    <s v=""/>
    <n v="173875.51"/>
    <n v="156999"/>
    <n v="40010"/>
    <n v="15670"/>
    <x v="1"/>
    <x v="1"/>
    <n v="0"/>
    <n v="15670"/>
    <x v="1"/>
    <s v="NA"/>
    <n v="0"/>
    <s v="TL045"/>
    <x v="1"/>
    <s v="TC003"/>
    <x v="0"/>
    <s v="1-7 NARSAMPET MANDAL POCHAMMA STREET  WARANGAL TNG 506132"/>
    <s v="KAKATHIYA HIGH SCHOOL KAKATHIYA HIGH SCHOOL NARSAMPET MANDAL WARANGAL WARANGAL WARANGAL TNG 506132"/>
    <s v="WARANGAL"/>
    <x v="2"/>
    <x v="18"/>
    <s v="FO055"/>
    <s v="AKHIL"/>
    <n v="801772792"/>
    <s v="Sgr@9290"/>
    <s v="UPLOADED"/>
    <m/>
    <x v="1"/>
    <m/>
    <m/>
    <x v="0"/>
    <d v="2026-07-20T00:00:00"/>
    <n v="67001"/>
    <s v="0000000029035762"/>
    <s v="Chennai Super Kings ICICI Bank Credit Card"/>
    <s v="23RD OCT"/>
    <m/>
  </r>
  <r>
    <s v="4748464749135007"/>
    <s v="MR B SRINIVASA RAO"/>
    <s v="N"/>
    <x v="13"/>
    <s v="9494006747"/>
    <s v="X"/>
    <n v="-1546.8999999999942"/>
    <n v="120000"/>
    <n v="118453.1"/>
    <n v="92939.53"/>
    <n v="25513.57"/>
    <n v="17254.650000000001"/>
    <n v="16300"/>
    <n v="8140"/>
    <x v="1"/>
    <x v="1"/>
    <n v="0"/>
    <n v="8140"/>
    <x v="1"/>
    <s v="NA"/>
    <n v="0"/>
    <s v="TL045"/>
    <x v="3"/>
    <s v="TC126"/>
    <x v="1"/>
    <s v="H NO 59-3-8, MAGALRAJPURAM ASHOKNAGAR, RD NO 2,VIJAYAWADA, AP NEAR SIDHARTHA COLLEGE VIJAYAWADA ANP 520010"/>
    <s v="QUALITY HOTEL D V MANOR D NO 40-1-41, LABBIPETA, VIJAYAWADA, ANDHRA PRADESH LABBIPETA, VIJAYAWADA, ANDHRA PRADESH VIJAYAWADA ANP 520010"/>
    <s v="VIJAYAWADA"/>
    <x v="4"/>
    <x v="7"/>
    <s v="FO123"/>
    <s v="SUDHAKAR"/>
    <n v="802913252"/>
    <s v="Ssd@9290"/>
    <s v="UPLOADED"/>
    <m/>
    <x v="1"/>
    <m/>
    <m/>
    <x v="0"/>
    <d v="2024-09-04T00:00:00"/>
    <n v="40018.870000000003"/>
    <s v="0000000029064558"/>
    <s v="Chennai Super Kings ICICI Bank Credit Card"/>
    <s v="23RD OCT"/>
    <m/>
  </r>
  <r>
    <s v="4748464750231000"/>
    <s v="MR JAYAVARAPU YOGENDRA NAGA"/>
    <s v="N"/>
    <x v="13"/>
    <s v="9848109101"/>
    <s v="X"/>
    <n v="4299.3399999999965"/>
    <n v="50000"/>
    <n v="54299.34"/>
    <n v="9493.27"/>
    <n v="44806.07"/>
    <n v="40498.85"/>
    <n v="12360"/>
    <n v="4300"/>
    <x v="1"/>
    <x v="1"/>
    <n v="0"/>
    <n v="4300"/>
    <x v="1"/>
    <s v="NA"/>
    <n v="0"/>
    <s v="TL045"/>
    <x v="3"/>
    <s v="TC126"/>
    <x v="0"/>
    <s v="34-5-7 OPP VANIBANK MAINROAD TANUKU TANUKU ANP 534211"/>
    <s v="CELL POINT H NO 8-2 KACHERI STREET SIDHANTHAM PENUGONDA MANDAL WEST GODAVARI PENUGONDA MANDAL WEST GODAVARI BHIMAVARAM ANP 534326"/>
    <s v="TANUKU"/>
    <x v="3"/>
    <x v="14"/>
    <s v="FO029"/>
    <s v="MANIKANTA"/>
    <n v="802852449"/>
    <s v="Ssd@9290"/>
    <s v="UPLOADED"/>
    <m/>
    <x v="0"/>
    <s v="SKIP"/>
    <s v="customer shifted siddantam"/>
    <x v="9"/>
    <d v="2024-07-14T00:00:00"/>
    <n v="10000"/>
    <s v="0000000029168857"/>
    <s v="Chennai Super Kings ICICI Bank Credit Card"/>
    <s v="23RD OCT"/>
    <m/>
  </r>
  <r>
    <s v="4748464750322007"/>
    <s v="MR YASIN MD"/>
    <s v="N"/>
    <x v="13"/>
    <s v="9908393864"/>
    <s v="X"/>
    <n v="5372.5599999999977"/>
    <n v="86000"/>
    <n v="91372.56"/>
    <s v=""/>
    <n v="91372.56"/>
    <n v="80749"/>
    <n v="23610"/>
    <n v="9510"/>
    <x v="1"/>
    <x v="1"/>
    <n v="0"/>
    <n v="9510"/>
    <x v="1"/>
    <s v="NA"/>
    <n v="0"/>
    <s v="TL045"/>
    <x v="2"/>
    <s v="TC114"/>
    <x v="0"/>
    <s v="21-2-108/1/A MARKANDEYA COLONEY GODAVARIKHANI NEAR HUNMAN TEMPLE PEDDAPALLI TNG 505209"/>
    <s v="MS ONLINE SERVICES HNO 21-2-111/2 MARKANDEYA COLINY RAMAGUNDAM PEDDAPALLI DIST TELANGANA RAMAGUNDAM PEDDAPALLI DIST TELANGANA PEDDAPALLI TNG 505209"/>
    <s v="PEDDAPALLI"/>
    <x v="2"/>
    <x v="39"/>
    <s v="FO082"/>
    <s v="KANTH"/>
    <n v="802794852"/>
    <s v="Ssd@9290"/>
    <s v="UPLOADED"/>
    <m/>
    <x v="1"/>
    <m/>
    <m/>
    <x v="0"/>
    <d v="2025-11-08T00:00:00"/>
    <n v="35000"/>
    <s v="0000000029184052"/>
    <s v="Chennai Super Kings ICICI Bank Credit Card"/>
    <s v="23RD OCT"/>
    <m/>
  </r>
  <r>
    <s v="5241935701473006"/>
    <s v="MR VALAJALA PAVAN KUMAR"/>
    <s v="N"/>
    <x v="13"/>
    <s v="7382954336"/>
    <s v="W"/>
    <n v="-14564.25"/>
    <n v="50000"/>
    <n v="35435.75"/>
    <s v=""/>
    <n v="35435.75"/>
    <n v="33276.94"/>
    <n v="6390"/>
    <n v="2699"/>
    <x v="0"/>
    <x v="0"/>
    <n v="35435.75"/>
    <n v="-32736.75"/>
    <x v="1"/>
    <s v="NA"/>
    <n v="0"/>
    <s v="TL045"/>
    <x v="3"/>
    <s v="TC126"/>
    <x v="0"/>
    <s v="IDDANAKONDURU SIDDANA KONDURU NELLORE ANDHRA PRADESH ,NELLORE  NEAR MAIN ROAD NELLORE ANP 524225"/>
    <s v="HCL TECHNOLOGIES LIMITED H-01 LEVEL 2 HITECH CITY SY NO.30 AND 38 MADHAPUR HYDERABAD TELANGANA MADHAPUR HYDERABAD TELANGANA HYDERABAD TNG 500050"/>
    <s v="NELLORE"/>
    <x v="5"/>
    <x v="21"/>
    <s v="FO042"/>
    <s v="IMAMVALLI"/>
    <n v="802789320"/>
    <s v="Ssd@9290"/>
    <s v="UPLOADED"/>
    <m/>
    <x v="0"/>
    <m/>
    <m/>
    <x v="0"/>
    <d v="2026-10-14T00:00:00"/>
    <n v="27411"/>
    <s v="0000000024685457"/>
    <s v="ICICI Bank HPCL Super Saver Master Credit Card"/>
    <s v="23RD OCT"/>
    <m/>
  </r>
  <r>
    <s v="5241935740711002"/>
    <s v="MR V NARESH"/>
    <s v="N"/>
    <x v="13"/>
    <s v="9573533620"/>
    <s v="X"/>
    <n v="-29534.130000000005"/>
    <n v="340000"/>
    <n v="310465.87"/>
    <s v=""/>
    <n v="310465.87"/>
    <n v="293500.90000000002"/>
    <n v="49770"/>
    <n v="32161"/>
    <x v="1"/>
    <x v="1"/>
    <n v="0"/>
    <n v="32161"/>
    <x v="1"/>
    <s v="NA"/>
    <n v="0"/>
    <s v="TL045"/>
    <x v="2"/>
    <s v="TC114"/>
    <x v="0"/>
    <s v="H NO 3 63 KOSGI MANDA SARJAKHANPET MAHABUBNAGAR  NEAR SBI BANK MAHBOOBNAGAR TNG 509339"/>
    <s v="AGRICULTURE NO 3 63 KOSGI MANDAL SARJAKHANPET MAHABUBNAGAR MAHABUBNAGAR MAHBOOBNAGAR TNG 509339"/>
    <s v="MAHBOOBNAGAR"/>
    <x v="2"/>
    <x v="30"/>
    <s v="FO117"/>
    <s v="SAMBA"/>
    <n v="801772794"/>
    <s v="Ssde@9876"/>
    <s v="UPLOADED"/>
    <m/>
    <x v="0"/>
    <s v="SKIP"/>
    <s v="cus shifted this adrs sir _x000a_cus present live hyd "/>
    <x v="9"/>
    <d v="2026-01-20T00:00:00"/>
    <n v="30030"/>
    <s v="0000000026444834"/>
    <s v="ICICI Bank HPCL Super Saver Master Credit Card"/>
    <s v="23RD OCT"/>
    <m/>
  </r>
  <r>
    <s v="5241935755499006"/>
    <s v="MR VELMLA RAJESHWAR REDDY"/>
    <s v="N"/>
    <x v="13"/>
    <s v="9550587800"/>
    <s v="X"/>
    <n v="-32020.770000000004"/>
    <n v="100000"/>
    <n v="67979.23"/>
    <s v=""/>
    <n v="67979.23"/>
    <n v="62960.11"/>
    <n v="12450"/>
    <n v="7550"/>
    <x v="0"/>
    <x v="2"/>
    <n v="8000"/>
    <n v="-450"/>
    <x v="7"/>
    <s v="TC"/>
    <n v="0"/>
    <s v="TL045"/>
    <x v="1"/>
    <s v="TC003"/>
    <x v="0"/>
    <s v="HNO 4-20 KORUTLA MADHAPUR KARIMNAGAR NEAR KAPU SANGAM BUILDING KARIMNAGAR TNG 505330"/>
    <s v="OTHER SECONDARY EDUCATION  SECRETARIAT D SECONDARY EDUCATION SECRETARIAT DEPARTME JAGITAL KORUTLA JAGITAL JAGITAL KORUTLA JAGITAL KARIMNAGAR TNG 505330"/>
    <s v="KARIMNAGAR"/>
    <x v="2"/>
    <x v="28"/>
    <s v="FO032"/>
    <s v="SUMANTH"/>
    <n v="802370852"/>
    <s v="Sgr@9290"/>
    <s v="UPLOADED"/>
    <m/>
    <x v="0"/>
    <m/>
    <m/>
    <x v="0"/>
    <d v="2026-06-20T00:00:00"/>
    <n v="3170"/>
    <s v="0000000027151301"/>
    <s v="ICICI Bank HPCL Super Saver Master Credit Card"/>
    <s v="23RD OCT"/>
    <m/>
  </r>
  <r>
    <s v="5241935755792004"/>
    <s v="MR VEMULA DEMIMOOR NEELIMA"/>
    <s v="N"/>
    <x v="13"/>
    <s v="9493966660"/>
    <s v="X"/>
    <n v="-12542.600000000006"/>
    <n v="80000"/>
    <n v="67457.399999999994"/>
    <s v=""/>
    <n v="67457.399999999994"/>
    <n v="62470.38"/>
    <n v="12210"/>
    <n v="7330"/>
    <x v="1"/>
    <x v="1"/>
    <n v="0"/>
    <n v="7330"/>
    <x v="1"/>
    <s v="NA"/>
    <n v="0"/>
    <s v="TL045"/>
    <x v="2"/>
    <s v="TC114"/>
    <x v="1"/>
    <s v="11-1-202 MEDI COVER PHARMACY TELANGANA NEAR MAIN ROAD NIZAMABAD TNG 503002"/>
    <s v="LORRY TRANSPORT 11-1-202 TELANGANA TELANGANA NIZAMABAD TNG 503002"/>
    <s v="NIZAMABAD"/>
    <x v="2"/>
    <x v="26"/>
    <s v="FO043"/>
    <s v="D RAMU"/>
    <n v="802663344"/>
    <s v="Sgr@9290"/>
    <s v="UPLOADED"/>
    <m/>
    <x v="0"/>
    <s v="LIVE"/>
    <s v="coustomer payment on 1st week"/>
    <x v="3"/>
    <d v="2025-07-08T00:00:00"/>
    <n v="10410"/>
    <s v="0000000027165714"/>
    <s v="ICICI Bank HPCL Super Saver Master Credit Card"/>
    <s v="23RD OCT"/>
    <m/>
  </r>
  <r>
    <s v="5241935774016005"/>
    <s v="MR BALANTRAPY MANIKANTA SRINIVAS"/>
    <s v="N"/>
    <x v="13"/>
    <s v="9963522669"/>
    <s v="Y"/>
    <n v="-118867.02"/>
    <n v="150000"/>
    <n v="31132.98"/>
    <s v=""/>
    <n v="31132.98"/>
    <n v="27982.31"/>
    <n v="6870"/>
    <n v="2440"/>
    <x v="1"/>
    <x v="1"/>
    <n v="0"/>
    <n v="2440"/>
    <x v="1"/>
    <s v="NA"/>
    <n v="0"/>
    <s v="TL045"/>
    <x v="3"/>
    <s v="TC126"/>
    <x v="0"/>
    <s v="3-49 MADHURANAGAR OPP PANCHAYATI OFFICE ATCHUTAPURAM KAKINADA RURAL EAST GODAVARI OPP OLD PANCHAYATI PFFICE KAKINADA ANP 533005"/>
    <s v="BALANTRAPU MANIKANTA SRINIVAS 3-49 MADHURA NAGAR KAKINADA KAKINADA KAKINADA KAKINADA ANP 533005"/>
    <s v="KAKINADA"/>
    <x v="3"/>
    <x v="5"/>
    <s v="FO063"/>
    <s v="UDAY"/>
    <n v="801436997"/>
    <s v="Ssd@9290"/>
    <s v="UPLOADED"/>
    <m/>
    <x v="1"/>
    <m/>
    <m/>
    <x v="0"/>
    <d v="2025-09-21T00:00:00"/>
    <n v="5000"/>
    <s v="0000000028118537"/>
    <s v="ICICI Bank HPCL Super Saver Master Credit Card"/>
    <s v="23RD OCT"/>
    <m/>
  </r>
  <r>
    <s v="6528690001474012"/>
    <s v="MR K SYAM PRASAD"/>
    <s v="N"/>
    <x v="13"/>
    <s v="9701796479"/>
    <s v="X"/>
    <n v="4534.1500000000015"/>
    <n v="50000"/>
    <n v="54534.15"/>
    <n v="39460.54"/>
    <n v="15073.61"/>
    <n v="10539.46"/>
    <n v="15073.61"/>
    <n v="7295.5"/>
    <x v="1"/>
    <x v="1"/>
    <n v="0"/>
    <n v="7295.5"/>
    <x v="1"/>
    <s v="NA"/>
    <n v="0"/>
    <s v="TL045"/>
    <x v="3"/>
    <s v="TC126"/>
    <x v="1"/>
    <s v="H NO 53-3-34 CHRISTURAJPURAM VIJAYAWADA POLYTECHNIC VIJAYAWADA ANP 520008"/>
    <s v="SONOVISION ELECTRONIC INDIA PVT LTD ENIKEPAD ANU HOSPITAL ANU HOSPITAL VIJAYAWADA ANP 521108"/>
    <s v="VIJAYAWADA"/>
    <x v="4"/>
    <x v="7"/>
    <s v="FO123"/>
    <s v="SUDHAKAR"/>
    <n v="802913252"/>
    <s v="Ssd@9290"/>
    <s v="UPLOADED"/>
    <m/>
    <x v="1"/>
    <m/>
    <m/>
    <x v="0"/>
    <d v="2024-12-10T00:00:00"/>
    <n v="5159.88"/>
    <s v="0000000027355752"/>
    <s v="ICICI Bank HPCL Super Saver RuPay Credit Card"/>
    <s v="23RD OCT"/>
    <m/>
  </r>
  <r>
    <s v="6528690017291004"/>
    <s v="MR METHUKU SANTHOSH REDDY"/>
    <s v="N"/>
    <x v="13"/>
    <s v="9573037742"/>
    <s v="X"/>
    <n v="9856.1999999999971"/>
    <n v="100000"/>
    <n v="109856.2"/>
    <s v=""/>
    <n v="109856.2"/>
    <n v="98540.67"/>
    <n v="26790"/>
    <n v="9820"/>
    <x v="1"/>
    <x v="1"/>
    <n v="0"/>
    <n v="9820"/>
    <x v="1"/>
    <s v="NA"/>
    <n v="0"/>
    <s v="TL045"/>
    <x v="1"/>
    <s v="TC003"/>
    <x v="0"/>
    <s v="3-68 MADDUR MANDALAM JALAPALLY  WARANGAL TNG 506367"/>
    <s v="RELIANCE TRANDS PRIVATE LIMITED SERY NO 1508.1509  PRASHANTH NAGAR SIDDEPET SIDDEPET MEDAK TNG 502103"/>
    <s v="WARANGAL"/>
    <x v="2"/>
    <x v="18"/>
    <s v="FO055"/>
    <s v="AKHIL"/>
    <n v="801772792"/>
    <s v="Sgr@9290"/>
    <s v="UPLOADED"/>
    <m/>
    <x v="1"/>
    <m/>
    <m/>
    <x v="0"/>
    <d v="2026-01-13T00:00:00"/>
    <n v="98749"/>
    <s v="0000000028413789"/>
    <s v="ICICI Bank HPCL Super Saver RuPay Credit Card"/>
    <s v="23RD OCT"/>
    <m/>
  </r>
  <r>
    <s v="6528690167003001"/>
    <s v="MR Nunna Sarath"/>
    <s v="N"/>
    <x v="13"/>
    <s v="9490416504"/>
    <s v="X"/>
    <n v="-1517.2300000000032"/>
    <n v="60000"/>
    <n v="58482.77"/>
    <s v=""/>
    <n v="58482.77"/>
    <n v="55029.64"/>
    <n v="8600"/>
    <n v="4340"/>
    <x v="1"/>
    <x v="1"/>
    <n v="0"/>
    <n v="4340"/>
    <x v="1"/>
    <s v="NA"/>
    <n v="0"/>
    <s v="TL045"/>
    <x v="1"/>
    <s v="TC003"/>
    <x v="0"/>
    <s v="QUARTER NO 448, SRI NAGAR COLONY MELLACHERUVU  Mella CheruvuSuryapet NDA TNG 508246"/>
    <s v="MAHA CEMENT, UNIT 4 MELLACHERUVU, SURYAPET   NDA TNG 508246"/>
    <s v="NALGONDA"/>
    <x v="2"/>
    <x v="18"/>
    <s v="FO055"/>
    <s v="AKHIL"/>
    <n v="801772792"/>
    <s v="Sgr@9290"/>
    <s v="UPLOADED"/>
    <m/>
    <x v="1"/>
    <m/>
    <m/>
    <x v="0"/>
    <s v=""/>
    <n v="0"/>
    <s v="0000000034078632"/>
    <s v="ICICI Bank HPCL Super Saver RuPay Credit Card"/>
    <s v="23RD OCT"/>
    <m/>
  </r>
  <r>
    <s v="4035620358090005"/>
    <s v="MR SANE KRANTHI REDDY"/>
    <s v="O"/>
    <x v="14"/>
    <s v="6300042912"/>
    <s v="X"/>
    <n v="2187.9199999999983"/>
    <n v="100000"/>
    <n v="102187.92"/>
    <n v="68299.34"/>
    <n v="33888.58"/>
    <n v="31104.78"/>
    <n v="22870"/>
    <n v="11410"/>
    <x v="1"/>
    <x v="1"/>
    <n v="0"/>
    <n v="11410"/>
    <x v="1"/>
    <s v="NA"/>
    <n v="0"/>
    <s v="TL045"/>
    <x v="0"/>
    <s v="TC084"/>
    <x v="0"/>
    <s v="5-62, SANEVARI PALLI, VANKARAKUNTA POST NALLAMADA MANDAL, ANANTHAPUR SANEVARI PALLI HINDUPUR ANP 515501"/>
    <s v="KVR FINANCE PVT LTD 1-169-B-1, SBI EXTENSION COLONY MADANAPALLE MADANAPALLE MADANAPALLE ANP 517325"/>
    <s v="HINDUPUR"/>
    <x v="0"/>
    <x v="6"/>
    <s v="FO011"/>
    <s v="PAVAN"/>
    <n v="802823180"/>
    <s v="Sgr@9290"/>
    <s v="UPLOADED"/>
    <m/>
    <x v="1"/>
    <m/>
    <m/>
    <x v="0"/>
    <d v="2024-09-01T00:00:00"/>
    <n v="21205.279999999999"/>
    <s v="0000000021372427"/>
    <s v="ICICI Bank Coral Credit Card"/>
    <s v="27TH OCT"/>
    <m/>
  </r>
  <r>
    <s v="4035620666723008"/>
    <s v="MR PENUGONDA NAGENDRA"/>
    <s v="N"/>
    <x v="15"/>
    <s v="9494912669"/>
    <s v="X"/>
    <n v="4052.4499999999971"/>
    <n v="30000"/>
    <n v="34052.449999999997"/>
    <s v=""/>
    <n v="34052.449999999997"/>
    <n v="29977.79"/>
    <n v="24510"/>
    <n v="12060"/>
    <x v="1"/>
    <x v="1"/>
    <n v="0"/>
    <n v="12060"/>
    <x v="1"/>
    <s v="NA"/>
    <n v="0"/>
    <s v="TL045"/>
    <x v="3"/>
    <s v="TC126"/>
    <x v="0"/>
    <s v="4-194/6 PANCHAITHI VEEDI  WEST GODAVARI West Godavari ANP 534305"/>
    <s v="TRANSCO ANDHRA PRADESH 220  KV SUB STATION APTRANSCO BOMMURU STATION APTRANSCO BOMMURU RAJAHMUNDRY ANP 533124"/>
    <s v="WEST GODAVARI"/>
    <x v="3"/>
    <x v="19"/>
    <s v="FO093"/>
    <s v="MANIKANTA"/>
    <n v="802852449"/>
    <s v="Ssd@9290"/>
    <s v="UPLOADED"/>
    <m/>
    <x v="1"/>
    <m/>
    <m/>
    <x v="0"/>
    <d v="2024-07-16T00:00:00"/>
    <n v="1219.95"/>
    <s v="0000000023460120"/>
    <s v="ICICI Bank Coral Credit Card"/>
    <s v="27TH OCT"/>
    <m/>
  </r>
  <r>
    <s v="4035620915226001"/>
    <s v="MR KHAJA ABDUL RAHEEM"/>
    <s v="N"/>
    <x v="15"/>
    <s v="8096079580"/>
    <s v="X"/>
    <n v="-46328.33"/>
    <n v="110000"/>
    <n v="63671.67"/>
    <n v="8821.0499999999993"/>
    <n v="54850.62"/>
    <n v="51347.83"/>
    <n v="40340"/>
    <n v="17961"/>
    <x v="1"/>
    <x v="1"/>
    <n v="0"/>
    <n v="17961"/>
    <x v="1"/>
    <s v="NA"/>
    <n v="0"/>
    <s v="TL045"/>
    <x v="2"/>
    <s v="TC114"/>
    <x v="0"/>
    <s v="14-270 LIG I 261 H B COLONY  MAHABUBNAGAR WANAPARTHY TNG 509209"/>
    <s v="GOVT HOSPITAL KOLLAPUR ROAD NO.2 MALLESWAR KOLLAPUR TELANAGANA KOLLAPUR TELANAGANA WANAPARTHY TNG 509102"/>
    <s v="WANAPARTHY"/>
    <x v="2"/>
    <x v="38"/>
    <s v="FO109"/>
    <s v="SAMBA"/>
    <n v="801772794"/>
    <s v="Ssde@9876"/>
    <s v="UPLOADED"/>
    <m/>
    <x v="1"/>
    <m/>
    <m/>
    <x v="0"/>
    <d v="2023-11-23T00:00:00"/>
    <n v="41960.05"/>
    <s v="0000000024942474"/>
    <s v="ICICI Bank Coral Credit Card"/>
    <s v="27TH OCT"/>
    <m/>
  </r>
  <r>
    <s v="4035621166342000"/>
    <s v="MR SETTYVARI RANGA SAI"/>
    <s v="N"/>
    <x v="15"/>
    <s v="9985045091"/>
    <s v="X"/>
    <n v="-17820.64"/>
    <n v="90000"/>
    <n v="72179.360000000001"/>
    <n v="13778.71"/>
    <n v="58400.65"/>
    <n v="51921.71"/>
    <n v="18610"/>
    <n v="8360"/>
    <x v="0"/>
    <x v="0"/>
    <n v="23000"/>
    <n v="-14640"/>
    <x v="4"/>
    <s v="TC"/>
    <n v="0"/>
    <s v="TL045"/>
    <x v="0"/>
    <s v="TC084"/>
    <x v="0"/>
    <s v="000 KRISHNAM SETTI PALLE VILLAGE  PRAKASAM NANDYAL ANP 523357"/>
    <s v="WHAM INFOCOM PVT LTD 7-87,GANDHINAGAR KALWAKURTHY ,NAGR KARNOOL KALWAKURTHY ,NAGR KARNOOL WANAPARTHY TNG 509324"/>
    <s v="NANDYAL"/>
    <x v="0"/>
    <x v="20"/>
    <s v="FO021"/>
    <s v="HARI"/>
    <n v="802388289"/>
    <s v="Ssd@9290"/>
    <s v="UPLOADED"/>
    <m/>
    <x v="0"/>
    <m/>
    <m/>
    <x v="0"/>
    <d v="2024-06-12T00:00:00"/>
    <n v="4251.17"/>
    <s v="0000000026207234"/>
    <s v="ICICI Bank Coral RuPay Credit Card"/>
    <s v="27TH OCT"/>
    <m/>
  </r>
  <r>
    <s v="4073520292073005"/>
    <s v="MR GUNDU SRIHARI"/>
    <s v="O"/>
    <x v="15"/>
    <s v="9963538131"/>
    <s v="X"/>
    <n v="3183.1200000000026"/>
    <n v="60000"/>
    <n v="63183.12"/>
    <s v=""/>
    <n v="63183.12"/>
    <n v="55616.82"/>
    <n v="18770"/>
    <n v="9110"/>
    <x v="1"/>
    <x v="1"/>
    <n v="0"/>
    <n v="9110"/>
    <x v="1"/>
    <s v="NA"/>
    <n v="0"/>
    <s v="TL045"/>
    <x v="1"/>
    <s v="TC003"/>
    <x v="0"/>
    <s v="HOUSE NUMBER11-19-7 WARANGAL KASHIBUGGA WARANGAL WARANGAL TNG 506002"/>
    <s v="GOVERNMENT OF TELANGANA C/O GWMC,H NO 15-3-158,SAINATH ARCADE MG ROAD,SHERPURA,WARANGAL MG ROAD,SHERPURA,WARANGAL WARANGAL TNG 506002"/>
    <s v="WARANGAL"/>
    <x v="2"/>
    <x v="18"/>
    <s v="FO055"/>
    <s v="AKHIL"/>
    <n v="801772792"/>
    <s v="Sgr@9290"/>
    <s v="UPLOADED"/>
    <m/>
    <x v="0"/>
    <s v="LIVE"/>
    <s v="Cust not available respond to call and given ptp on 02nd"/>
    <x v="18"/>
    <d v="2024-06-13T00:00:00"/>
    <n v="3361.5"/>
    <s v="0000000026937130"/>
    <s v="MakeMyTrip ICICI Bank Signature Credit Card"/>
    <s v="27TH OCT"/>
    <m/>
  </r>
  <r>
    <s v="4315812066125014"/>
    <s v="MR Srikanth Chowturu"/>
    <s v="N"/>
    <x v="15"/>
    <s v="9908736006"/>
    <s v="X"/>
    <n v="451344.64000000001"/>
    <n v="350000"/>
    <n v="801344.64"/>
    <n v="468168.81"/>
    <n v="333175.83"/>
    <n v="295346.90999999997"/>
    <n v="149620"/>
    <n v="77350"/>
    <x v="1"/>
    <x v="1"/>
    <n v="0"/>
    <n v="77350"/>
    <x v="1"/>
    <s v="NA"/>
    <n v="0"/>
    <s v="TL045"/>
    <x v="3"/>
    <s v="TC126"/>
    <x v="0"/>
    <s v="C-5 Sullurupeta Mandal D O S Colony Nellore GUDUR ANP 524121"/>
    <s v="ISRO SDSC SHAR SRIHARIKOTA SPROB MIXING SRIHARIKOTA DO  DO DO  DO GUDUR ANP 524124"/>
    <s v="GUDUR"/>
    <x v="5"/>
    <x v="21"/>
    <s v="FO042"/>
    <s v="IMAMVALLI"/>
    <n v="802789320"/>
    <s v="Ssd@9290"/>
    <s v="UPLOADED"/>
    <m/>
    <x v="1"/>
    <m/>
    <m/>
    <x v="0"/>
    <d v="2026-01-03T00:00:00"/>
    <n v="1"/>
    <s v="0000000019872356"/>
    <s v="Amazon Pay ICICI Bank Credit Card"/>
    <s v="27TH OCT"/>
    <m/>
  </r>
  <r>
    <s v="4375510765534018"/>
    <s v="MR. DASARI VENU"/>
    <s v="N"/>
    <x v="15"/>
    <s v="9505880066"/>
    <s v="X"/>
    <n v="-28121.150000000023"/>
    <n v="310000"/>
    <n v="281878.84999999998"/>
    <s v=""/>
    <n v="281878.84999999998"/>
    <n v="261249.4"/>
    <n v="60150"/>
    <n v="38840"/>
    <x v="1"/>
    <x v="1"/>
    <n v="0"/>
    <n v="38840"/>
    <x v="1"/>
    <s v="NA"/>
    <n v="0"/>
    <s v="TL045"/>
    <x v="1"/>
    <s v="TC003"/>
    <x v="0"/>
    <s v="HNO C7VL QUATERS RDO BUNGALOW ACC MANCHERIAL  NEAR BUS STAND ADILABAD TNG 504208"/>
    <s v="GOVT OF TELANGANA REVENUE DEPARTMENT GOVT OF TELANGANA RDO OFFICE MANCHERIAL MANCHERIAL MANCHERIAL ADILABAD TNG 504208"/>
    <s v="ADILABAD"/>
    <x v="2"/>
    <x v="9"/>
    <s v="FO036"/>
    <s v="K RAMU"/>
    <n v="802898520"/>
    <s v="Ssd@9290"/>
    <s v="UPLOADED"/>
    <m/>
    <x v="0"/>
    <s v="SKIP"/>
    <s v="customer given address visit customer not living in address, skip from address call not answer // customer given address visit customer not living in address, skip from address call not answer"/>
    <x v="18"/>
    <d v="2025-02-13T00:00:00"/>
    <n v="15000"/>
    <s v="0000000008789471"/>
    <s v="ICICI Bank Coral Credit Card"/>
    <s v="27TH OCT"/>
    <m/>
  </r>
  <r>
    <s v="4375515885050027"/>
    <s v="MR. MAHESH NATTI"/>
    <s v="N"/>
    <x v="16"/>
    <s v="7382543816"/>
    <s v="W"/>
    <n v="-158758.15999999997"/>
    <n v="490000"/>
    <n v="331241.84000000003"/>
    <n v="240759.93"/>
    <n v="90481.91"/>
    <n v="81249.55"/>
    <n v="52430"/>
    <n v="28223.21"/>
    <x v="1"/>
    <x v="1"/>
    <n v="0"/>
    <n v="28223.21"/>
    <x v="1"/>
    <s v="NA"/>
    <n v="0"/>
    <s v="TL045"/>
    <x v="2"/>
    <s v="TC114"/>
    <x v="0"/>
    <s v="D.NO.4-157/B,GOKARAM POST,GOKARAM - NALGONDA - NALGONDA TNG 508252"/>
    <s v="HYDERABAD METROPOLITAN DEVELOPMENT AUTHORITY HMDA COMPLEX TARNAKA SECUNDRABAD   Hyderabad TNG 500007"/>
    <s v="NALGONDA"/>
    <x v="2"/>
    <x v="27"/>
    <s v="FO131"/>
    <s v="B SRIKANTH"/>
    <n v="803037151"/>
    <s v="Ssde@9290"/>
    <s v="UPLOADED"/>
    <m/>
    <x v="0"/>
    <s v="SKIP"/>
    <s v=" customer address visit customer not available at this address, he  is living in jubile hills and not responding to calls "/>
    <x v="18"/>
    <d v="2026-10-14T00:00:00"/>
    <n v="74206.789999999994"/>
    <s v="0000000009733583"/>
    <s v="ICICI Bank Coral RuPay Credit Card"/>
    <s v="27TH OCT"/>
    <m/>
  </r>
  <r>
    <s v="4748461080962007"/>
    <s v="MR DADIGUDEM ASHOK KUMAR"/>
    <s v="N"/>
    <x v="15"/>
    <s v="9676720612"/>
    <s v="X"/>
    <n v="-4536.1600000000035"/>
    <n v="40000"/>
    <n v="35463.839999999997"/>
    <n v="1621.64"/>
    <n v="33842.199999999997"/>
    <n v="28399.07"/>
    <n v="8040"/>
    <n v="3520"/>
    <x v="1"/>
    <x v="1"/>
    <n v="0"/>
    <n v="3520"/>
    <x v="1"/>
    <s v="NA"/>
    <n v="0"/>
    <s v="TL045"/>
    <x v="2"/>
    <s v="TC114"/>
    <x v="0"/>
    <s v="2-64,Ground fl,CHETLA POTHARAM Chetla P,Chetla Potharam Gadda Potharam Grammapachayat SANGAREDDY TNG 502319"/>
    <s v="TECH MAHINDRA LIMITED SURVEY NO 62/1A GANDIMAISAMMA DUNDIGAL GANDIMAISAMMA DUNDIGAL HYDERABAD TNG 500043"/>
    <s v="SANGAREDDY"/>
    <x v="2"/>
    <x v="2"/>
    <s v="FO076"/>
    <s v="RADHAKRISHNA"/>
    <n v="801354813"/>
    <s v="Sgr@9290"/>
    <s v="UPLOADED"/>
    <m/>
    <x v="1"/>
    <m/>
    <m/>
    <x v="0"/>
    <d v="2024-07-04T00:00:00"/>
    <n v="129"/>
    <s v="0000000020883166"/>
    <s v="MakeMyTrip ICICI Bank Platinum Credit Card"/>
    <s v="27TH OCT"/>
    <m/>
  </r>
  <r>
    <s v="4748464710290005"/>
    <s v="MR CHENNOJU SHRIKANTH"/>
    <s v="N"/>
    <x v="15"/>
    <s v="9704243258"/>
    <s v="W"/>
    <n v="-17017.11"/>
    <n v="60000"/>
    <n v="42982.89"/>
    <n v="14289.8"/>
    <n v="28693.09"/>
    <n v="26453.91"/>
    <n v="12460"/>
    <n v="4470"/>
    <x v="1"/>
    <x v="1"/>
    <n v="0"/>
    <n v="4470"/>
    <x v="1"/>
    <s v="NA"/>
    <n v="0"/>
    <s v="TL045"/>
    <x v="1"/>
    <s v="TC003"/>
    <x v="0"/>
    <s v="6-100 AREPALLY  WARANGAL WARANGAL TNG 506006"/>
    <s v="NORTHERN POWER LIMITED KESHAPUR DUGGONDI NARSAMPET WARANGAL NARSAMPET WARANGAL WARANGAL TNG 506331"/>
    <s v="WARANGAL"/>
    <x v="2"/>
    <x v="18"/>
    <s v="FO055"/>
    <s v="AKHIL"/>
    <n v="801772792"/>
    <s v="Sgr@9290"/>
    <s v="UPLOADED"/>
    <m/>
    <x v="1"/>
    <m/>
    <m/>
    <x v="0"/>
    <d v="2024-06-13T00:00:00"/>
    <n v="18331.5"/>
    <s v="0000000023713664"/>
    <s v="Chennai Super Kings ICICI Bank Credit Card"/>
    <s v="27TH OCT"/>
    <m/>
  </r>
  <r>
    <s v="4748464736000016"/>
    <s v="MR VANNAVARAPU LAVAN KUMAR"/>
    <s v="O"/>
    <x v="15"/>
    <s v="9441847429"/>
    <s v="X"/>
    <n v="679525.82"/>
    <n v="180000"/>
    <n v="859525.82"/>
    <n v="680362.07"/>
    <n v="179163.75"/>
    <n v="167727.54999999999"/>
    <n v="77690"/>
    <n v="39028"/>
    <x v="1"/>
    <x v="1"/>
    <n v="0"/>
    <n v="39028"/>
    <x v="1"/>
    <s v="NA"/>
    <n v="0"/>
    <s v="TL045"/>
    <x v="1"/>
    <s v="TC003"/>
    <x v="1"/>
    <s v="2-108   KRISHNA VIJAYAWADA ANP 521402"/>
    <s v="OPERATIONAL ENERGY GROUP INDIA PVT LTD SY NO 34 RAMCO CEMENT KALVATALA KOLIMIGU NDLA KURNOOL NEAR RAMCO GUEST HOUSE NDLA KURNOOL NEAR RAMCO GUEST HOUSE NANDYAL ANP 518123"/>
    <s v="VIJAYAWADA"/>
    <x v="2"/>
    <x v="31"/>
    <s v="FO025"/>
    <s v="SUDHAKAR"/>
    <n v="802913252"/>
    <s v="Ssd@9290"/>
    <s v="UPLOADED"/>
    <m/>
    <x v="1"/>
    <m/>
    <m/>
    <x v="0"/>
    <d v="2024-08-04T00:00:00"/>
    <n v="555"/>
    <s v="0000000026715846"/>
    <s v="ICICI Bank Coral RuPay Credit Card"/>
    <s v="27TH OCT"/>
    <m/>
  </r>
  <r>
    <s v="4748464742046003"/>
    <s v="MR ANJANEYULU POTLACHERUVA"/>
    <s v="N"/>
    <x v="15"/>
    <s v="9059913441"/>
    <s v="X"/>
    <n v="-71867.7"/>
    <n v="150000"/>
    <n v="78132.3"/>
    <s v=""/>
    <n v="78132.3"/>
    <n v="70000"/>
    <n v="14960"/>
    <n v="4090"/>
    <x v="1"/>
    <x v="1"/>
    <n v="0"/>
    <n v="4090"/>
    <x v="1"/>
    <s v="NA"/>
    <n v="0"/>
    <s v="TL045"/>
    <x v="1"/>
    <s v="TC003"/>
    <x v="0"/>
    <s v="HNO 22-13-64 LALAPET GUNTUR NEAR NOOKALAMMA TEMPLE GUNTUR ANP 522003"/>
    <s v="V RETAIL PVT LTD CENTRO DNO 5-87/40/3 LAKSHMIPURAM MAIN ROAD GUNTUR LAKSHMIPURAM MAIN ROAD GUNTUR GUNTUR ANP 522004"/>
    <s v="GUNTUR"/>
    <x v="1"/>
    <x v="10"/>
    <s v="FO001"/>
    <s v="INAMUL"/>
    <n v="802823175"/>
    <s v="Sgr@9290"/>
    <s v="UPLOADED"/>
    <m/>
    <x v="1"/>
    <m/>
    <m/>
    <x v="0"/>
    <d v="2024-07-06T00:00:00"/>
    <n v="5103"/>
    <s v="0000000027963771"/>
    <s v="Chennai Super Kings ICICI Bank Credit Card"/>
    <s v="27TH OCT"/>
    <m/>
  </r>
  <r>
    <s v="4748468182840007"/>
    <s v="MR SAMPATH KUMAR KUCHANA"/>
    <s v="N"/>
    <x v="15"/>
    <s v="7013302768"/>
    <s v="X"/>
    <n v="3048.0800000000017"/>
    <n v="100000"/>
    <n v="103048.08"/>
    <n v="89362.15"/>
    <n v="13685.93"/>
    <n v="8674.09"/>
    <n v="12240"/>
    <n v="5369.63"/>
    <x v="1"/>
    <x v="1"/>
    <n v="0"/>
    <n v="5369.63"/>
    <x v="1"/>
    <s v="NA"/>
    <n v="0"/>
    <s v="TL045"/>
    <x v="1"/>
    <s v="TC003"/>
    <x v="0"/>
    <s v="11-23-878 LB NAGAR WARANGAL OPP DMART WARANGAL TNG 506002"/>
    <s v="GREENWOOD HIGH SCHOOL HUNTERROAD WARANGAL WARANGAL WARANGAL TNG 506002"/>
    <s v="WARANGAL"/>
    <x v="2"/>
    <x v="18"/>
    <s v="FO055"/>
    <s v="AKHIL"/>
    <n v="801772792"/>
    <s v="Sgr@9290"/>
    <s v="UPLOADED"/>
    <m/>
    <x v="1"/>
    <m/>
    <m/>
    <x v="0"/>
    <d v="2025-01-09T00:00:00"/>
    <n v="43229"/>
    <s v="0000000019318786"/>
    <s v="ICICI Bank HPCL Coral VISA Credit Card"/>
    <s v="27TH OCT"/>
    <m/>
  </r>
  <r>
    <s v="4748468365627007"/>
    <s v="MR UPPALAPATI VARMA"/>
    <s v="N"/>
    <x v="15"/>
    <s v="8688207664"/>
    <s v="X"/>
    <n v="-87613.53"/>
    <n v="200000"/>
    <n v="112386.47"/>
    <s v=""/>
    <n v="112386.47"/>
    <n v="104734.21"/>
    <n v="18600"/>
    <n v="11390"/>
    <x v="1"/>
    <x v="1"/>
    <n v="0"/>
    <n v="11390"/>
    <x v="1"/>
    <s v="NA"/>
    <n v="0"/>
    <s v="TL045"/>
    <x v="3"/>
    <s v="TC126"/>
    <x v="1"/>
    <s v="8-103,FLAT NO 101 ANVITHA,PLAZA FLR,,JAM MICHETTU BAZAR,PRASADAMPADU,  OPP OLD KASTURI SCHOOL VIJAYAWADA ANP 521108"/>
    <s v="KALPATARU POWER TRANSMISSION LIMITED 37/A 1 ANANDANILAYAM 2ND STREET , KAMARAJAPURAM 2ND STREET , KAMARAJAPURAM MADURAI TMN 625706"/>
    <s v="VIJAYAWADA"/>
    <x v="4"/>
    <x v="7"/>
    <s v="FO123"/>
    <s v="SUDHAKAR"/>
    <n v="802913252"/>
    <s v="Ssd@9290"/>
    <s v="UPLOADED"/>
    <m/>
    <x v="1"/>
    <m/>
    <m/>
    <x v="0"/>
    <d v="2026-06-23T00:00:00"/>
    <n v="4380"/>
    <s v="0000000021389289"/>
    <s v="ICICI Bank HPCL Coral VISA Credit Card"/>
    <s v="27TH OCT"/>
    <m/>
  </r>
  <r>
    <s v="4748468801695006"/>
    <s v="MR B RAJESH"/>
    <s v="O"/>
    <x v="15"/>
    <s v="9000964264"/>
    <s v="X"/>
    <n v="1403.8400000000001"/>
    <n v="30000"/>
    <n v="31403.84"/>
    <n v="16901.36"/>
    <n v="14502.48"/>
    <n v="12712.24"/>
    <n v="10240"/>
    <n v="4990"/>
    <x v="1"/>
    <x v="1"/>
    <n v="0"/>
    <n v="4990"/>
    <x v="1"/>
    <s v="NA"/>
    <n v="0"/>
    <s v="TL045"/>
    <x v="0"/>
    <s v="TC084"/>
    <x v="0"/>
    <s v="5-167 KILCHIN PETA  ADONI KURNOOL ANP 518301"/>
    <s v="BITCHE PADANAGAPPA SONS BITCHE PADANAGAPPA SON SHOP NO 22 MARKET YARD ADONI DIST KARNOOL MARKET YARD ADONI DIST KARNOOL KURNOOL ANP 518301"/>
    <s v="KURNOOL"/>
    <x v="0"/>
    <x v="15"/>
    <s v="FO040"/>
    <s v="PURNA"/>
    <n v="802862338"/>
    <s v="Ssd@9290"/>
    <s v="UPLOADED"/>
    <m/>
    <x v="1"/>
    <m/>
    <m/>
    <x v="0"/>
    <d v="2024-11-09T00:00:00"/>
    <n v="27000"/>
    <s v="0000000025471094"/>
    <s v="ICICI Bank Coral RuPay Credit Card"/>
    <s v="27TH OCT"/>
    <m/>
  </r>
  <r>
    <s v="4748469632007007"/>
    <s v="MR KODALI VENKATA SAI"/>
    <s v="O"/>
    <x v="15"/>
    <s v="7997651667"/>
    <s v="X"/>
    <n v="239621.91000000003"/>
    <n v="300000"/>
    <n v="539621.91"/>
    <n v="202347.94"/>
    <n v="337273.97"/>
    <n v="311268.52"/>
    <n v="121590"/>
    <n v="83190"/>
    <x v="1"/>
    <x v="1"/>
    <n v="0"/>
    <n v="83190"/>
    <x v="1"/>
    <s v="NA"/>
    <n v="0"/>
    <s v="TL045"/>
    <x v="3"/>
    <s v="TC126"/>
    <x v="0"/>
    <s v="2-285 B.C.COLONY SCHOOL BAZAR  MACHILIPATNAM ANP 521165"/>
    <s v="GOVT OF AP VADLAMANU GRAMA SACHIVALAYAM VADLAMANU,AGIRIPALLI VADLAMANU,AGIRIPALLI VIJAYAWADA ANP 521211"/>
    <s v="MACHILIPATNAM"/>
    <x v="3"/>
    <x v="17"/>
    <s v="FO051"/>
    <s v="BOJJA KRISHNA SAI"/>
    <n v="802663436"/>
    <s v="Sgr@9290"/>
    <s v="UPLOADED"/>
    <m/>
    <x v="1"/>
    <m/>
    <m/>
    <x v="0"/>
    <d v="2026-10-24T00:00:00"/>
    <n v="5000"/>
    <s v="0000000028799205"/>
    <s v="ICICI Bank HPCL Super Saver Visa Credit Card"/>
    <s v="27TH OCT"/>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8" cacheId="682" dataOnRows="1" applyNumberFormats="1"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BF3:BK44" firstHeaderRow="1" firstDataRow="3" firstDataCol="1"/>
  <pivotFields count="46">
    <pivotField showAll="0"/>
    <pivotField showAll="0"/>
    <pivotField showAll="0"/>
    <pivotField showAll="0">
      <items count="29">
        <item x="0"/>
        <item x="1"/>
        <item x="2"/>
        <item m="1" x="20"/>
        <item x="3"/>
        <item m="1" x="27"/>
        <item x="4"/>
        <item x="5"/>
        <item m="1" x="21"/>
        <item x="6"/>
        <item x="7"/>
        <item m="1" x="17"/>
        <item x="8"/>
        <item x="9"/>
        <item x="10"/>
        <item m="1" x="22"/>
        <item x="11"/>
        <item m="1" x="18"/>
        <item x="12"/>
        <item x="13"/>
        <item m="1" x="23"/>
        <item x="16"/>
        <item x="14"/>
        <item x="15"/>
        <item m="1" x="24"/>
        <item m="1" x="25"/>
        <item m="1" x="19"/>
        <item m="1" x="26"/>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3">
        <item x="0"/>
        <item sd="0" x="1"/>
        <item t="default"/>
      </items>
    </pivotField>
    <pivotField axis="axisCol" showAll="0">
      <items count="5">
        <item x="1"/>
        <item x="0"/>
        <item x="2"/>
        <item m="1" x="3"/>
        <item t="default"/>
      </items>
    </pivotField>
    <pivotField dataField="1" showAll="0"/>
    <pivotField showAll="0"/>
    <pivotField showAll="0"/>
    <pivotField showAll="0"/>
    <pivotField showAll="0"/>
    <pivotField showAll="0"/>
    <pivotField showAll="0">
      <items count="18">
        <item m="1" x="16"/>
        <item x="2"/>
        <item x="1"/>
        <item m="1" x="10"/>
        <item x="3"/>
        <item m="1" x="8"/>
        <item m="1" x="12"/>
        <item m="1" x="13"/>
        <item m="1" x="5"/>
        <item m="1" x="15"/>
        <item m="1" x="6"/>
        <item x="0"/>
        <item m="1" x="14"/>
        <item m="1" x="7"/>
        <item m="1" x="11"/>
        <item m="1" x="9"/>
        <item m="1" x="4"/>
        <item t="default"/>
      </items>
    </pivotField>
    <pivotField showAll="0"/>
    <pivotField showAll="0"/>
    <pivotField showAll="0"/>
    <pivotField showAll="0"/>
    <pivotField showAll="0"/>
    <pivotField axis="axisRow" showAll="0" sortType="ascending">
      <items count="14">
        <item m="1" x="10"/>
        <item x="3"/>
        <item x="1"/>
        <item x="0"/>
        <item m="1" x="12"/>
        <item m="1" x="9"/>
        <item x="5"/>
        <item x="6"/>
        <item m="1" x="11"/>
        <item x="2"/>
        <item x="4"/>
        <item m="1" x="8"/>
        <item m="1" x="7"/>
        <item t="default"/>
      </items>
    </pivotField>
    <pivotField showAll="0">
      <items count="149">
        <item m="1" x="107"/>
        <item m="1" x="127"/>
        <item m="1" x="116"/>
        <item m="1" x="61"/>
        <item m="1" x="114"/>
        <item m="1" x="99"/>
        <item m="1" x="135"/>
        <item m="1" x="86"/>
        <item m="1" x="142"/>
        <item x="33"/>
        <item m="1" x="120"/>
        <item x="11"/>
        <item m="1" x="109"/>
        <item m="1" x="53"/>
        <item m="1" x="97"/>
        <item x="38"/>
        <item m="1" x="91"/>
        <item m="1" x="93"/>
        <item m="1" x="76"/>
        <item m="1" x="68"/>
        <item m="1" x="133"/>
        <item m="1" x="85"/>
        <item m="1" x="139"/>
        <item m="1" x="117"/>
        <item m="1" x="73"/>
        <item m="1" x="106"/>
        <item m="1" x="124"/>
        <item m="1" x="65"/>
        <item m="1" x="123"/>
        <item m="1" x="111"/>
        <item m="1" x="130"/>
        <item m="1" x="57"/>
        <item m="1" x="62"/>
        <item m="1" x="113"/>
        <item x="10"/>
        <item m="1" x="79"/>
        <item m="1" x="112"/>
        <item m="1" x="54"/>
        <item x="12"/>
        <item m="1" x="121"/>
        <item m="1" x="102"/>
        <item x="37"/>
        <item x="17"/>
        <item m="1" x="58"/>
        <item x="29"/>
        <item m="1" x="60"/>
        <item m="1" x="131"/>
        <item m="1" x="64"/>
        <item m="1" x="95"/>
        <item x="3"/>
        <item m="1" x="80"/>
        <item m="1" x="100"/>
        <item m="1" x="96"/>
        <item x="20"/>
        <item m="1" x="51"/>
        <item m="1" x="71"/>
        <item m="1" x="67"/>
        <item x="26"/>
        <item m="1" x="55"/>
        <item m="1" x="138"/>
        <item m="1" x="132"/>
        <item m="1" x="101"/>
        <item m="1" x="59"/>
        <item m="1" x="104"/>
        <item x="32"/>
        <item m="1" x="42"/>
        <item m="1" x="118"/>
        <item m="1" x="122"/>
        <item x="27"/>
        <item m="1" x="49"/>
        <item x="40"/>
        <item x="24"/>
        <item m="1" x="87"/>
        <item m="1" x="92"/>
        <item m="1" x="125"/>
        <item m="1" x="103"/>
        <item m="1" x="78"/>
        <item m="1" x="119"/>
        <item m="1" x="146"/>
        <item x="39"/>
        <item x="8"/>
        <item x="9"/>
        <item m="1" x="46"/>
        <item m="1" x="43"/>
        <item m="1" x="44"/>
        <item m="1" x="145"/>
        <item x="35"/>
        <item x="30"/>
        <item m="1" x="63"/>
        <item x="25"/>
        <item m="1" x="108"/>
        <item x="36"/>
        <item x="31"/>
        <item m="1" x="84"/>
        <item m="1" x="147"/>
        <item x="18"/>
        <item m="1" x="94"/>
        <item x="2"/>
        <item m="1" x="90"/>
        <item x="28"/>
        <item m="1" x="88"/>
        <item m="1" x="48"/>
        <item m="1" x="82"/>
        <item m="1" x="126"/>
        <item x="0"/>
        <item m="1" x="81"/>
        <item m="1" x="144"/>
        <item m="1" x="136"/>
        <item m="1" x="74"/>
        <item m="1" x="47"/>
        <item x="6"/>
        <item m="1" x="52"/>
        <item m="1" x="83"/>
        <item x="4"/>
        <item x="14"/>
        <item m="1" x="66"/>
        <item m="1" x="72"/>
        <item x="13"/>
        <item m="1" x="143"/>
        <item m="1" x="141"/>
        <item x="1"/>
        <item m="1" x="70"/>
        <item m="1" x="56"/>
        <item m="1" x="50"/>
        <item x="7"/>
        <item x="23"/>
        <item m="1" x="105"/>
        <item x="22"/>
        <item m="1" x="129"/>
        <item x="19"/>
        <item m="1" x="98"/>
        <item m="1" x="75"/>
        <item x="21"/>
        <item x="41"/>
        <item x="5"/>
        <item m="1" x="137"/>
        <item x="15"/>
        <item m="1" x="77"/>
        <item x="16"/>
        <item m="1" x="115"/>
        <item m="1" x="110"/>
        <item m="1" x="140"/>
        <item m="1" x="69"/>
        <item x="34"/>
        <item m="1" x="128"/>
        <item m="1" x="134"/>
        <item m="1" x="89"/>
        <item m="1" x="4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2">
    <field x="28"/>
    <field x="-2"/>
  </rowFields>
  <rowItems count="39">
    <i>
      <x v="1"/>
    </i>
    <i r="1">
      <x/>
    </i>
    <i r="1" i="1">
      <x v="1"/>
    </i>
    <i r="1" i="2">
      <x v="2"/>
    </i>
    <i r="1" i="3">
      <x v="3"/>
    </i>
    <i>
      <x v="2"/>
    </i>
    <i r="1">
      <x/>
    </i>
    <i r="1" i="1">
      <x v="1"/>
    </i>
    <i r="1" i="2">
      <x v="2"/>
    </i>
    <i r="1" i="3">
      <x v="3"/>
    </i>
    <i>
      <x v="3"/>
    </i>
    <i r="1">
      <x/>
    </i>
    <i r="1" i="1">
      <x v="1"/>
    </i>
    <i r="1" i="2">
      <x v="2"/>
    </i>
    <i r="1" i="3">
      <x v="3"/>
    </i>
    <i>
      <x v="6"/>
    </i>
    <i r="1">
      <x/>
    </i>
    <i r="1" i="1">
      <x v="1"/>
    </i>
    <i r="1" i="2">
      <x v="2"/>
    </i>
    <i r="1" i="3">
      <x v="3"/>
    </i>
    <i>
      <x v="7"/>
    </i>
    <i r="1">
      <x/>
    </i>
    <i r="1" i="1">
      <x v="1"/>
    </i>
    <i r="1" i="2">
      <x v="2"/>
    </i>
    <i r="1" i="3">
      <x v="3"/>
    </i>
    <i>
      <x v="9"/>
    </i>
    <i r="1">
      <x/>
    </i>
    <i r="1" i="1">
      <x v="1"/>
    </i>
    <i r="1" i="2">
      <x v="2"/>
    </i>
    <i r="1" i="3">
      <x v="3"/>
    </i>
    <i>
      <x v="10"/>
    </i>
    <i r="1">
      <x/>
    </i>
    <i r="1" i="1">
      <x v="1"/>
    </i>
    <i r="1" i="2">
      <x v="2"/>
    </i>
    <i r="1" i="3">
      <x v="3"/>
    </i>
    <i t="grand">
      <x/>
    </i>
    <i t="grand" i="1">
      <x/>
    </i>
    <i t="grand" i="2">
      <x/>
    </i>
    <i t="grand" i="3">
      <x/>
    </i>
  </rowItems>
  <colFields count="2">
    <field x="14"/>
    <field x="15"/>
  </colFields>
  <colItems count="5">
    <i>
      <x/>
      <x v="1"/>
    </i>
    <i r="1">
      <x v="2"/>
    </i>
    <i t="default">
      <x/>
    </i>
    <i>
      <x v="1"/>
    </i>
    <i t="grand">
      <x/>
    </i>
  </colItems>
  <dataFields count="4">
    <dataField numFmtId="3" name="COUNT." fld="8" subtotal="count" baseField="4" baseItem="0"/>
    <dataField numFmtId="201" name="%" fld="8" showDataAs="percentOfRow" baseField="4" baseItem="0"/>
    <dataField numFmtId="200" name="ENR." fld="8" baseField="0" baseItem="0"/>
    <dataField numFmtId="200" name="AMT." fld="16" baseField="0" baseItem="0"/>
  </dataFields>
  <conditionalFormats count="1">
    <conditionalFormat priority="40">
      <pivotAreas count="1">
        <pivotArea type="data" outline="0" collapsedLevelsAreSubtotals="1" fieldPosition="0">
          <references count="2">
            <reference field="4294967294" count="1" selected="0">
              <x v="1"/>
            </reference>
            <reference field="14" count="1" selected="0" defaultSubtotal="1">
              <x v="0"/>
            </reference>
          </references>
        </pivotArea>
      </pivotAreas>
    </conditionalFormat>
  </conditionalFormat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1" cacheId="682" dataOnRows="1" applyNumberFormats="1" applyBorderFormats="0" applyFontFormats="0" applyPatternFormats="0" applyAlignmentFormats="0" applyWidthHeightFormats="1" dataCaption="Values" updatedVersion="8" minRefreshableVersion="3" itemPrintTitles="1" createdVersion="4" indent="0" outline="1" outlineData="1" multipleFieldFilters="0" colHeaderCaption="MIS">
  <location ref="A1:F92" firstHeaderRow="1" firstDataRow="3" firstDataCol="1"/>
  <pivotFields count="46">
    <pivotField showAll="0"/>
    <pivotField showAll="0"/>
    <pivotField showAll="0"/>
    <pivotField axis="axisRow" showAll="0" sortType="ascending">
      <items count="29">
        <item x="0"/>
        <item x="1"/>
        <item x="2"/>
        <item m="1" x="20"/>
        <item x="3"/>
        <item m="1" x="27"/>
        <item x="4"/>
        <item x="5"/>
        <item m="1" x="21"/>
        <item x="6"/>
        <item x="7"/>
        <item m="1" x="17"/>
        <item x="8"/>
        <item x="9"/>
        <item x="10"/>
        <item m="1" x="22"/>
        <item x="11"/>
        <item m="1" x="18"/>
        <item x="12"/>
        <item x="13"/>
        <item m="1" x="23"/>
        <item x="16"/>
        <item x="14"/>
        <item x="15"/>
        <item m="1" x="24"/>
        <item m="1" x="25"/>
        <item m="1" x="19"/>
        <item m="1" x="26"/>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3">
        <item x="0"/>
        <item sd="0" x="1"/>
        <item t="default"/>
      </items>
    </pivotField>
    <pivotField axis="axisCol" showAll="0">
      <items count="5">
        <item x="1"/>
        <item x="0"/>
        <item x="2"/>
        <item m="1" x="3"/>
        <item t="default"/>
      </items>
    </pivotField>
    <pivotField dataField="1" showAll="0"/>
    <pivotField showAll="0"/>
    <pivotField showAll="0"/>
    <pivotField showAll="0"/>
    <pivotField showAll="0"/>
    <pivotField showAll="0"/>
    <pivotField showAll="0">
      <items count="18">
        <item m="1" x="16"/>
        <item x="2"/>
        <item x="1"/>
        <item m="1" x="10"/>
        <item x="3"/>
        <item m="1" x="8"/>
        <item m="1" x="12"/>
        <item m="1" x="13"/>
        <item m="1" x="5"/>
        <item m="1" x="15"/>
        <item m="1" x="6"/>
        <item x="0"/>
        <item m="1" x="14"/>
        <item m="1" x="7"/>
        <item m="1" x="11"/>
        <item m="1" x="9"/>
        <item m="1" x="4"/>
        <item t="default"/>
      </items>
    </pivotField>
    <pivotField showAll="0"/>
    <pivotField showAll="0"/>
    <pivotField showAll="0"/>
    <pivotField showAll="0"/>
    <pivotField showAll="0"/>
    <pivotField showAll="0">
      <items count="14">
        <item m="1" x="10"/>
        <item x="3"/>
        <item x="1"/>
        <item x="0"/>
        <item m="1" x="12"/>
        <item m="1" x="9"/>
        <item x="5"/>
        <item x="6"/>
        <item m="1" x="11"/>
        <item x="2"/>
        <item x="4"/>
        <item m="1" x="8"/>
        <item m="1" x="7"/>
        <item t="default"/>
      </items>
    </pivotField>
    <pivotField showAll="0">
      <items count="149">
        <item m="1" x="107"/>
        <item m="1" x="127"/>
        <item m="1" x="116"/>
        <item m="1" x="61"/>
        <item m="1" x="114"/>
        <item m="1" x="99"/>
        <item m="1" x="135"/>
        <item m="1" x="86"/>
        <item m="1" x="142"/>
        <item x="33"/>
        <item m="1" x="120"/>
        <item x="11"/>
        <item m="1" x="109"/>
        <item m="1" x="53"/>
        <item m="1" x="97"/>
        <item x="38"/>
        <item m="1" x="91"/>
        <item m="1" x="93"/>
        <item m="1" x="76"/>
        <item m="1" x="68"/>
        <item m="1" x="133"/>
        <item m="1" x="85"/>
        <item m="1" x="139"/>
        <item m="1" x="117"/>
        <item m="1" x="73"/>
        <item m="1" x="106"/>
        <item m="1" x="124"/>
        <item m="1" x="65"/>
        <item m="1" x="123"/>
        <item m="1" x="111"/>
        <item m="1" x="130"/>
        <item m="1" x="57"/>
        <item m="1" x="62"/>
        <item m="1" x="113"/>
        <item x="10"/>
        <item m="1" x="79"/>
        <item m="1" x="112"/>
        <item m="1" x="54"/>
        <item x="12"/>
        <item m="1" x="121"/>
        <item m="1" x="102"/>
        <item x="37"/>
        <item x="17"/>
        <item m="1" x="58"/>
        <item x="29"/>
        <item m="1" x="60"/>
        <item m="1" x="131"/>
        <item m="1" x="64"/>
        <item m="1" x="95"/>
        <item x="3"/>
        <item m="1" x="80"/>
        <item m="1" x="100"/>
        <item m="1" x="96"/>
        <item x="20"/>
        <item m="1" x="51"/>
        <item m="1" x="71"/>
        <item m="1" x="67"/>
        <item x="26"/>
        <item m="1" x="55"/>
        <item m="1" x="138"/>
        <item m="1" x="132"/>
        <item m="1" x="101"/>
        <item m="1" x="59"/>
        <item m="1" x="104"/>
        <item x="32"/>
        <item m="1" x="42"/>
        <item m="1" x="118"/>
        <item m="1" x="122"/>
        <item x="27"/>
        <item m="1" x="49"/>
        <item x="40"/>
        <item x="24"/>
        <item m="1" x="87"/>
        <item m="1" x="92"/>
        <item m="1" x="125"/>
        <item m="1" x="103"/>
        <item m="1" x="78"/>
        <item m="1" x="119"/>
        <item m="1" x="146"/>
        <item x="39"/>
        <item x="8"/>
        <item x="9"/>
        <item m="1" x="46"/>
        <item m="1" x="43"/>
        <item m="1" x="44"/>
        <item m="1" x="145"/>
        <item x="35"/>
        <item x="30"/>
        <item m="1" x="63"/>
        <item x="25"/>
        <item m="1" x="108"/>
        <item x="36"/>
        <item x="31"/>
        <item m="1" x="84"/>
        <item m="1" x="147"/>
        <item x="18"/>
        <item m="1" x="94"/>
        <item x="2"/>
        <item m="1" x="90"/>
        <item x="28"/>
        <item m="1" x="88"/>
        <item m="1" x="48"/>
        <item m="1" x="82"/>
        <item m="1" x="126"/>
        <item x="0"/>
        <item m="1" x="81"/>
        <item m="1" x="144"/>
        <item m="1" x="136"/>
        <item m="1" x="74"/>
        <item m="1" x="47"/>
        <item x="6"/>
        <item m="1" x="52"/>
        <item m="1" x="83"/>
        <item x="4"/>
        <item x="14"/>
        <item m="1" x="66"/>
        <item m="1" x="72"/>
        <item x="13"/>
        <item m="1" x="143"/>
        <item m="1" x="141"/>
        <item x="1"/>
        <item m="1" x="70"/>
        <item m="1" x="56"/>
        <item m="1" x="50"/>
        <item x="7"/>
        <item x="23"/>
        <item m="1" x="105"/>
        <item x="22"/>
        <item m="1" x="129"/>
        <item x="19"/>
        <item m="1" x="98"/>
        <item m="1" x="75"/>
        <item x="21"/>
        <item x="41"/>
        <item x="5"/>
        <item m="1" x="137"/>
        <item x="15"/>
        <item m="1" x="77"/>
        <item x="16"/>
        <item m="1" x="115"/>
        <item m="1" x="110"/>
        <item m="1" x="140"/>
        <item m="1" x="69"/>
        <item x="34"/>
        <item m="1" x="128"/>
        <item m="1" x="134"/>
        <item m="1" x="89"/>
        <item m="1" x="4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2">
    <field x="3"/>
    <field x="-2"/>
  </rowFields>
  <rowItems count="89">
    <i>
      <x/>
    </i>
    <i r="1">
      <x/>
    </i>
    <i r="1" i="1">
      <x v="1"/>
    </i>
    <i r="1" i="2">
      <x v="2"/>
    </i>
    <i r="1" i="3">
      <x v="3"/>
    </i>
    <i>
      <x v="1"/>
    </i>
    <i r="1">
      <x/>
    </i>
    <i r="1" i="1">
      <x v="1"/>
    </i>
    <i r="1" i="2">
      <x v="2"/>
    </i>
    <i r="1" i="3">
      <x v="3"/>
    </i>
    <i>
      <x v="2"/>
    </i>
    <i r="1">
      <x/>
    </i>
    <i r="1" i="1">
      <x v="1"/>
    </i>
    <i r="1" i="2">
      <x v="2"/>
    </i>
    <i r="1" i="3">
      <x v="3"/>
    </i>
    <i>
      <x v="4"/>
    </i>
    <i r="1">
      <x/>
    </i>
    <i r="1" i="1">
      <x v="1"/>
    </i>
    <i r="1" i="2">
      <x v="2"/>
    </i>
    <i r="1" i="3">
      <x v="3"/>
    </i>
    <i>
      <x v="6"/>
    </i>
    <i r="1">
      <x/>
    </i>
    <i r="1" i="1">
      <x v="1"/>
    </i>
    <i r="1" i="2">
      <x v="2"/>
    </i>
    <i r="1" i="3">
      <x v="3"/>
    </i>
    <i>
      <x v="7"/>
    </i>
    <i r="1">
      <x/>
    </i>
    <i r="1" i="1">
      <x v="1"/>
    </i>
    <i r="1" i="2">
      <x v="2"/>
    </i>
    <i r="1" i="3">
      <x v="3"/>
    </i>
    <i>
      <x v="9"/>
    </i>
    <i r="1">
      <x/>
    </i>
    <i r="1" i="1">
      <x v="1"/>
    </i>
    <i r="1" i="2">
      <x v="2"/>
    </i>
    <i r="1" i="3">
      <x v="3"/>
    </i>
    <i>
      <x v="10"/>
    </i>
    <i r="1">
      <x/>
    </i>
    <i r="1" i="1">
      <x v="1"/>
    </i>
    <i r="1" i="2">
      <x v="2"/>
    </i>
    <i r="1" i="3">
      <x v="3"/>
    </i>
    <i>
      <x v="12"/>
    </i>
    <i r="1">
      <x/>
    </i>
    <i r="1" i="1">
      <x v="1"/>
    </i>
    <i r="1" i="2">
      <x v="2"/>
    </i>
    <i r="1" i="3">
      <x v="3"/>
    </i>
    <i>
      <x v="13"/>
    </i>
    <i r="1">
      <x/>
    </i>
    <i r="1" i="1">
      <x v="1"/>
    </i>
    <i r="1" i="2">
      <x v="2"/>
    </i>
    <i r="1" i="3">
      <x v="3"/>
    </i>
    <i>
      <x v="14"/>
    </i>
    <i r="1">
      <x/>
    </i>
    <i r="1" i="1">
      <x v="1"/>
    </i>
    <i r="1" i="2">
      <x v="2"/>
    </i>
    <i r="1" i="3">
      <x v="3"/>
    </i>
    <i>
      <x v="16"/>
    </i>
    <i r="1">
      <x/>
    </i>
    <i r="1" i="1">
      <x v="1"/>
    </i>
    <i r="1" i="2">
      <x v="2"/>
    </i>
    <i r="1" i="3">
      <x v="3"/>
    </i>
    <i>
      <x v="18"/>
    </i>
    <i r="1">
      <x/>
    </i>
    <i r="1" i="1">
      <x v="1"/>
    </i>
    <i r="1" i="2">
      <x v="2"/>
    </i>
    <i r="1" i="3">
      <x v="3"/>
    </i>
    <i>
      <x v="19"/>
    </i>
    <i r="1">
      <x/>
    </i>
    <i r="1" i="1">
      <x v="1"/>
    </i>
    <i r="1" i="2">
      <x v="2"/>
    </i>
    <i r="1" i="3">
      <x v="3"/>
    </i>
    <i>
      <x v="21"/>
    </i>
    <i r="1">
      <x/>
    </i>
    <i r="1" i="1">
      <x v="1"/>
    </i>
    <i r="1" i="2">
      <x v="2"/>
    </i>
    <i r="1" i="3">
      <x v="3"/>
    </i>
    <i>
      <x v="22"/>
    </i>
    <i r="1">
      <x/>
    </i>
    <i r="1" i="1">
      <x v="1"/>
    </i>
    <i r="1" i="2">
      <x v="2"/>
    </i>
    <i r="1" i="3">
      <x v="3"/>
    </i>
    <i>
      <x v="23"/>
    </i>
    <i r="1">
      <x/>
    </i>
    <i r="1" i="1">
      <x v="1"/>
    </i>
    <i r="1" i="2">
      <x v="2"/>
    </i>
    <i r="1" i="3">
      <x v="3"/>
    </i>
    <i t="grand">
      <x/>
    </i>
    <i t="grand" i="1">
      <x/>
    </i>
    <i t="grand" i="2">
      <x/>
    </i>
    <i t="grand" i="3">
      <x/>
    </i>
  </rowItems>
  <colFields count="2">
    <field x="14"/>
    <field x="15"/>
  </colFields>
  <colItems count="5">
    <i>
      <x/>
      <x v="1"/>
    </i>
    <i r="1">
      <x v="2"/>
    </i>
    <i t="default">
      <x/>
    </i>
    <i>
      <x v="1"/>
    </i>
    <i t="grand">
      <x/>
    </i>
  </colItems>
  <dataFields count="4">
    <dataField numFmtId="3" name="Count of ENR" fld="8" subtotal="count" baseField="3" baseItem="0"/>
    <dataField numFmtId="201" name="Sum of ENR2" fld="8" showDataAs="percentOfRow" baseField="3" baseItem="0"/>
    <dataField numFmtId="200" name="Sum of ENR" fld="8" baseField="0" baseItem="0"/>
    <dataField numFmtId="200" name="Sum of AMOUNT" fld="16" baseField="0" baseItem="0"/>
  </dataFields>
  <conditionalFormats count="1">
    <conditionalFormat priority="7">
      <pivotAreas count="1">
        <pivotArea type="data" outline="0" collapsedLevelsAreSubtotals="1" fieldPosition="0">
          <references count="2">
            <reference field="4294967294" count="1" selected="0">
              <x v="1"/>
            </reference>
            <reference field="14" count="1" selected="0" defaultSubtotal="1">
              <x v="0"/>
            </reference>
          </references>
        </pivotArea>
      </pivotAreas>
    </conditionalFormat>
  </conditionalFormat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682" applyNumberFormats="1"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K1:T46" firstHeaderRow="1" firstDataRow="3" firstDataCol="1"/>
  <pivotFields count="46">
    <pivotField showAll="0"/>
    <pivotField showAll="0"/>
    <pivotField showAll="0"/>
    <pivotField showAll="0">
      <items count="29">
        <item x="0"/>
        <item x="1"/>
        <item x="2"/>
        <item m="1" x="20"/>
        <item x="3"/>
        <item m="1" x="27"/>
        <item x="4"/>
        <item x="5"/>
        <item m="1" x="21"/>
        <item x="6"/>
        <item x="7"/>
        <item m="1" x="17"/>
        <item x="8"/>
        <item x="9"/>
        <item x="10"/>
        <item m="1" x="22"/>
        <item x="11"/>
        <item m="1" x="18"/>
        <item x="12"/>
        <item x="13"/>
        <item m="1" x="23"/>
        <item x="16"/>
        <item x="14"/>
        <item x="15"/>
        <item m="1" x="24"/>
        <item m="1" x="25"/>
        <item m="1" x="19"/>
        <item m="1" x="26"/>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3">
        <item x="0"/>
        <item sd="0" x="1"/>
        <item t="default"/>
      </items>
    </pivotField>
    <pivotField showAll="0"/>
    <pivotField showAll="0"/>
    <pivotField showAll="0"/>
    <pivotField showAll="0"/>
    <pivotField showAll="0"/>
    <pivotField showAll="0"/>
    <pivotField showAll="0"/>
    <pivotField showAll="0">
      <items count="18">
        <item m="1" x="16"/>
        <item x="2"/>
        <item x="1"/>
        <item m="1" x="10"/>
        <item x="3"/>
        <item m="1" x="8"/>
        <item m="1" x="12"/>
        <item m="1" x="13"/>
        <item m="1" x="5"/>
        <item m="1" x="15"/>
        <item m="1" x="6"/>
        <item x="0"/>
        <item m="1" x="14"/>
        <item m="1" x="7"/>
        <item m="1" x="11"/>
        <item m="1" x="9"/>
        <item m="1" x="4"/>
        <item t="default"/>
      </items>
    </pivotField>
    <pivotField showAll="0"/>
    <pivotField showAll="0"/>
    <pivotField showAll="0"/>
    <pivotField showAll="0"/>
    <pivotField showAll="0"/>
    <pivotField showAll="0">
      <items count="14">
        <item m="1" x="10"/>
        <item x="3"/>
        <item x="1"/>
        <item x="0"/>
        <item m="1" x="12"/>
        <item m="1" x="9"/>
        <item x="5"/>
        <item x="6"/>
        <item m="1" x="11"/>
        <item x="2"/>
        <item x="4"/>
        <item m="1" x="8"/>
        <item m="1" x="7"/>
        <item t="default"/>
      </items>
    </pivotField>
    <pivotField axis="axisRow" showAll="0" sortType="ascending">
      <items count="149">
        <item m="1" x="107"/>
        <item m="1" x="127"/>
        <item m="1" x="116"/>
        <item m="1" x="61"/>
        <item m="1" x="114"/>
        <item m="1" x="99"/>
        <item m="1" x="135"/>
        <item m="1" x="86"/>
        <item m="1" x="142"/>
        <item x="33"/>
        <item m="1" x="120"/>
        <item x="11"/>
        <item m="1" x="109"/>
        <item m="1" x="53"/>
        <item m="1" x="97"/>
        <item x="38"/>
        <item m="1" x="91"/>
        <item m="1" x="93"/>
        <item m="1" x="76"/>
        <item m="1" x="68"/>
        <item m="1" x="133"/>
        <item m="1" x="85"/>
        <item m="1" x="139"/>
        <item m="1" x="117"/>
        <item m="1" x="73"/>
        <item m="1" x="106"/>
        <item m="1" x="124"/>
        <item m="1" x="65"/>
        <item m="1" x="123"/>
        <item m="1" x="111"/>
        <item m="1" x="130"/>
        <item m="1" x="57"/>
        <item m="1" x="62"/>
        <item m="1" x="113"/>
        <item x="10"/>
        <item m="1" x="79"/>
        <item m="1" x="112"/>
        <item m="1" x="54"/>
        <item x="12"/>
        <item m="1" x="121"/>
        <item m="1" x="102"/>
        <item x="37"/>
        <item x="17"/>
        <item m="1" x="58"/>
        <item x="29"/>
        <item m="1" x="60"/>
        <item m="1" x="131"/>
        <item m="1" x="64"/>
        <item m="1" x="95"/>
        <item x="3"/>
        <item m="1" x="80"/>
        <item m="1" x="100"/>
        <item m="1" x="96"/>
        <item x="20"/>
        <item m="1" x="51"/>
        <item m="1" x="71"/>
        <item m="1" x="67"/>
        <item x="26"/>
        <item m="1" x="55"/>
        <item m="1" x="138"/>
        <item m="1" x="132"/>
        <item m="1" x="101"/>
        <item m="1" x="59"/>
        <item m="1" x="104"/>
        <item x="32"/>
        <item m="1" x="42"/>
        <item m="1" x="118"/>
        <item m="1" x="122"/>
        <item x="27"/>
        <item m="1" x="49"/>
        <item x="40"/>
        <item x="24"/>
        <item m="1" x="87"/>
        <item m="1" x="92"/>
        <item m="1" x="125"/>
        <item m="1" x="103"/>
        <item m="1" x="78"/>
        <item m="1" x="119"/>
        <item m="1" x="146"/>
        <item x="39"/>
        <item x="8"/>
        <item x="9"/>
        <item m="1" x="46"/>
        <item m="1" x="43"/>
        <item m="1" x="44"/>
        <item m="1" x="145"/>
        <item x="35"/>
        <item x="30"/>
        <item m="1" x="63"/>
        <item x="25"/>
        <item m="1" x="108"/>
        <item x="36"/>
        <item x="31"/>
        <item m="1" x="84"/>
        <item m="1" x="147"/>
        <item x="18"/>
        <item m="1" x="94"/>
        <item x="2"/>
        <item m="1" x="90"/>
        <item x="28"/>
        <item m="1" x="88"/>
        <item m="1" x="48"/>
        <item m="1" x="82"/>
        <item m="1" x="126"/>
        <item x="0"/>
        <item m="1" x="81"/>
        <item m="1" x="144"/>
        <item m="1" x="136"/>
        <item m="1" x="74"/>
        <item m="1" x="47"/>
        <item x="6"/>
        <item m="1" x="52"/>
        <item m="1" x="83"/>
        <item x="4"/>
        <item x="14"/>
        <item m="1" x="66"/>
        <item m="1" x="72"/>
        <item x="13"/>
        <item m="1" x="143"/>
        <item m="1" x="141"/>
        <item x="1"/>
        <item m="1" x="70"/>
        <item m="1" x="56"/>
        <item m="1" x="50"/>
        <item x="7"/>
        <item x="23"/>
        <item m="1" x="105"/>
        <item x="22"/>
        <item m="1" x="129"/>
        <item x="19"/>
        <item m="1" x="98"/>
        <item m="1" x="75"/>
        <item x="21"/>
        <item x="41"/>
        <item x="5"/>
        <item m="1" x="137"/>
        <item x="15"/>
        <item m="1" x="77"/>
        <item x="16"/>
        <item m="1" x="115"/>
        <item m="1" x="110"/>
        <item m="1" x="140"/>
        <item m="1" x="69"/>
        <item x="34"/>
        <item m="1" x="128"/>
        <item m="1" x="134"/>
        <item m="1" x="89"/>
        <item m="1" x="4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29"/>
  </rowFields>
  <rowItems count="43">
    <i>
      <x v="9"/>
    </i>
    <i>
      <x v="11"/>
    </i>
    <i>
      <x v="15"/>
    </i>
    <i>
      <x v="34"/>
    </i>
    <i>
      <x v="38"/>
    </i>
    <i>
      <x v="41"/>
    </i>
    <i>
      <x v="42"/>
    </i>
    <i>
      <x v="44"/>
    </i>
    <i>
      <x v="49"/>
    </i>
    <i>
      <x v="53"/>
    </i>
    <i>
      <x v="57"/>
    </i>
    <i>
      <x v="64"/>
    </i>
    <i>
      <x v="68"/>
    </i>
    <i>
      <x v="70"/>
    </i>
    <i>
      <x v="71"/>
    </i>
    <i>
      <x v="79"/>
    </i>
    <i>
      <x v="80"/>
    </i>
    <i>
      <x v="81"/>
    </i>
    <i>
      <x v="86"/>
    </i>
    <i>
      <x v="87"/>
    </i>
    <i>
      <x v="89"/>
    </i>
    <i>
      <x v="91"/>
    </i>
    <i>
      <x v="92"/>
    </i>
    <i>
      <x v="95"/>
    </i>
    <i>
      <x v="97"/>
    </i>
    <i>
      <x v="99"/>
    </i>
    <i>
      <x v="104"/>
    </i>
    <i>
      <x v="110"/>
    </i>
    <i>
      <x v="113"/>
    </i>
    <i>
      <x v="114"/>
    </i>
    <i>
      <x v="117"/>
    </i>
    <i>
      <x v="120"/>
    </i>
    <i>
      <x v="124"/>
    </i>
    <i>
      <x v="125"/>
    </i>
    <i>
      <x v="127"/>
    </i>
    <i>
      <x v="129"/>
    </i>
    <i>
      <x v="132"/>
    </i>
    <i>
      <x v="133"/>
    </i>
    <i>
      <x v="134"/>
    </i>
    <i>
      <x v="136"/>
    </i>
    <i>
      <x v="138"/>
    </i>
    <i>
      <x v="143"/>
    </i>
    <i t="grand">
      <x/>
    </i>
  </rowItems>
  <colFields count="2">
    <field x="14"/>
    <field x="-2"/>
  </colFields>
  <colItems count="9">
    <i>
      <x/>
      <x/>
    </i>
    <i r="1" i="1">
      <x v="1"/>
    </i>
    <i r="1" i="2">
      <x v="2"/>
    </i>
    <i>
      <x v="1"/>
      <x/>
    </i>
    <i r="1" i="1">
      <x v="1"/>
    </i>
    <i r="1" i="2">
      <x v="2"/>
    </i>
    <i t="grand">
      <x/>
    </i>
    <i t="grand" i="1">
      <x/>
    </i>
    <i t="grand" i="2">
      <x/>
    </i>
  </colItems>
  <dataFields count="3">
    <dataField numFmtId="3" name="COUNT." fld="8" subtotal="count" baseField="22" baseItem="1"/>
    <dataField numFmtId="201" name="%" fld="8" showDataAs="percentOfRow" baseField="22" baseItem="1"/>
    <dataField numFmtId="200" name="ENR." fld="8" baseField="0" baseItem="0"/>
  </dataFields>
  <conditionalFormats count="1">
    <conditionalFormat priority="44">
      <pivotAreas count="1">
        <pivotArea type="data" outline="0" collapsedLevelsAreSubtotals="1" fieldPosition="0">
          <references count="2">
            <reference field="4294967294" count="1" selected="0">
              <x v="1"/>
            </reference>
            <reference field="14" count="1" selected="0">
              <x v="0"/>
            </reference>
          </references>
        </pivotArea>
      </pivotAreas>
    </conditionalFormat>
  </conditionalFormat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7" cacheId="682" dataOnRows="1" applyNumberFormats="1"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AC3:AD46" firstHeaderRow="1" firstDataRow="1" firstDataCol="1"/>
  <pivotFields count="46">
    <pivotField showAll="0"/>
    <pivotField showAll="0"/>
    <pivotField showAll="0"/>
    <pivotField showAll="0">
      <items count="29">
        <item x="0"/>
        <item x="1"/>
        <item x="2"/>
        <item m="1" x="20"/>
        <item x="3"/>
        <item m="1" x="27"/>
        <item x="4"/>
        <item x="5"/>
        <item m="1" x="21"/>
        <item x="6"/>
        <item x="7"/>
        <item m="1" x="17"/>
        <item x="8"/>
        <item x="9"/>
        <item x="10"/>
        <item m="1" x="22"/>
        <item x="11"/>
        <item m="1" x="18"/>
        <item x="12"/>
        <item x="13"/>
        <item m="1" x="23"/>
        <item x="16"/>
        <item x="14"/>
        <item x="15"/>
        <item m="1" x="24"/>
        <item m="1" x="25"/>
        <item m="1" x="19"/>
        <item m="1" x="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8">
        <item m="1" x="16"/>
        <item x="2"/>
        <item x="1"/>
        <item m="1" x="10"/>
        <item x="3"/>
        <item m="1" x="8"/>
        <item m="1" x="12"/>
        <item m="1" x="13"/>
        <item m="1" x="5"/>
        <item m="1" x="15"/>
        <item m="1" x="6"/>
        <item x="0"/>
        <item m="1" x="14"/>
        <item m="1" x="7"/>
        <item m="1" x="11"/>
        <item m="1" x="9"/>
        <item m="1" x="4"/>
        <item t="default"/>
      </items>
    </pivotField>
    <pivotField showAll="0"/>
    <pivotField showAll="0"/>
    <pivotField showAll="0"/>
    <pivotField showAll="0"/>
    <pivotField showAll="0"/>
    <pivotField showAll="0">
      <items count="14">
        <item m="1" x="10"/>
        <item x="3"/>
        <item x="1"/>
        <item x="0"/>
        <item m="1" x="12"/>
        <item m="1" x="9"/>
        <item x="5"/>
        <item x="6"/>
        <item m="1" x="11"/>
        <item x="2"/>
        <item x="4"/>
        <item m="1" x="8"/>
        <item m="1" x="7"/>
        <item t="default"/>
      </items>
    </pivotField>
    <pivotField axis="axisRow" showAll="0" sortType="ascending">
      <items count="149">
        <item m="1" x="107"/>
        <item m="1" x="127"/>
        <item m="1" x="116"/>
        <item m="1" x="61"/>
        <item m="1" x="114"/>
        <item m="1" x="99"/>
        <item m="1" x="135"/>
        <item m="1" x="86"/>
        <item m="1" x="142"/>
        <item x="33"/>
        <item m="1" x="120"/>
        <item x="11"/>
        <item m="1" x="109"/>
        <item m="1" x="53"/>
        <item m="1" x="97"/>
        <item x="38"/>
        <item m="1" x="91"/>
        <item m="1" x="93"/>
        <item m="1" x="76"/>
        <item m="1" x="68"/>
        <item m="1" x="133"/>
        <item m="1" x="85"/>
        <item m="1" x="139"/>
        <item m="1" x="117"/>
        <item m="1" x="73"/>
        <item m="1" x="106"/>
        <item m="1" x="124"/>
        <item m="1" x="65"/>
        <item m="1" x="123"/>
        <item m="1" x="111"/>
        <item m="1" x="130"/>
        <item m="1" x="57"/>
        <item m="1" x="62"/>
        <item m="1" x="113"/>
        <item x="10"/>
        <item m="1" x="79"/>
        <item m="1" x="112"/>
        <item m="1" x="54"/>
        <item x="12"/>
        <item m="1" x="121"/>
        <item m="1" x="102"/>
        <item x="37"/>
        <item x="17"/>
        <item m="1" x="58"/>
        <item x="29"/>
        <item m="1" x="60"/>
        <item m="1" x="131"/>
        <item m="1" x="64"/>
        <item m="1" x="95"/>
        <item x="3"/>
        <item m="1" x="80"/>
        <item m="1" x="100"/>
        <item m="1" x="96"/>
        <item x="20"/>
        <item m="1" x="51"/>
        <item m="1" x="71"/>
        <item m="1" x="67"/>
        <item x="26"/>
        <item m="1" x="55"/>
        <item m="1" x="138"/>
        <item m="1" x="132"/>
        <item m="1" x="101"/>
        <item m="1" x="59"/>
        <item m="1" x="104"/>
        <item x="32"/>
        <item m="1" x="42"/>
        <item m="1" x="118"/>
        <item m="1" x="122"/>
        <item x="27"/>
        <item m="1" x="49"/>
        <item x="40"/>
        <item x="24"/>
        <item m="1" x="87"/>
        <item m="1" x="92"/>
        <item m="1" x="125"/>
        <item m="1" x="103"/>
        <item m="1" x="78"/>
        <item m="1" x="119"/>
        <item m="1" x="146"/>
        <item x="39"/>
        <item x="8"/>
        <item x="9"/>
        <item m="1" x="46"/>
        <item m="1" x="43"/>
        <item m="1" x="44"/>
        <item m="1" x="145"/>
        <item x="35"/>
        <item x="30"/>
        <item m="1" x="63"/>
        <item x="25"/>
        <item m="1" x="108"/>
        <item x="36"/>
        <item x="31"/>
        <item m="1" x="84"/>
        <item m="1" x="147"/>
        <item x="18"/>
        <item m="1" x="94"/>
        <item x="2"/>
        <item m="1" x="90"/>
        <item x="28"/>
        <item m="1" x="88"/>
        <item m="1" x="48"/>
        <item m="1" x="82"/>
        <item m="1" x="126"/>
        <item x="0"/>
        <item m="1" x="81"/>
        <item m="1" x="144"/>
        <item m="1" x="136"/>
        <item m="1" x="74"/>
        <item m="1" x="47"/>
        <item x="6"/>
        <item m="1" x="52"/>
        <item m="1" x="83"/>
        <item x="4"/>
        <item x="14"/>
        <item m="1" x="66"/>
        <item m="1" x="72"/>
        <item x="13"/>
        <item m="1" x="143"/>
        <item m="1" x="141"/>
        <item x="1"/>
        <item m="1" x="70"/>
        <item m="1" x="56"/>
        <item m="1" x="50"/>
        <item x="7"/>
        <item x="23"/>
        <item m="1" x="105"/>
        <item x="22"/>
        <item m="1" x="129"/>
        <item x="19"/>
        <item m="1" x="98"/>
        <item m="1" x="75"/>
        <item x="21"/>
        <item x="41"/>
        <item x="5"/>
        <item m="1" x="137"/>
        <item x="15"/>
        <item m="1" x="77"/>
        <item x="16"/>
        <item m="1" x="115"/>
        <item m="1" x="110"/>
        <item m="1" x="140"/>
        <item m="1" x="69"/>
        <item x="34"/>
        <item m="1" x="128"/>
        <item m="1" x="134"/>
        <item m="1" x="89"/>
        <item m="1" x="4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29"/>
  </rowFields>
  <rowItems count="43">
    <i>
      <x v="9"/>
    </i>
    <i>
      <x v="11"/>
    </i>
    <i>
      <x v="15"/>
    </i>
    <i>
      <x v="34"/>
    </i>
    <i>
      <x v="38"/>
    </i>
    <i>
      <x v="41"/>
    </i>
    <i>
      <x v="42"/>
    </i>
    <i>
      <x v="44"/>
    </i>
    <i>
      <x v="49"/>
    </i>
    <i>
      <x v="53"/>
    </i>
    <i>
      <x v="57"/>
    </i>
    <i>
      <x v="64"/>
    </i>
    <i>
      <x v="68"/>
    </i>
    <i>
      <x v="70"/>
    </i>
    <i>
      <x v="71"/>
    </i>
    <i>
      <x v="79"/>
    </i>
    <i>
      <x v="80"/>
    </i>
    <i>
      <x v="81"/>
    </i>
    <i>
      <x v="86"/>
    </i>
    <i>
      <x v="87"/>
    </i>
    <i>
      <x v="89"/>
    </i>
    <i>
      <x v="91"/>
    </i>
    <i>
      <x v="92"/>
    </i>
    <i>
      <x v="95"/>
    </i>
    <i>
      <x v="97"/>
    </i>
    <i>
      <x v="99"/>
    </i>
    <i>
      <x v="104"/>
    </i>
    <i>
      <x v="110"/>
    </i>
    <i>
      <x v="113"/>
    </i>
    <i>
      <x v="114"/>
    </i>
    <i>
      <x v="117"/>
    </i>
    <i>
      <x v="120"/>
    </i>
    <i>
      <x v="124"/>
    </i>
    <i>
      <x v="125"/>
    </i>
    <i>
      <x v="127"/>
    </i>
    <i>
      <x v="129"/>
    </i>
    <i>
      <x v="132"/>
    </i>
    <i>
      <x v="133"/>
    </i>
    <i>
      <x v="134"/>
    </i>
    <i>
      <x v="136"/>
    </i>
    <i>
      <x v="138"/>
    </i>
    <i>
      <x v="143"/>
    </i>
    <i t="grand">
      <x/>
    </i>
  </rowItems>
  <colItems count="1">
    <i/>
  </colItems>
  <dataFields count="1">
    <dataField numFmtId="200" name="Sum of AMOUNT" fld="16" baseField="0" baseItem="0"/>
  </dataField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6" cacheId="682" dataOnRows="1" applyNumberFormats="1"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A135:F151" firstHeaderRow="1" firstDataRow="3" firstDataCol="1"/>
  <pivotFields count="46">
    <pivotField showAll="0"/>
    <pivotField showAll="0"/>
    <pivotField showAll="0"/>
    <pivotField showAll="0">
      <items count="29">
        <item x="0"/>
        <item x="1"/>
        <item x="2"/>
        <item m="1" x="20"/>
        <item x="3"/>
        <item m="1" x="27"/>
        <item x="4"/>
        <item x="5"/>
        <item m="1" x="21"/>
        <item x="6"/>
        <item x="7"/>
        <item m="1" x="17"/>
        <item x="8"/>
        <item x="9"/>
        <item x="10"/>
        <item m="1" x="22"/>
        <item x="11"/>
        <item m="1" x="18"/>
        <item x="12"/>
        <item x="13"/>
        <item m="1" x="23"/>
        <item x="16"/>
        <item x="14"/>
        <item x="15"/>
        <item m="1" x="24"/>
        <item m="1" x="25"/>
        <item m="1" x="19"/>
        <item m="1" x="26"/>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3">
        <item x="0"/>
        <item sd="0" x="1"/>
        <item t="default"/>
      </items>
    </pivotField>
    <pivotField axis="axisCol" showAll="0">
      <items count="5">
        <item x="1"/>
        <item x="0"/>
        <item x="2"/>
        <item m="1" x="3"/>
        <item t="default"/>
      </items>
    </pivotField>
    <pivotField dataField="1" showAll="0"/>
    <pivotField showAll="0"/>
    <pivotField showAll="0"/>
    <pivotField showAll="0"/>
    <pivotField showAll="0"/>
    <pivotField showAll="0"/>
    <pivotField showAll="0">
      <items count="18">
        <item m="1" x="16"/>
        <item x="2"/>
        <item x="1"/>
        <item m="1" x="10"/>
        <item x="3"/>
        <item m="1" x="8"/>
        <item m="1" x="12"/>
        <item m="1" x="13"/>
        <item m="1" x="5"/>
        <item m="1" x="15"/>
        <item m="1" x="6"/>
        <item x="0"/>
        <item m="1" x="14"/>
        <item m="1" x="7"/>
        <item m="1" x="11"/>
        <item m="1" x="9"/>
        <item m="1" x="4"/>
        <item t="default"/>
      </items>
    </pivotField>
    <pivotField showAll="0"/>
    <pivotField axis="axisRow" showAll="0">
      <items count="4">
        <item m="1" x="2"/>
        <item x="0"/>
        <item x="1"/>
        <item t="default"/>
      </items>
    </pivotField>
    <pivotField showAll="0"/>
    <pivotField showAll="0"/>
    <pivotField showAll="0"/>
    <pivotField showAll="0">
      <items count="14">
        <item m="1" x="10"/>
        <item x="3"/>
        <item x="1"/>
        <item x="0"/>
        <item m="1" x="12"/>
        <item m="1" x="9"/>
        <item x="5"/>
        <item x="6"/>
        <item m="1" x="11"/>
        <item x="2"/>
        <item x="4"/>
        <item m="1" x="8"/>
        <item m="1" x="7"/>
        <item t="default"/>
      </items>
    </pivotField>
    <pivotField showAll="0">
      <items count="149">
        <item m="1" x="107"/>
        <item m="1" x="127"/>
        <item m="1" x="116"/>
        <item m="1" x="61"/>
        <item m="1" x="114"/>
        <item m="1" x="99"/>
        <item m="1" x="135"/>
        <item m="1" x="86"/>
        <item m="1" x="142"/>
        <item x="33"/>
        <item m="1" x="120"/>
        <item x="11"/>
        <item m="1" x="109"/>
        <item m="1" x="53"/>
        <item m="1" x="97"/>
        <item x="38"/>
        <item m="1" x="91"/>
        <item m="1" x="93"/>
        <item m="1" x="76"/>
        <item m="1" x="68"/>
        <item m="1" x="133"/>
        <item m="1" x="85"/>
        <item m="1" x="139"/>
        <item m="1" x="117"/>
        <item m="1" x="73"/>
        <item m="1" x="106"/>
        <item m="1" x="124"/>
        <item m="1" x="65"/>
        <item m="1" x="123"/>
        <item m="1" x="111"/>
        <item m="1" x="130"/>
        <item m="1" x="57"/>
        <item m="1" x="62"/>
        <item m="1" x="113"/>
        <item x="10"/>
        <item m="1" x="79"/>
        <item m="1" x="112"/>
        <item m="1" x="54"/>
        <item x="12"/>
        <item m="1" x="121"/>
        <item m="1" x="102"/>
        <item x="37"/>
        <item x="17"/>
        <item m="1" x="58"/>
        <item x="29"/>
        <item m="1" x="60"/>
        <item m="1" x="131"/>
        <item m="1" x="64"/>
        <item m="1" x="95"/>
        <item x="3"/>
        <item m="1" x="80"/>
        <item m="1" x="100"/>
        <item m="1" x="96"/>
        <item x="20"/>
        <item m="1" x="51"/>
        <item m="1" x="71"/>
        <item m="1" x="67"/>
        <item x="26"/>
        <item m="1" x="55"/>
        <item m="1" x="138"/>
        <item m="1" x="132"/>
        <item m="1" x="101"/>
        <item m="1" x="59"/>
        <item m="1" x="104"/>
        <item x="32"/>
        <item m="1" x="42"/>
        <item m="1" x="118"/>
        <item m="1" x="122"/>
        <item x="27"/>
        <item m="1" x="49"/>
        <item x="40"/>
        <item x="24"/>
        <item m="1" x="87"/>
        <item m="1" x="92"/>
        <item m="1" x="125"/>
        <item m="1" x="103"/>
        <item m="1" x="78"/>
        <item m="1" x="119"/>
        <item m="1" x="146"/>
        <item x="39"/>
        <item x="8"/>
        <item x="9"/>
        <item m="1" x="46"/>
        <item m="1" x="43"/>
        <item m="1" x="44"/>
        <item m="1" x="145"/>
        <item x="35"/>
        <item x="30"/>
        <item m="1" x="63"/>
        <item x="25"/>
        <item m="1" x="108"/>
        <item x="36"/>
        <item x="31"/>
        <item m="1" x="84"/>
        <item m="1" x="147"/>
        <item x="18"/>
        <item m="1" x="94"/>
        <item x="2"/>
        <item m="1" x="90"/>
        <item x="28"/>
        <item m="1" x="88"/>
        <item m="1" x="48"/>
        <item m="1" x="82"/>
        <item m="1" x="126"/>
        <item x="0"/>
        <item m="1" x="81"/>
        <item m="1" x="144"/>
        <item m="1" x="136"/>
        <item m="1" x="74"/>
        <item m="1" x="47"/>
        <item x="6"/>
        <item m="1" x="52"/>
        <item m="1" x="83"/>
        <item x="4"/>
        <item x="14"/>
        <item m="1" x="66"/>
        <item m="1" x="72"/>
        <item x="13"/>
        <item m="1" x="143"/>
        <item m="1" x="141"/>
        <item x="1"/>
        <item m="1" x="70"/>
        <item m="1" x="56"/>
        <item m="1" x="50"/>
        <item x="7"/>
        <item x="23"/>
        <item m="1" x="105"/>
        <item x="22"/>
        <item m="1" x="129"/>
        <item x="19"/>
        <item m="1" x="98"/>
        <item m="1" x="75"/>
        <item x="21"/>
        <item x="41"/>
        <item x="5"/>
        <item m="1" x="137"/>
        <item x="15"/>
        <item m="1" x="77"/>
        <item x="16"/>
        <item m="1" x="115"/>
        <item m="1" x="110"/>
        <item m="1" x="140"/>
        <item m="1" x="69"/>
        <item x="34"/>
        <item m="1" x="128"/>
        <item m="1" x="134"/>
        <item m="1" x="89"/>
        <item m="1" x="4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2">
    <field x="24"/>
    <field x="-2"/>
  </rowFields>
  <rowItems count="14">
    <i>
      <x v="1"/>
    </i>
    <i r="1">
      <x/>
    </i>
    <i r="1" i="1">
      <x v="1"/>
    </i>
    <i r="1" i="2">
      <x v="2"/>
    </i>
    <i r="1" i="3">
      <x v="3"/>
    </i>
    <i>
      <x v="2"/>
    </i>
    <i r="1">
      <x/>
    </i>
    <i r="1" i="1">
      <x v="1"/>
    </i>
    <i r="1" i="2">
      <x v="2"/>
    </i>
    <i r="1" i="3">
      <x v="3"/>
    </i>
    <i t="grand">
      <x/>
    </i>
    <i t="grand" i="1">
      <x/>
    </i>
    <i t="grand" i="2">
      <x/>
    </i>
    <i t="grand" i="3">
      <x/>
    </i>
  </rowItems>
  <colFields count="2">
    <field x="14"/>
    <field x="15"/>
  </colFields>
  <colItems count="5">
    <i>
      <x/>
      <x v="1"/>
    </i>
    <i r="1">
      <x v="2"/>
    </i>
    <i t="default">
      <x/>
    </i>
    <i>
      <x v="1"/>
    </i>
    <i t="grand">
      <x/>
    </i>
  </colItems>
  <dataFields count="4">
    <dataField numFmtId="3" name="COUNT." fld="8" subtotal="count" baseField="4" baseItem="0"/>
    <dataField numFmtId="201" name="%" fld="8" showDataAs="percentOfRow" baseField="4" baseItem="0"/>
    <dataField numFmtId="200" name="ENR." fld="8" baseField="0" baseItem="0"/>
    <dataField numFmtId="200" name="AMT." fld="16" baseField="0" baseItem="0"/>
  </dataFields>
  <conditionalFormats count="1">
    <conditionalFormat priority="42">
      <pivotAreas count="1">
        <pivotArea type="data" outline="0" collapsedLevelsAreSubtotals="1" fieldPosition="0">
          <references count="2">
            <reference field="4294967294" count="1" selected="0">
              <x v="1"/>
            </reference>
            <reference field="14" count="1" selected="0" defaultSubtotal="1">
              <x v="0"/>
            </reference>
          </references>
        </pivotArea>
      </pivotAreas>
    </conditionalFormat>
  </conditionalFormat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5" cacheId="682" dataOnRows="1" applyNumberFormats="1"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V2:Y46" firstHeaderRow="1" firstDataRow="2" firstDataCol="1"/>
  <pivotFields count="46">
    <pivotField showAll="0"/>
    <pivotField showAll="0"/>
    <pivotField showAll="0"/>
    <pivotField showAll="0">
      <items count="29">
        <item x="0"/>
        <item x="1"/>
        <item x="2"/>
        <item m="1" x="20"/>
        <item x="3"/>
        <item m="1" x="27"/>
        <item x="4"/>
        <item x="5"/>
        <item m="1" x="21"/>
        <item x="6"/>
        <item x="7"/>
        <item m="1" x="17"/>
        <item x="8"/>
        <item x="9"/>
        <item x="10"/>
        <item m="1" x="22"/>
        <item x="11"/>
        <item m="1" x="18"/>
        <item x="12"/>
        <item x="13"/>
        <item m="1" x="23"/>
        <item x="16"/>
        <item x="14"/>
        <item x="15"/>
        <item m="1" x="24"/>
        <item m="1" x="25"/>
        <item m="1" x="19"/>
        <item m="1" x="2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8">
        <item m="1" x="16"/>
        <item x="2"/>
        <item x="1"/>
        <item m="1" x="10"/>
        <item x="3"/>
        <item m="1" x="8"/>
        <item m="1" x="12"/>
        <item m="1" x="13"/>
        <item m="1" x="5"/>
        <item m="1" x="15"/>
        <item m="1" x="6"/>
        <item x="0"/>
        <item m="1" x="14"/>
        <item m="1" x="7"/>
        <item m="1" x="11"/>
        <item m="1" x="9"/>
        <item m="1" x="4"/>
        <item t="default"/>
      </items>
    </pivotField>
    <pivotField showAll="0"/>
    <pivotField showAll="0"/>
    <pivotField showAll="0"/>
    <pivotField showAll="0"/>
    <pivotField showAll="0"/>
    <pivotField showAll="0">
      <items count="14">
        <item m="1" x="10"/>
        <item x="3"/>
        <item x="1"/>
        <item x="0"/>
        <item m="1" x="12"/>
        <item m="1" x="9"/>
        <item x="5"/>
        <item x="6"/>
        <item m="1" x="11"/>
        <item x="2"/>
        <item x="4"/>
        <item m="1" x="8"/>
        <item m="1" x="7"/>
        <item t="default"/>
      </items>
    </pivotField>
    <pivotField axis="axisRow" showAll="0" sortType="ascending">
      <items count="149">
        <item m="1" x="107"/>
        <item m="1" x="127"/>
        <item m="1" x="116"/>
        <item m="1" x="61"/>
        <item m="1" x="114"/>
        <item m="1" x="99"/>
        <item m="1" x="135"/>
        <item m="1" x="86"/>
        <item m="1" x="142"/>
        <item x="33"/>
        <item m="1" x="120"/>
        <item x="11"/>
        <item m="1" x="109"/>
        <item m="1" x="53"/>
        <item m="1" x="97"/>
        <item x="38"/>
        <item m="1" x="91"/>
        <item m="1" x="93"/>
        <item m="1" x="76"/>
        <item m="1" x="68"/>
        <item m="1" x="133"/>
        <item m="1" x="85"/>
        <item m="1" x="139"/>
        <item m="1" x="117"/>
        <item m="1" x="73"/>
        <item m="1" x="106"/>
        <item m="1" x="124"/>
        <item m="1" x="65"/>
        <item m="1" x="123"/>
        <item m="1" x="111"/>
        <item m="1" x="130"/>
        <item m="1" x="57"/>
        <item m="1" x="62"/>
        <item m="1" x="113"/>
        <item x="10"/>
        <item m="1" x="79"/>
        <item m="1" x="112"/>
        <item m="1" x="54"/>
        <item x="12"/>
        <item m="1" x="121"/>
        <item m="1" x="102"/>
        <item x="37"/>
        <item x="17"/>
        <item m="1" x="58"/>
        <item x="29"/>
        <item m="1" x="60"/>
        <item m="1" x="131"/>
        <item m="1" x="64"/>
        <item m="1" x="95"/>
        <item x="3"/>
        <item m="1" x="80"/>
        <item m="1" x="100"/>
        <item m="1" x="96"/>
        <item x="20"/>
        <item m="1" x="51"/>
        <item m="1" x="71"/>
        <item m="1" x="67"/>
        <item x="26"/>
        <item m="1" x="55"/>
        <item m="1" x="138"/>
        <item m="1" x="132"/>
        <item m="1" x="101"/>
        <item m="1" x="59"/>
        <item m="1" x="104"/>
        <item x="32"/>
        <item m="1" x="42"/>
        <item m="1" x="118"/>
        <item m="1" x="122"/>
        <item x="27"/>
        <item m="1" x="49"/>
        <item x="40"/>
        <item x="24"/>
        <item m="1" x="87"/>
        <item m="1" x="92"/>
        <item m="1" x="125"/>
        <item m="1" x="103"/>
        <item m="1" x="78"/>
        <item m="1" x="119"/>
        <item m="1" x="146"/>
        <item x="39"/>
        <item x="8"/>
        <item x="9"/>
        <item m="1" x="46"/>
        <item m="1" x="43"/>
        <item m="1" x="44"/>
        <item m="1" x="145"/>
        <item x="35"/>
        <item x="30"/>
        <item m="1" x="63"/>
        <item x="25"/>
        <item m="1" x="108"/>
        <item x="36"/>
        <item x="31"/>
        <item m="1" x="84"/>
        <item m="1" x="147"/>
        <item x="18"/>
        <item m="1" x="94"/>
        <item x="2"/>
        <item m="1" x="90"/>
        <item x="28"/>
        <item m="1" x="88"/>
        <item m="1" x="48"/>
        <item m="1" x="82"/>
        <item m="1" x="126"/>
        <item x="0"/>
        <item m="1" x="81"/>
        <item m="1" x="144"/>
        <item m="1" x="136"/>
        <item m="1" x="74"/>
        <item m="1" x="47"/>
        <item x="6"/>
        <item m="1" x="52"/>
        <item m="1" x="83"/>
        <item x="4"/>
        <item x="14"/>
        <item m="1" x="66"/>
        <item m="1" x="72"/>
        <item x="13"/>
        <item m="1" x="143"/>
        <item m="1" x="141"/>
        <item x="1"/>
        <item m="1" x="70"/>
        <item m="1" x="56"/>
        <item m="1" x="50"/>
        <item x="7"/>
        <item x="23"/>
        <item m="1" x="105"/>
        <item x="22"/>
        <item m="1" x="129"/>
        <item x="19"/>
        <item m="1" x="98"/>
        <item m="1" x="75"/>
        <item x="21"/>
        <item x="41"/>
        <item x="5"/>
        <item m="1" x="137"/>
        <item x="15"/>
        <item m="1" x="77"/>
        <item x="16"/>
        <item m="1" x="115"/>
        <item m="1" x="110"/>
        <item m="1" x="140"/>
        <item m="1" x="69"/>
        <item x="34"/>
        <item m="1" x="128"/>
        <item m="1" x="134"/>
        <item m="1" x="89"/>
        <item m="1" x="45"/>
        <item t="default"/>
      </items>
    </pivotField>
    <pivotField showAll="0"/>
    <pivotField showAll="0"/>
    <pivotField showAll="0"/>
    <pivotField showAll="0"/>
    <pivotField showAll="0"/>
    <pivotField showAll="0"/>
    <pivotField axis="axisCol" showAll="0">
      <items count="4">
        <item x="0"/>
        <item x="1"/>
        <item m="1" x="2"/>
        <item t="default"/>
      </items>
    </pivotField>
    <pivotField showAll="0"/>
    <pivotField showAll="0"/>
    <pivotField showAll="0"/>
    <pivotField showAll="0"/>
    <pivotField showAll="0"/>
    <pivotField showAll="0"/>
    <pivotField showAll="0"/>
    <pivotField showAll="0"/>
    <pivotField showAll="0" defaultSubtotal="0"/>
  </pivotFields>
  <rowFields count="1">
    <field x="29"/>
  </rowFields>
  <rowItems count="43">
    <i>
      <x v="9"/>
    </i>
    <i>
      <x v="11"/>
    </i>
    <i>
      <x v="15"/>
    </i>
    <i>
      <x v="34"/>
    </i>
    <i>
      <x v="38"/>
    </i>
    <i>
      <x v="41"/>
    </i>
    <i>
      <x v="42"/>
    </i>
    <i>
      <x v="44"/>
    </i>
    <i>
      <x v="49"/>
    </i>
    <i>
      <x v="53"/>
    </i>
    <i>
      <x v="57"/>
    </i>
    <i>
      <x v="64"/>
    </i>
    <i>
      <x v="68"/>
    </i>
    <i>
      <x v="70"/>
    </i>
    <i>
      <x v="71"/>
    </i>
    <i>
      <x v="79"/>
    </i>
    <i>
      <x v="80"/>
    </i>
    <i>
      <x v="81"/>
    </i>
    <i>
      <x v="86"/>
    </i>
    <i>
      <x v="87"/>
    </i>
    <i>
      <x v="89"/>
    </i>
    <i>
      <x v="91"/>
    </i>
    <i>
      <x v="92"/>
    </i>
    <i>
      <x v="95"/>
    </i>
    <i>
      <x v="97"/>
    </i>
    <i>
      <x v="99"/>
    </i>
    <i>
      <x v="104"/>
    </i>
    <i>
      <x v="110"/>
    </i>
    <i>
      <x v="113"/>
    </i>
    <i>
      <x v="114"/>
    </i>
    <i>
      <x v="117"/>
    </i>
    <i>
      <x v="120"/>
    </i>
    <i>
      <x v="124"/>
    </i>
    <i>
      <x v="125"/>
    </i>
    <i>
      <x v="127"/>
    </i>
    <i>
      <x v="129"/>
    </i>
    <i>
      <x v="132"/>
    </i>
    <i>
      <x v="133"/>
    </i>
    <i>
      <x v="134"/>
    </i>
    <i>
      <x v="136"/>
    </i>
    <i>
      <x v="138"/>
    </i>
    <i>
      <x v="143"/>
    </i>
    <i t="grand">
      <x/>
    </i>
  </rowItems>
  <colFields count="1">
    <field x="36"/>
  </colFields>
  <colItems count="3">
    <i>
      <x/>
    </i>
    <i>
      <x v="1"/>
    </i>
    <i t="grand">
      <x/>
    </i>
  </colItems>
  <dataFields count="1">
    <dataField numFmtId="3" name="COUNT." fld="8" subtotal="count" baseField="4" baseItem="0"/>
  </dataFields>
  <conditionalFormats count="12">
    <conditionalFormat priority="18">
      <pivotAreas count="1">
        <pivotArea type="data" collapsedLevelsAreSubtotals="1" fieldPosition="0">
          <references count="3">
            <reference field="4294967294" count="1" selected="0">
              <x v="0"/>
            </reference>
            <reference field="29" count="41">
              <x v="3"/>
              <x v="9"/>
              <x v="11"/>
              <x v="18"/>
              <x v="24"/>
              <x v="32"/>
              <x v="34"/>
              <x v="35"/>
              <x v="37"/>
              <x v="43"/>
              <x v="49"/>
              <x v="50"/>
              <x v="54"/>
              <x v="56"/>
              <x v="57"/>
              <x v="62"/>
              <x v="69"/>
              <x v="80"/>
              <x v="81"/>
              <x v="84"/>
              <x v="86"/>
              <x v="88"/>
              <x v="91"/>
              <x v="92"/>
              <x v="95"/>
              <x v="99"/>
              <x v="102"/>
              <x v="104"/>
              <x v="105"/>
              <x v="108"/>
              <x v="111"/>
              <x v="114"/>
              <x v="120"/>
              <x v="122"/>
              <x v="123"/>
              <x v="127"/>
              <x v="131"/>
              <x v="132"/>
              <x v="133"/>
              <x v="134"/>
              <x v="137"/>
            </reference>
            <reference field="36" count="1" selected="0">
              <x v="1"/>
            </reference>
          </references>
        </pivotArea>
      </pivotAreas>
    </conditionalFormat>
    <conditionalFormat priority="16">
      <pivotAreas count="1">
        <pivotArea type="data" collapsedLevelsAreSubtotals="1" fieldPosition="0">
          <references count="3">
            <reference field="4294967294" count="1" selected="0">
              <x v="0"/>
            </reference>
            <reference field="29" count="43">
              <x v="3"/>
              <x v="9"/>
              <x v="11"/>
              <x v="18"/>
              <x v="24"/>
              <x v="32"/>
              <x v="34"/>
              <x v="35"/>
              <x v="37"/>
              <x v="42"/>
              <x v="43"/>
              <x v="45"/>
              <x v="49"/>
              <x v="50"/>
              <x v="54"/>
              <x v="55"/>
              <x v="56"/>
              <x v="57"/>
              <x v="62"/>
              <x v="69"/>
              <x v="76"/>
              <x v="80"/>
              <x v="81"/>
              <x v="84"/>
              <x v="86"/>
              <x v="88"/>
              <x v="91"/>
              <x v="92"/>
              <x v="95"/>
              <x v="99"/>
              <x v="104"/>
              <x v="108"/>
              <x v="111"/>
              <x v="114"/>
              <x v="120"/>
              <x v="122"/>
              <x v="123"/>
              <x v="127"/>
              <x v="131"/>
              <x v="132"/>
              <x v="133"/>
              <x v="134"/>
              <x v="137"/>
            </reference>
            <reference field="36" count="1" selected="0">
              <x v="1"/>
            </reference>
          </references>
        </pivotArea>
      </pivotAreas>
    </conditionalFormat>
    <conditionalFormat priority="14">
      <pivotAreas count="1">
        <pivotArea type="data" collapsedLevelsAreSubtotals="1" fieldPosition="0">
          <references count="3">
            <reference field="4294967294" count="1" selected="0">
              <x v="0"/>
            </reference>
            <reference field="29" count="39">
              <x v="3"/>
              <x v="9"/>
              <x v="18"/>
              <x v="24"/>
              <x v="27"/>
              <x v="34"/>
              <x v="35"/>
              <x v="37"/>
              <x v="42"/>
              <x v="43"/>
              <x v="45"/>
              <x v="49"/>
              <x v="54"/>
              <x v="55"/>
              <x v="57"/>
              <x v="62"/>
              <x v="69"/>
              <x v="76"/>
              <x v="80"/>
              <x v="81"/>
              <x v="84"/>
              <x v="86"/>
              <x v="88"/>
              <x v="91"/>
              <x v="92"/>
              <x v="95"/>
              <x v="99"/>
              <x v="104"/>
              <x v="108"/>
              <x v="111"/>
              <x v="114"/>
              <x v="120"/>
              <x v="122"/>
              <x v="123"/>
              <x v="127"/>
              <x v="131"/>
              <x v="132"/>
              <x v="134"/>
              <x v="137"/>
            </reference>
            <reference field="36" count="1" selected="0">
              <x v="1"/>
            </reference>
          </references>
        </pivotArea>
      </pivotAreas>
    </conditionalFormat>
    <conditionalFormat priority="13">
      <pivotAreas count="1">
        <pivotArea type="data" collapsedLevelsAreSubtotals="1" fieldPosition="0">
          <references count="3">
            <reference field="4294967294" count="1" selected="0">
              <x v="0"/>
            </reference>
            <reference field="29" count="19">
              <x v="9"/>
              <x v="43"/>
              <x v="49"/>
              <x v="55"/>
              <x v="62"/>
              <x v="80"/>
              <x v="81"/>
              <x v="91"/>
              <x v="92"/>
              <x v="95"/>
              <x v="99"/>
              <x v="104"/>
              <x v="111"/>
              <x v="114"/>
              <x v="123"/>
              <x v="127"/>
              <x v="132"/>
              <x v="134"/>
              <x v="138"/>
            </reference>
            <reference field="36" count="1" selected="0">
              <x v="1"/>
            </reference>
          </references>
        </pivotArea>
      </pivotAreas>
    </conditionalFormat>
    <conditionalFormat priority="12">
      <pivotAreas count="1">
        <pivotArea type="data" collapsedLevelsAreSubtotals="1" fieldPosition="0">
          <references count="3">
            <reference field="4294967294" count="1" selected="0">
              <x v="0"/>
            </reference>
            <reference field="29" count="29">
              <x v="9"/>
              <x v="19"/>
              <x v="32"/>
              <x v="34"/>
              <x v="37"/>
              <x v="41"/>
              <x v="42"/>
              <x v="43"/>
              <x v="49"/>
              <x v="55"/>
              <x v="62"/>
              <x v="69"/>
              <x v="70"/>
              <x v="80"/>
              <x v="81"/>
              <x v="86"/>
              <x v="91"/>
              <x v="92"/>
              <x v="95"/>
              <x v="99"/>
              <x v="104"/>
              <x v="111"/>
              <x v="114"/>
              <x v="116"/>
              <x v="123"/>
              <x v="127"/>
              <x v="132"/>
              <x v="134"/>
              <x v="138"/>
            </reference>
            <reference field="36" count="1" selected="0">
              <x v="1"/>
            </reference>
          </references>
        </pivotArea>
      </pivotAreas>
    </conditionalFormat>
    <conditionalFormat priority="11">
      <pivotAreas count="1">
        <pivotArea type="data" collapsedLevelsAreSubtotals="1" fieldPosition="0">
          <references count="3">
            <reference field="4294967294" count="1" selected="0">
              <x v="0"/>
            </reference>
            <reference field="29" count="30">
              <x v="9"/>
              <x v="19"/>
              <x v="32"/>
              <x v="34"/>
              <x v="37"/>
              <x v="41"/>
              <x v="42"/>
              <x v="43"/>
              <x v="49"/>
              <x v="56"/>
              <x v="62"/>
              <x v="69"/>
              <x v="70"/>
              <x v="80"/>
              <x v="81"/>
              <x v="86"/>
              <x v="91"/>
              <x v="92"/>
              <x v="95"/>
              <x v="97"/>
              <x v="99"/>
              <x v="104"/>
              <x v="111"/>
              <x v="114"/>
              <x v="123"/>
              <x v="127"/>
              <x v="132"/>
              <x v="134"/>
              <x v="138"/>
              <x v="142"/>
            </reference>
            <reference field="36" count="1" selected="0">
              <x v="1"/>
            </reference>
          </references>
        </pivotArea>
      </pivotAreas>
    </conditionalFormat>
    <conditionalFormat priority="10">
      <pivotAreas count="1">
        <pivotArea type="data" collapsedLevelsAreSubtotals="1" fieldPosition="0">
          <references count="3">
            <reference field="4294967294" count="1" selected="0">
              <x v="0"/>
            </reference>
            <reference field="29" count="39">
              <x v="3"/>
              <x v="9"/>
              <x v="19"/>
              <x v="27"/>
              <x v="32"/>
              <x v="37"/>
              <x v="41"/>
              <x v="42"/>
              <x v="43"/>
              <x v="45"/>
              <x v="49"/>
              <x v="56"/>
              <x v="57"/>
              <x v="58"/>
              <x v="62"/>
              <x v="69"/>
              <x v="70"/>
              <x v="80"/>
              <x v="81"/>
              <x v="86"/>
              <x v="88"/>
              <x v="91"/>
              <x v="92"/>
              <x v="95"/>
              <x v="97"/>
              <x v="99"/>
              <x v="104"/>
              <x v="111"/>
              <x v="113"/>
              <x v="114"/>
              <x v="115"/>
              <x v="122"/>
              <x v="123"/>
              <x v="127"/>
              <x v="132"/>
              <x v="134"/>
              <x v="136"/>
              <x v="138"/>
              <x v="142"/>
            </reference>
            <reference field="36" count="1" selected="0">
              <x v="1"/>
            </reference>
          </references>
        </pivotArea>
      </pivotAreas>
    </conditionalFormat>
    <conditionalFormat priority="9">
      <pivotAreas count="1">
        <pivotArea type="data" collapsedLevelsAreSubtotals="1" fieldPosition="0">
          <references count="3">
            <reference field="4294967294" count="1" selected="0">
              <x v="0"/>
            </reference>
            <reference field="29" count="40">
              <x v="3"/>
              <x v="9"/>
              <x v="19"/>
              <x v="27"/>
              <x v="32"/>
              <x v="37"/>
              <x v="41"/>
              <x v="42"/>
              <x v="43"/>
              <x v="45"/>
              <x v="49"/>
              <x v="54"/>
              <x v="56"/>
              <x v="57"/>
              <x v="58"/>
              <x v="62"/>
              <x v="69"/>
              <x v="70"/>
              <x v="79"/>
              <x v="80"/>
              <x v="81"/>
              <x v="86"/>
              <x v="88"/>
              <x v="91"/>
              <x v="92"/>
              <x v="95"/>
              <x v="97"/>
              <x v="99"/>
              <x v="104"/>
              <x v="111"/>
              <x v="113"/>
              <x v="114"/>
              <x v="115"/>
              <x v="122"/>
              <x v="123"/>
              <x v="127"/>
              <x v="132"/>
              <x v="134"/>
              <x v="136"/>
              <x v="138"/>
            </reference>
            <reference field="36" count="1" selected="0">
              <x v="1"/>
            </reference>
          </references>
        </pivotArea>
      </pivotAreas>
    </conditionalFormat>
    <conditionalFormat priority="8">
      <pivotAreas count="1">
        <pivotArea type="data" collapsedLevelsAreSubtotals="1" fieldPosition="0">
          <references count="3">
            <reference field="4294967294" count="1" selected="0">
              <x v="0"/>
            </reference>
            <reference field="29" count="36">
              <x v="3"/>
              <x v="9"/>
              <x v="13"/>
              <x v="27"/>
              <x v="37"/>
              <x v="41"/>
              <x v="43"/>
              <x v="45"/>
              <x v="49"/>
              <x v="54"/>
              <x v="57"/>
              <x v="58"/>
              <x v="62"/>
              <x v="69"/>
              <x v="70"/>
              <x v="79"/>
              <x v="80"/>
              <x v="81"/>
              <x v="86"/>
              <x v="88"/>
              <x v="91"/>
              <x v="92"/>
              <x v="95"/>
              <x v="97"/>
              <x v="99"/>
              <x v="104"/>
              <x v="111"/>
              <x v="113"/>
              <x v="114"/>
              <x v="115"/>
              <x v="123"/>
              <x v="127"/>
              <x v="132"/>
              <x v="134"/>
              <x v="136"/>
              <x v="138"/>
            </reference>
            <reference field="36" count="1" selected="0">
              <x v="1"/>
            </reference>
          </references>
        </pivotArea>
      </pivotAreas>
    </conditionalFormat>
    <conditionalFormat priority="5">
      <pivotAreas count="1">
        <pivotArea type="data" collapsedLevelsAreSubtotals="1" fieldPosition="0">
          <references count="3">
            <reference field="4294967294" count="1" selected="0">
              <x v="0"/>
            </reference>
            <reference field="29" count="34">
              <x v="13"/>
              <x v="34"/>
              <x v="37"/>
              <x v="41"/>
              <x v="42"/>
              <x v="43"/>
              <x v="45"/>
              <x v="54"/>
              <x v="57"/>
              <x v="58"/>
              <x v="62"/>
              <x v="69"/>
              <x v="70"/>
              <x v="79"/>
              <x v="80"/>
              <x v="81"/>
              <x v="82"/>
              <x v="86"/>
              <x v="91"/>
              <x v="92"/>
              <x v="95"/>
              <x v="97"/>
              <x v="99"/>
              <x v="104"/>
              <x v="111"/>
              <x v="113"/>
              <x v="114"/>
              <x v="120"/>
              <x v="122"/>
              <x v="123"/>
              <x v="127"/>
              <x v="132"/>
              <x v="134"/>
              <x v="138"/>
            </reference>
            <reference field="36" count="1" selected="0">
              <x v="1"/>
            </reference>
          </references>
        </pivotArea>
      </pivotAreas>
    </conditionalFormat>
    <conditionalFormat priority="3">
      <pivotAreas count="1">
        <pivotArea type="data" collapsedLevelsAreSubtotals="1" fieldPosition="0">
          <references count="3">
            <reference field="4294967294" count="1" selected="0">
              <x v="0"/>
            </reference>
            <reference field="29" count="48">
              <x v="3"/>
              <x v="9"/>
              <x v="13"/>
              <x v="15"/>
              <x v="31"/>
              <x v="32"/>
              <x v="34"/>
              <x v="37"/>
              <x v="41"/>
              <x v="42"/>
              <x v="43"/>
              <x v="45"/>
              <x v="47"/>
              <x v="54"/>
              <x v="57"/>
              <x v="58"/>
              <x v="62"/>
              <x v="65"/>
              <x v="69"/>
              <x v="70"/>
              <x v="79"/>
              <x v="80"/>
              <x v="81"/>
              <x v="82"/>
              <x v="84"/>
              <x v="86"/>
              <x v="88"/>
              <x v="91"/>
              <x v="92"/>
              <x v="95"/>
              <x v="97"/>
              <x v="99"/>
              <x v="101"/>
              <x v="104"/>
              <x v="111"/>
              <x v="113"/>
              <x v="114"/>
              <x v="117"/>
              <x v="120"/>
              <x v="122"/>
              <x v="123"/>
              <x v="127"/>
              <x v="129"/>
              <x v="132"/>
              <x v="133"/>
              <x v="134"/>
              <x v="136"/>
              <x v="138"/>
            </reference>
            <reference field="36" count="1" selected="0">
              <x v="1"/>
            </reference>
          </references>
        </pivotArea>
      </pivotAreas>
    </conditionalFormat>
    <conditionalFormat priority="1">
      <pivotAreas count="1">
        <pivotArea type="data" collapsedLevelsAreSubtotals="1" fieldPosition="0">
          <references count="3">
            <reference field="4294967294" count="1" selected="0">
              <x v="0"/>
            </reference>
            <reference field="29" count="23">
              <x v="11"/>
              <x v="34"/>
              <x v="38"/>
              <x v="42"/>
              <x v="49"/>
              <x v="53"/>
              <x v="65"/>
              <x v="80"/>
              <x v="81"/>
              <x v="95"/>
              <x v="101"/>
              <x v="104"/>
              <x v="110"/>
              <x v="113"/>
              <x v="114"/>
              <x v="117"/>
              <x v="120"/>
              <x v="124"/>
              <x v="129"/>
              <x v="132"/>
              <x v="134"/>
              <x v="136"/>
              <x v="138"/>
            </reference>
            <reference field="36" count="1" selected="0">
              <x v="1"/>
            </reference>
          </references>
        </pivotArea>
      </pivotAreas>
    </conditionalFormat>
  </conditionalFormat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9" cacheId="682" dataOnRows="1" applyNumberFormats="1"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BM3:BR29" firstHeaderRow="1" firstDataRow="3" firstDataCol="1"/>
  <pivotFields count="46">
    <pivotField showAll="0"/>
    <pivotField showAll="0"/>
    <pivotField showAll="0"/>
    <pivotField showAll="0">
      <items count="29">
        <item x="0"/>
        <item x="1"/>
        <item x="2"/>
        <item m="1" x="20"/>
        <item x="3"/>
        <item m="1" x="27"/>
        <item x="4"/>
        <item x="5"/>
        <item m="1" x="21"/>
        <item x="6"/>
        <item x="7"/>
        <item m="1" x="17"/>
        <item x="8"/>
        <item x="9"/>
        <item x="10"/>
        <item m="1" x="22"/>
        <item x="11"/>
        <item m="1" x="18"/>
        <item x="12"/>
        <item x="13"/>
        <item m="1" x="23"/>
        <item x="16"/>
        <item x="14"/>
        <item x="15"/>
        <item m="1" x="24"/>
        <item m="1" x="25"/>
        <item m="1" x="19"/>
        <item m="1" x="26"/>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3">
        <item x="0"/>
        <item sd="0" x="1"/>
        <item t="default"/>
      </items>
    </pivotField>
    <pivotField axis="axisCol" showAll="0">
      <items count="5">
        <item x="1"/>
        <item x="0"/>
        <item x="2"/>
        <item m="1" x="3"/>
        <item t="default"/>
      </items>
    </pivotField>
    <pivotField dataField="1" showAll="0"/>
    <pivotField showAll="0"/>
    <pivotField showAll="0"/>
    <pivotField showAll="0"/>
    <pivotField showAll="0"/>
    <pivotField showAll="0"/>
    <pivotField axis="axisRow" showAll="0" sortType="ascending">
      <items count="18">
        <item m="1" x="16"/>
        <item x="2"/>
        <item x="1"/>
        <item m="1" x="10"/>
        <item x="3"/>
        <item m="1" x="8"/>
        <item m="1" x="12"/>
        <item m="1" x="13"/>
        <item m="1" x="5"/>
        <item m="1" x="15"/>
        <item m="1" x="6"/>
        <item x="0"/>
        <item m="1" x="14"/>
        <item m="1" x="7"/>
        <item m="1" x="11"/>
        <item m="1" x="9"/>
        <item m="1" x="4"/>
        <item t="default"/>
      </items>
    </pivotField>
    <pivotField showAll="0"/>
    <pivotField showAll="0"/>
    <pivotField showAll="0"/>
    <pivotField showAll="0"/>
    <pivotField showAll="0"/>
    <pivotField showAll="0">
      <items count="14">
        <item m="1" x="10"/>
        <item x="3"/>
        <item x="1"/>
        <item x="0"/>
        <item m="1" x="12"/>
        <item m="1" x="9"/>
        <item x="5"/>
        <item x="6"/>
        <item m="1" x="11"/>
        <item x="2"/>
        <item x="4"/>
        <item m="1" x="8"/>
        <item m="1" x="7"/>
        <item t="default"/>
      </items>
    </pivotField>
    <pivotField showAll="0">
      <items count="149">
        <item m="1" x="107"/>
        <item m="1" x="127"/>
        <item m="1" x="116"/>
        <item m="1" x="61"/>
        <item m="1" x="114"/>
        <item m="1" x="99"/>
        <item m="1" x="135"/>
        <item m="1" x="86"/>
        <item m="1" x="142"/>
        <item x="33"/>
        <item m="1" x="120"/>
        <item x="11"/>
        <item m="1" x="109"/>
        <item m="1" x="53"/>
        <item m="1" x="97"/>
        <item x="38"/>
        <item m="1" x="91"/>
        <item m="1" x="93"/>
        <item m="1" x="76"/>
        <item m="1" x="68"/>
        <item m="1" x="133"/>
        <item m="1" x="85"/>
        <item m="1" x="139"/>
        <item m="1" x="117"/>
        <item m="1" x="73"/>
        <item m="1" x="106"/>
        <item m="1" x="124"/>
        <item m="1" x="65"/>
        <item m="1" x="123"/>
        <item m="1" x="111"/>
        <item m="1" x="130"/>
        <item m="1" x="57"/>
        <item m="1" x="62"/>
        <item m="1" x="113"/>
        <item x="10"/>
        <item m="1" x="79"/>
        <item m="1" x="112"/>
        <item m="1" x="54"/>
        <item x="12"/>
        <item m="1" x="121"/>
        <item m="1" x="102"/>
        <item x="37"/>
        <item x="17"/>
        <item m="1" x="58"/>
        <item x="29"/>
        <item m="1" x="60"/>
        <item m="1" x="131"/>
        <item m="1" x="64"/>
        <item m="1" x="95"/>
        <item x="3"/>
        <item m="1" x="80"/>
        <item m="1" x="100"/>
        <item m="1" x="96"/>
        <item x="20"/>
        <item m="1" x="51"/>
        <item m="1" x="71"/>
        <item m="1" x="67"/>
        <item x="26"/>
        <item m="1" x="55"/>
        <item m="1" x="138"/>
        <item m="1" x="132"/>
        <item m="1" x="101"/>
        <item m="1" x="59"/>
        <item m="1" x="104"/>
        <item x="32"/>
        <item m="1" x="42"/>
        <item m="1" x="118"/>
        <item m="1" x="122"/>
        <item x="27"/>
        <item m="1" x="49"/>
        <item x="40"/>
        <item x="24"/>
        <item m="1" x="87"/>
        <item m="1" x="92"/>
        <item m="1" x="125"/>
        <item m="1" x="103"/>
        <item m="1" x="78"/>
        <item m="1" x="119"/>
        <item m="1" x="146"/>
        <item x="39"/>
        <item x="8"/>
        <item x="9"/>
        <item m="1" x="46"/>
        <item m="1" x="43"/>
        <item m="1" x="44"/>
        <item m="1" x="145"/>
        <item x="35"/>
        <item x="30"/>
        <item m="1" x="63"/>
        <item x="25"/>
        <item m="1" x="108"/>
        <item x="36"/>
        <item x="31"/>
        <item m="1" x="84"/>
        <item m="1" x="147"/>
        <item x="18"/>
        <item m="1" x="94"/>
        <item x="2"/>
        <item m="1" x="90"/>
        <item x="28"/>
        <item m="1" x="88"/>
        <item m="1" x="48"/>
        <item m="1" x="82"/>
        <item m="1" x="126"/>
        <item x="0"/>
        <item m="1" x="81"/>
        <item m="1" x="144"/>
        <item m="1" x="136"/>
        <item m="1" x="74"/>
        <item m="1" x="47"/>
        <item x="6"/>
        <item m="1" x="52"/>
        <item m="1" x="83"/>
        <item x="4"/>
        <item x="14"/>
        <item m="1" x="66"/>
        <item m="1" x="72"/>
        <item x="13"/>
        <item m="1" x="143"/>
        <item m="1" x="141"/>
        <item x="1"/>
        <item m="1" x="70"/>
        <item m="1" x="56"/>
        <item m="1" x="50"/>
        <item x="7"/>
        <item x="23"/>
        <item m="1" x="105"/>
        <item x="22"/>
        <item m="1" x="129"/>
        <item x="19"/>
        <item m="1" x="98"/>
        <item m="1" x="75"/>
        <item x="21"/>
        <item x="41"/>
        <item x="5"/>
        <item m="1" x="137"/>
        <item x="15"/>
        <item m="1" x="77"/>
        <item x="16"/>
        <item m="1" x="115"/>
        <item m="1" x="110"/>
        <item m="1" x="140"/>
        <item m="1" x="69"/>
        <item x="34"/>
        <item m="1" x="128"/>
        <item m="1" x="134"/>
        <item m="1" x="89"/>
        <item m="1" x="4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2">
    <field x="22"/>
    <field x="-2"/>
  </rowFields>
  <rowItems count="24">
    <i>
      <x v="1"/>
    </i>
    <i r="1">
      <x/>
    </i>
    <i r="1" i="1">
      <x v="1"/>
    </i>
    <i r="1" i="2">
      <x v="2"/>
    </i>
    <i r="1" i="3">
      <x v="3"/>
    </i>
    <i>
      <x v="2"/>
    </i>
    <i r="1">
      <x/>
    </i>
    <i r="1" i="1">
      <x v="1"/>
    </i>
    <i r="1" i="2">
      <x v="2"/>
    </i>
    <i r="1" i="3">
      <x v="3"/>
    </i>
    <i>
      <x v="4"/>
    </i>
    <i r="1">
      <x/>
    </i>
    <i r="1" i="1">
      <x v="1"/>
    </i>
    <i r="1" i="2">
      <x v="2"/>
    </i>
    <i r="1" i="3">
      <x v="3"/>
    </i>
    <i>
      <x v="11"/>
    </i>
    <i r="1">
      <x/>
    </i>
    <i r="1" i="1">
      <x v="1"/>
    </i>
    <i r="1" i="2">
      <x v="2"/>
    </i>
    <i r="1" i="3">
      <x v="3"/>
    </i>
    <i t="grand">
      <x/>
    </i>
    <i t="grand" i="1">
      <x/>
    </i>
    <i t="grand" i="2">
      <x/>
    </i>
    <i t="grand" i="3">
      <x/>
    </i>
  </rowItems>
  <colFields count="2">
    <field x="14"/>
    <field x="15"/>
  </colFields>
  <colItems count="5">
    <i>
      <x/>
      <x v="1"/>
    </i>
    <i r="1">
      <x v="2"/>
    </i>
    <i t="default">
      <x/>
    </i>
    <i>
      <x v="1"/>
    </i>
    <i t="grand">
      <x/>
    </i>
  </colItems>
  <dataFields count="4">
    <dataField numFmtId="3" name="COUNT." fld="8" subtotal="count" baseField="4" baseItem="0"/>
    <dataField numFmtId="201" name="%" fld="8" showDataAs="percentOfRow" baseField="4" baseItem="0"/>
    <dataField numFmtId="200" name="ENR." fld="8" baseField="0" baseItem="0"/>
    <dataField numFmtId="200" name="AMT." fld="16" baseField="0" baseItem="0"/>
  </dataFields>
  <conditionalFormats count="1">
    <conditionalFormat priority="39">
      <pivotAreas count="1">
        <pivotArea type="data" outline="0" collapsedLevelsAreSubtotals="1" fieldPosition="0">
          <references count="2">
            <reference field="4294967294" count="1" selected="0">
              <x v="1"/>
            </reference>
            <reference field="14" count="1" selected="0" defaultSubtotal="1">
              <x v="0"/>
            </reference>
          </references>
        </pivotArea>
      </pivotAreas>
    </conditionalFormat>
  </conditionalFormat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682" applyNumberFormats="1"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BT3:BU46" firstHeaderRow="1" firstDataRow="1" firstDataCol="1" rowPageCount="1" colPageCount="1"/>
  <pivotFields count="46">
    <pivotField showAll="0"/>
    <pivotField showAll="0"/>
    <pivotField showAll="0"/>
    <pivotField showAll="0">
      <items count="29">
        <item x="0"/>
        <item x="1"/>
        <item x="2"/>
        <item m="1" x="20"/>
        <item x="3"/>
        <item m="1" x="27"/>
        <item x="4"/>
        <item x="5"/>
        <item m="1" x="21"/>
        <item x="6"/>
        <item x="7"/>
        <item m="1" x="17"/>
        <item x="8"/>
        <item x="9"/>
        <item x="10"/>
        <item m="1" x="22"/>
        <item x="11"/>
        <item m="1" x="18"/>
        <item x="12"/>
        <item x="13"/>
        <item m="1" x="23"/>
        <item x="16"/>
        <item x="14"/>
        <item x="15"/>
        <item m="1" x="24"/>
        <item m="1" x="25"/>
        <item m="1" x="19"/>
        <item m="1" x="2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Page" showAll="0">
      <items count="19">
        <item x="1"/>
        <item x="6"/>
        <item x="9"/>
        <item x="8"/>
        <item x="2"/>
        <item x="16"/>
        <item x="15"/>
        <item x="10"/>
        <item x="13"/>
        <item x="0"/>
        <item x="5"/>
        <item x="3"/>
        <item x="14"/>
        <item x="17"/>
        <item x="12"/>
        <item x="11"/>
        <item x="4"/>
        <item x="7"/>
        <item t="default"/>
      </items>
    </pivotField>
    <pivotField showAll="0"/>
    <pivotField showAll="0"/>
    <pivotField showAll="0"/>
    <pivotField showAll="0">
      <items count="18">
        <item m="1" x="16"/>
        <item x="2"/>
        <item x="1"/>
        <item m="1" x="10"/>
        <item x="3"/>
        <item m="1" x="8"/>
        <item m="1" x="12"/>
        <item m="1" x="13"/>
        <item m="1" x="5"/>
        <item m="1" x="15"/>
        <item m="1" x="6"/>
        <item x="0"/>
        <item m="1" x="14"/>
        <item m="1" x="7"/>
        <item m="1" x="11"/>
        <item m="1" x="9"/>
        <item m="1" x="4"/>
        <item t="default"/>
      </items>
    </pivotField>
    <pivotField showAll="0"/>
    <pivotField showAll="0"/>
    <pivotField showAll="0"/>
    <pivotField showAll="0"/>
    <pivotField showAll="0"/>
    <pivotField showAll="0">
      <items count="14">
        <item m="1" x="10"/>
        <item x="3"/>
        <item x="1"/>
        <item x="0"/>
        <item m="1" x="12"/>
        <item m="1" x="9"/>
        <item x="5"/>
        <item x="6"/>
        <item m="1" x="11"/>
        <item x="2"/>
        <item x="4"/>
        <item m="1" x="8"/>
        <item m="1" x="7"/>
        <item t="default"/>
      </items>
    </pivotField>
    <pivotField axis="axisRow" showAll="0">
      <items count="149">
        <item m="1" x="107"/>
        <item m="1" x="127"/>
        <item m="1" x="116"/>
        <item m="1" x="61"/>
        <item m="1" x="114"/>
        <item m="1" x="99"/>
        <item m="1" x="135"/>
        <item m="1" x="86"/>
        <item m="1" x="142"/>
        <item x="33"/>
        <item m="1" x="120"/>
        <item x="11"/>
        <item m="1" x="109"/>
        <item m="1" x="97"/>
        <item m="1" x="91"/>
        <item m="1" x="93"/>
        <item m="1" x="76"/>
        <item m="1" x="133"/>
        <item m="1" x="85"/>
        <item m="1" x="139"/>
        <item m="1" x="117"/>
        <item m="1" x="73"/>
        <item m="1" x="106"/>
        <item m="1" x="124"/>
        <item m="1" x="65"/>
        <item m="1" x="123"/>
        <item m="1" x="111"/>
        <item m="1" x="130"/>
        <item m="1" x="62"/>
        <item m="1" x="113"/>
        <item x="10"/>
        <item m="1" x="79"/>
        <item m="1" x="112"/>
        <item m="1" x="54"/>
        <item x="12"/>
        <item m="1" x="121"/>
        <item m="1" x="102"/>
        <item x="37"/>
        <item x="17"/>
        <item m="1" x="58"/>
        <item m="1" x="60"/>
        <item m="1" x="131"/>
        <item m="1" x="95"/>
        <item x="3"/>
        <item m="1" x="80"/>
        <item m="1" x="100"/>
        <item m="1" x="96"/>
        <item m="1" x="51"/>
        <item m="1" x="71"/>
        <item m="1" x="67"/>
        <item x="26"/>
        <item m="1" x="55"/>
        <item m="1" x="138"/>
        <item m="1" x="132"/>
        <item m="1" x="101"/>
        <item m="1" x="59"/>
        <item m="1" x="104"/>
        <item m="1" x="42"/>
        <item m="1" x="118"/>
        <item m="1" x="122"/>
        <item m="1" x="49"/>
        <item x="40"/>
        <item m="1" x="87"/>
        <item m="1" x="92"/>
        <item m="1" x="125"/>
        <item m="1" x="103"/>
        <item m="1" x="119"/>
        <item m="1" x="146"/>
        <item x="8"/>
        <item x="9"/>
        <item m="1" x="44"/>
        <item m="1" x="145"/>
        <item x="35"/>
        <item x="30"/>
        <item m="1" x="63"/>
        <item m="1" x="108"/>
        <item x="36"/>
        <item x="31"/>
        <item m="1" x="84"/>
        <item m="1" x="147"/>
        <item x="18"/>
        <item m="1" x="94"/>
        <item m="1" x="90"/>
        <item m="1" x="88"/>
        <item m="1" x="82"/>
        <item m="1" x="126"/>
        <item x="0"/>
        <item m="1" x="81"/>
        <item m="1" x="144"/>
        <item m="1" x="136"/>
        <item m="1" x="74"/>
        <item m="1" x="52"/>
        <item m="1" x="83"/>
        <item x="4"/>
        <item x="14"/>
        <item m="1" x="66"/>
        <item m="1" x="143"/>
        <item m="1" x="141"/>
        <item x="1"/>
        <item x="28"/>
        <item m="1" x="56"/>
        <item m="1" x="50"/>
        <item m="1" x="105"/>
        <item x="22"/>
        <item m="1" x="129"/>
        <item m="1" x="98"/>
        <item m="1" x="75"/>
        <item x="21"/>
        <item x="41"/>
        <item x="5"/>
        <item m="1" x="137"/>
        <item m="1" x="77"/>
        <item m="1" x="115"/>
        <item m="1" x="110"/>
        <item m="1" x="140"/>
        <item m="1" x="128"/>
        <item m="1" x="134"/>
        <item m="1" x="89"/>
        <item m="1" x="45"/>
        <item m="1" x="78"/>
        <item x="16"/>
        <item m="1" x="72"/>
        <item m="1" x="68"/>
        <item x="2"/>
        <item m="1" x="69"/>
        <item x="15"/>
        <item m="1" x="70"/>
        <item x="39"/>
        <item m="1" x="53"/>
        <item x="19"/>
        <item m="1" x="46"/>
        <item m="1" x="64"/>
        <item m="1" x="48"/>
        <item m="1" x="57"/>
        <item x="13"/>
        <item x="38"/>
        <item x="7"/>
        <item x="20"/>
        <item x="6"/>
        <item x="25"/>
        <item m="1" x="47"/>
        <item x="23"/>
        <item x="27"/>
        <item m="1" x="43"/>
        <item x="24"/>
        <item x="29"/>
        <item x="34"/>
        <item x="32"/>
        <item t="default"/>
      </items>
    </pivotField>
    <pivotField showAll="0"/>
    <pivotField showAll="0"/>
    <pivotField showAll="0"/>
    <pivotField showAll="0"/>
    <pivotField showAll="0"/>
    <pivotField showAll="0"/>
    <pivotField showAll="0"/>
    <pivotField showAll="0"/>
    <pivotField showAll="0"/>
    <pivotField showAll="0">
      <items count="176">
        <item m="1" x="69"/>
        <item m="1" x="131"/>
        <item m="1" x="161"/>
        <item x="11"/>
        <item m="1" x="27"/>
        <item m="1" x="49"/>
        <item m="1" x="132"/>
        <item m="1" x="89"/>
        <item x="8"/>
        <item m="1" x="40"/>
        <item m="1" x="68"/>
        <item m="1" x="113"/>
        <item m="1" x="19"/>
        <item m="1" x="52"/>
        <item m="1" x="71"/>
        <item x="6"/>
        <item m="1" x="54"/>
        <item m="1" x="155"/>
        <item m="1" x="78"/>
        <item x="2"/>
        <item m="1" x="137"/>
        <item m="1" x="100"/>
        <item m="1" x="77"/>
        <item x="5"/>
        <item m="1" x="20"/>
        <item m="1" x="57"/>
        <item m="1" x="150"/>
        <item m="1" x="93"/>
        <item m="1" x="76"/>
        <item m="1" x="116"/>
        <item x="14"/>
        <item m="1" x="144"/>
        <item m="1" x="151"/>
        <item m="1" x="91"/>
        <item m="1" x="85"/>
        <item m="1" x="146"/>
        <item x="7"/>
        <item m="1" x="30"/>
        <item m="1" x="50"/>
        <item m="1" x="153"/>
        <item m="1" x="99"/>
        <item m="1" x="79"/>
        <item m="1" x="32"/>
        <item m="1" x="45"/>
        <item m="1" x="152"/>
        <item m="1" x="101"/>
        <item m="1" x="149"/>
        <item m="1" x="28"/>
        <item m="1" x="82"/>
        <item m="1" x="167"/>
        <item m="1" x="115"/>
        <item m="1" x="98"/>
        <item m="1" x="143"/>
        <item m="1" x="23"/>
        <item m="1" x="44"/>
        <item m="1" x="65"/>
        <item m="1" x="159"/>
        <item m="1" x="106"/>
        <item m="1" x="88"/>
        <item m="1" x="136"/>
        <item m="1" x="58"/>
        <item m="1" x="163"/>
        <item m="1" x="90"/>
        <item m="1" x="124"/>
        <item x="10"/>
        <item m="1" x="33"/>
        <item m="1" x="60"/>
        <item m="1" x="164"/>
        <item m="1" x="92"/>
        <item m="1" x="80"/>
        <item m="1" x="117"/>
        <item x="15"/>
        <item m="1" x="29"/>
        <item m="1" x="64"/>
        <item m="1" x="160"/>
        <item m="1" x="94"/>
        <item m="1" x="75"/>
        <item m="1" x="123"/>
        <item x="1"/>
        <item m="1" x="41"/>
        <item m="1" x="56"/>
        <item m="1" x="158"/>
        <item m="1" x="95"/>
        <item m="1" x="72"/>
        <item m="1" x="145"/>
        <item x="12"/>
        <item m="1" x="22"/>
        <item m="1" x="59"/>
        <item m="1" x="156"/>
        <item m="1" x="109"/>
        <item m="1" x="83"/>
        <item m="1" x="122"/>
        <item x="16"/>
        <item m="1" x="35"/>
        <item m="1" x="53"/>
        <item m="1" x="154"/>
        <item m="1" x="96"/>
        <item m="1" x="135"/>
        <item x="9"/>
        <item m="1" x="36"/>
        <item m="1" x="63"/>
        <item m="1" x="157"/>
        <item m="1" x="103"/>
        <item m="1" x="87"/>
        <item m="1" x="127"/>
        <item x="3"/>
        <item m="1" x="43"/>
        <item m="1" x="166"/>
        <item m="1" x="111"/>
        <item m="1" x="73"/>
        <item m="1" x="120"/>
        <item x="13"/>
        <item m="1" x="24"/>
        <item m="1" x="62"/>
        <item m="1" x="104"/>
        <item m="1" x="81"/>
        <item m="1" x="119"/>
        <item x="17"/>
        <item m="1" x="21"/>
        <item m="1" x="148"/>
        <item m="1" x="173"/>
        <item m="1" x="121"/>
        <item m="1" x="108"/>
        <item m="1" x="138"/>
        <item m="1" x="37"/>
        <item m="1" x="48"/>
        <item m="1" x="55"/>
        <item m="1" x="97"/>
        <item m="1" x="70"/>
        <item m="1" x="118"/>
        <item x="18"/>
        <item m="1" x="25"/>
        <item m="1" x="51"/>
        <item m="1" x="172"/>
        <item m="1" x="74"/>
        <item m="1" x="134"/>
        <item m="1" x="86"/>
        <item m="1" x="171"/>
        <item m="1" x="130"/>
        <item m="1" x="110"/>
        <item m="1" x="162"/>
        <item m="1" x="34"/>
        <item m="1" x="66"/>
        <item m="1" x="84"/>
        <item m="1" x="169"/>
        <item m="1" x="125"/>
        <item m="1" x="107"/>
        <item m="1" x="141"/>
        <item m="1" x="39"/>
        <item m="1" x="61"/>
        <item m="1" x="168"/>
        <item m="1" x="133"/>
        <item m="1" x="112"/>
        <item m="1" x="140"/>
        <item m="1" x="38"/>
        <item m="1" x="67"/>
        <item m="1" x="46"/>
        <item m="1" x="174"/>
        <item m="1" x="129"/>
        <item m="1" x="102"/>
        <item m="1" x="139"/>
        <item m="1" x="31"/>
        <item m="1" x="47"/>
        <item m="1" x="170"/>
        <item m="1" x="105"/>
        <item m="1" x="142"/>
        <item m="1" x="26"/>
        <item m="1" x="42"/>
        <item m="1" x="126"/>
        <item m="1" x="147"/>
        <item m="1" x="128"/>
        <item m="1" x="165"/>
        <item x="4"/>
        <item m="1" x="114"/>
        <item x="0"/>
        <item t="default"/>
      </items>
    </pivotField>
    <pivotField showAll="0"/>
    <pivotField showAll="0"/>
    <pivotField showAll="0"/>
    <pivotField showAll="0"/>
    <pivotField showAll="0"/>
    <pivotField showAll="0" defaultSubtotal="0"/>
  </pivotFields>
  <rowFields count="1">
    <field x="29"/>
  </rowFields>
  <rowItems count="43">
    <i>
      <x v="9"/>
    </i>
    <i>
      <x v="11"/>
    </i>
    <i>
      <x v="30"/>
    </i>
    <i>
      <x v="34"/>
    </i>
    <i>
      <x v="37"/>
    </i>
    <i>
      <x v="38"/>
    </i>
    <i>
      <x v="43"/>
    </i>
    <i>
      <x v="50"/>
    </i>
    <i>
      <x v="61"/>
    </i>
    <i>
      <x v="68"/>
    </i>
    <i>
      <x v="69"/>
    </i>
    <i>
      <x v="72"/>
    </i>
    <i>
      <x v="73"/>
    </i>
    <i>
      <x v="76"/>
    </i>
    <i>
      <x v="77"/>
    </i>
    <i>
      <x v="80"/>
    </i>
    <i>
      <x v="86"/>
    </i>
    <i>
      <x v="93"/>
    </i>
    <i>
      <x v="94"/>
    </i>
    <i>
      <x v="98"/>
    </i>
    <i>
      <x v="99"/>
    </i>
    <i>
      <x v="103"/>
    </i>
    <i>
      <x v="107"/>
    </i>
    <i>
      <x v="108"/>
    </i>
    <i>
      <x v="109"/>
    </i>
    <i>
      <x v="120"/>
    </i>
    <i>
      <x v="123"/>
    </i>
    <i>
      <x v="125"/>
    </i>
    <i>
      <x v="127"/>
    </i>
    <i>
      <x v="129"/>
    </i>
    <i>
      <x v="134"/>
    </i>
    <i>
      <x v="135"/>
    </i>
    <i>
      <x v="136"/>
    </i>
    <i>
      <x v="137"/>
    </i>
    <i>
      <x v="138"/>
    </i>
    <i>
      <x v="139"/>
    </i>
    <i>
      <x v="141"/>
    </i>
    <i>
      <x v="142"/>
    </i>
    <i>
      <x v="144"/>
    </i>
    <i>
      <x v="145"/>
    </i>
    <i>
      <x v="146"/>
    </i>
    <i>
      <x v="147"/>
    </i>
    <i t="grand">
      <x/>
    </i>
  </rowItems>
  <colItems count="1">
    <i/>
  </colItems>
  <pageFields count="1">
    <pageField fld="18" hier="-1"/>
  </pageFields>
  <dataFields count="1">
    <dataField numFmtId="3" name="Count of ENR" fld="8" subtotal="count" baseField="28" baseItem="37"/>
  </dataField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D3F57F-F7B5-47B7-9477-BE1305BA3833}" name="PivotTable4" cacheId="682" dataOnRows="1" applyNumberFormats="1" applyBorderFormats="0" applyFontFormats="0" applyPatternFormats="0" applyAlignmentFormats="0" applyWidthHeightFormats="1" dataCaption="Values" updatedVersion="8" minRefreshableVersion="3" itemPrintTitles="1" createdVersion="4" indent="0" outline="1" outlineData="1" multipleFieldFilters="0" colHeaderCaption="MIS">
  <location ref="A115:B133" firstHeaderRow="1" firstDataRow="1" firstDataCol="1" rowPageCount="1" colPageCount="1"/>
  <pivotFields count="46">
    <pivotField showAll="0"/>
    <pivotField showAll="0"/>
    <pivotField showAll="0"/>
    <pivotField axis="axisRow" showAll="0" sortType="ascending">
      <items count="29">
        <item x="0"/>
        <item x="1"/>
        <item x="2"/>
        <item m="1" x="20"/>
        <item x="3"/>
        <item m="1" x="27"/>
        <item x="4"/>
        <item x="5"/>
        <item m="1" x="21"/>
        <item x="6"/>
        <item x="7"/>
        <item m="1" x="17"/>
        <item x="8"/>
        <item x="9"/>
        <item x="10"/>
        <item m="1" x="22"/>
        <item x="11"/>
        <item m="1" x="18"/>
        <item x="12"/>
        <item x="13"/>
        <item m="1" x="23"/>
        <item x="16"/>
        <item x="14"/>
        <item x="15"/>
        <item m="1" x="24"/>
        <item m="1" x="25"/>
        <item m="1" x="19"/>
        <item m="1" x="26"/>
        <item t="default"/>
      </items>
    </pivotField>
    <pivotField showAll="0"/>
    <pivotField showAll="0"/>
    <pivotField showAll="0"/>
    <pivotField showAll="0"/>
    <pivotField dataField="1" showAll="0"/>
    <pivotField showAll="0"/>
    <pivotField showAll="0"/>
    <pivotField showAll="0"/>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items count="18">
        <item m="1" x="16"/>
        <item x="2"/>
        <item x="1"/>
        <item m="1" x="10"/>
        <item x="3"/>
        <item m="1" x="8"/>
        <item m="1" x="12"/>
        <item m="1" x="13"/>
        <item m="1" x="5"/>
        <item m="1" x="15"/>
        <item m="1" x="6"/>
        <item x="0"/>
        <item m="1" x="14"/>
        <item m="1" x="7"/>
        <item m="1" x="11"/>
        <item m="1" x="9"/>
        <item m="1" x="4"/>
        <item t="default"/>
      </items>
    </pivotField>
    <pivotField showAll="0"/>
    <pivotField showAll="0"/>
    <pivotField showAll="0"/>
    <pivotField showAll="0"/>
    <pivotField showAll="0"/>
    <pivotField showAll="0">
      <items count="14">
        <item m="1" x="10"/>
        <item x="3"/>
        <item x="1"/>
        <item x="0"/>
        <item m="1" x="12"/>
        <item m="1" x="9"/>
        <item x="5"/>
        <item x="6"/>
        <item m="1" x="11"/>
        <item x="2"/>
        <item x="4"/>
        <item m="1" x="8"/>
        <item m="1" x="7"/>
        <item t="default"/>
      </items>
    </pivotField>
    <pivotField showAll="0">
      <items count="149">
        <item m="1" x="107"/>
        <item m="1" x="127"/>
        <item m="1" x="116"/>
        <item m="1" x="61"/>
        <item m="1" x="114"/>
        <item m="1" x="99"/>
        <item m="1" x="135"/>
        <item m="1" x="86"/>
        <item m="1" x="142"/>
        <item x="33"/>
        <item m="1" x="120"/>
        <item x="11"/>
        <item m="1" x="109"/>
        <item m="1" x="53"/>
        <item m="1" x="97"/>
        <item x="38"/>
        <item m="1" x="91"/>
        <item m="1" x="93"/>
        <item m="1" x="76"/>
        <item m="1" x="68"/>
        <item m="1" x="133"/>
        <item m="1" x="85"/>
        <item m="1" x="139"/>
        <item m="1" x="117"/>
        <item m="1" x="73"/>
        <item m="1" x="106"/>
        <item m="1" x="124"/>
        <item m="1" x="65"/>
        <item m="1" x="123"/>
        <item m="1" x="111"/>
        <item m="1" x="130"/>
        <item m="1" x="57"/>
        <item m="1" x="62"/>
        <item m="1" x="113"/>
        <item x="10"/>
        <item m="1" x="79"/>
        <item m="1" x="112"/>
        <item m="1" x="54"/>
        <item x="12"/>
        <item m="1" x="121"/>
        <item m="1" x="102"/>
        <item x="37"/>
        <item x="17"/>
        <item m="1" x="58"/>
        <item x="29"/>
        <item m="1" x="60"/>
        <item m="1" x="131"/>
        <item m="1" x="64"/>
        <item m="1" x="95"/>
        <item x="3"/>
        <item m="1" x="80"/>
        <item m="1" x="100"/>
        <item m="1" x="96"/>
        <item x="20"/>
        <item m="1" x="51"/>
        <item m="1" x="71"/>
        <item m="1" x="67"/>
        <item x="26"/>
        <item m="1" x="55"/>
        <item m="1" x="138"/>
        <item m="1" x="132"/>
        <item m="1" x="101"/>
        <item m="1" x="59"/>
        <item m="1" x="104"/>
        <item x="32"/>
        <item m="1" x="42"/>
        <item m="1" x="118"/>
        <item m="1" x="122"/>
        <item x="27"/>
        <item m="1" x="49"/>
        <item x="40"/>
        <item x="24"/>
        <item m="1" x="87"/>
        <item m="1" x="92"/>
        <item m="1" x="125"/>
        <item m="1" x="103"/>
        <item m="1" x="78"/>
        <item m="1" x="119"/>
        <item m="1" x="146"/>
        <item x="39"/>
        <item x="8"/>
        <item x="9"/>
        <item m="1" x="46"/>
        <item m="1" x="43"/>
        <item m="1" x="44"/>
        <item m="1" x="145"/>
        <item x="35"/>
        <item x="30"/>
        <item m="1" x="63"/>
        <item x="25"/>
        <item m="1" x="108"/>
        <item x="36"/>
        <item x="31"/>
        <item m="1" x="84"/>
        <item m="1" x="147"/>
        <item x="18"/>
        <item m="1" x="94"/>
        <item x="2"/>
        <item m="1" x="90"/>
        <item x="28"/>
        <item m="1" x="88"/>
        <item m="1" x="48"/>
        <item m="1" x="82"/>
        <item m="1" x="126"/>
        <item x="0"/>
        <item m="1" x="81"/>
        <item m="1" x="144"/>
        <item m="1" x="136"/>
        <item m="1" x="74"/>
        <item m="1" x="47"/>
        <item x="6"/>
        <item m="1" x="52"/>
        <item m="1" x="83"/>
        <item x="4"/>
        <item x="14"/>
        <item m="1" x="66"/>
        <item m="1" x="72"/>
        <item x="13"/>
        <item m="1" x="143"/>
        <item m="1" x="141"/>
        <item x="1"/>
        <item m="1" x="70"/>
        <item m="1" x="56"/>
        <item m="1" x="50"/>
        <item x="7"/>
        <item x="23"/>
        <item m="1" x="105"/>
        <item x="22"/>
        <item m="1" x="129"/>
        <item x="19"/>
        <item m="1" x="98"/>
        <item m="1" x="75"/>
        <item x="21"/>
        <item x="41"/>
        <item x="5"/>
        <item m="1" x="137"/>
        <item x="15"/>
        <item m="1" x="77"/>
        <item x="16"/>
        <item m="1" x="115"/>
        <item m="1" x="110"/>
        <item m="1" x="140"/>
        <item m="1" x="69"/>
        <item x="34"/>
        <item m="1" x="128"/>
        <item m="1" x="134"/>
        <item m="1" x="89"/>
        <item m="1" x="4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3"/>
  </rowFields>
  <rowItems count="18">
    <i>
      <x/>
    </i>
    <i>
      <x v="1"/>
    </i>
    <i>
      <x v="2"/>
    </i>
    <i>
      <x v="4"/>
    </i>
    <i>
      <x v="6"/>
    </i>
    <i>
      <x v="7"/>
    </i>
    <i>
      <x v="9"/>
    </i>
    <i>
      <x v="10"/>
    </i>
    <i>
      <x v="12"/>
    </i>
    <i>
      <x v="13"/>
    </i>
    <i>
      <x v="14"/>
    </i>
    <i>
      <x v="16"/>
    </i>
    <i>
      <x v="18"/>
    </i>
    <i>
      <x v="19"/>
    </i>
    <i>
      <x v="21"/>
    </i>
    <i>
      <x v="22"/>
    </i>
    <i>
      <x v="23"/>
    </i>
    <i t="grand">
      <x/>
    </i>
  </rowItems>
  <colItems count="1">
    <i/>
  </colItems>
  <pageFields count="1">
    <pageField fld="14" hier="-1"/>
  </pageFields>
  <dataFields count="1">
    <dataField numFmtId="3" name="Count of ENR" fld="8" subtotal="count" baseField="3" baseItem="0"/>
  </dataField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2BBC3B-6F7D-4D43-B553-6C301E199482}" name="PivotTable11" cacheId="682" applyNumberFormats="1"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CA3:CF48" firstHeaderRow="1" firstDataRow="3" firstDataCol="1"/>
  <pivotFields count="46">
    <pivotField showAll="0"/>
    <pivotField showAll="0"/>
    <pivotField showAll="0"/>
    <pivotField showAll="0">
      <items count="29">
        <item x="0"/>
        <item x="1"/>
        <item x="2"/>
        <item m="1" x="20"/>
        <item x="3"/>
        <item m="1" x="27"/>
        <item x="4"/>
        <item x="5"/>
        <item m="1" x="21"/>
        <item x="6"/>
        <item x="7"/>
        <item m="1" x="17"/>
        <item x="8"/>
        <item x="9"/>
        <item x="10"/>
        <item m="1" x="22"/>
        <item x="11"/>
        <item m="1" x="18"/>
        <item x="12"/>
        <item x="13"/>
        <item m="1" x="23"/>
        <item x="16"/>
        <item x="14"/>
        <item x="15"/>
        <item m="1" x="24"/>
        <item m="1" x="25"/>
        <item m="1" x="19"/>
        <item m="1" x="26"/>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3">
        <item sd="0" x="0"/>
        <item x="1"/>
        <item t="default"/>
      </items>
    </pivotField>
    <pivotField showAll="0"/>
    <pivotField showAll="0"/>
    <pivotField showAll="0"/>
    <pivotField showAll="0"/>
    <pivotField showAll="0"/>
    <pivotField showAll="0"/>
    <pivotField showAll="0"/>
    <pivotField showAll="0">
      <items count="18">
        <item m="1" x="16"/>
        <item x="2"/>
        <item x="1"/>
        <item m="1" x="10"/>
        <item x="3"/>
        <item m="1" x="8"/>
        <item m="1" x="12"/>
        <item m="1" x="13"/>
        <item m="1" x="5"/>
        <item m="1" x="15"/>
        <item m="1" x="6"/>
        <item x="0"/>
        <item m="1" x="14"/>
        <item m="1" x="7"/>
        <item m="1" x="11"/>
        <item m="1" x="9"/>
        <item m="1" x="4"/>
        <item t="default"/>
      </items>
    </pivotField>
    <pivotField showAll="0"/>
    <pivotField showAll="0"/>
    <pivotField showAll="0"/>
    <pivotField showAll="0"/>
    <pivotField showAll="0"/>
    <pivotField showAll="0">
      <items count="14">
        <item m="1" x="10"/>
        <item x="3"/>
        <item x="1"/>
        <item x="0"/>
        <item m="1" x="12"/>
        <item m="1" x="9"/>
        <item x="5"/>
        <item x="6"/>
        <item m="1" x="11"/>
        <item x="2"/>
        <item x="4"/>
        <item m="1" x="8"/>
        <item m="1" x="7"/>
        <item t="default"/>
      </items>
    </pivotField>
    <pivotField axis="axisRow" showAll="0" sortType="ascending">
      <items count="149">
        <item m="1" x="107"/>
        <item m="1" x="127"/>
        <item m="1" x="116"/>
        <item m="1" x="61"/>
        <item m="1" x="114"/>
        <item m="1" x="99"/>
        <item m="1" x="135"/>
        <item m="1" x="86"/>
        <item m="1" x="142"/>
        <item x="33"/>
        <item m="1" x="120"/>
        <item x="11"/>
        <item m="1" x="109"/>
        <item m="1" x="53"/>
        <item m="1" x="97"/>
        <item x="38"/>
        <item m="1" x="91"/>
        <item m="1" x="93"/>
        <item m="1" x="76"/>
        <item m="1" x="68"/>
        <item m="1" x="133"/>
        <item m="1" x="85"/>
        <item m="1" x="139"/>
        <item m="1" x="117"/>
        <item m="1" x="73"/>
        <item m="1" x="106"/>
        <item m="1" x="124"/>
        <item m="1" x="65"/>
        <item m="1" x="123"/>
        <item m="1" x="111"/>
        <item m="1" x="130"/>
        <item m="1" x="57"/>
        <item m="1" x="62"/>
        <item m="1" x="113"/>
        <item x="10"/>
        <item m="1" x="79"/>
        <item m="1" x="112"/>
        <item m="1" x="54"/>
        <item x="12"/>
        <item m="1" x="121"/>
        <item m="1" x="102"/>
        <item x="37"/>
        <item x="17"/>
        <item m="1" x="58"/>
        <item x="29"/>
        <item m="1" x="60"/>
        <item m="1" x="131"/>
        <item m="1" x="64"/>
        <item m="1" x="95"/>
        <item x="3"/>
        <item m="1" x="80"/>
        <item m="1" x="100"/>
        <item m="1" x="96"/>
        <item x="20"/>
        <item m="1" x="51"/>
        <item m="1" x="71"/>
        <item m="1" x="67"/>
        <item x="26"/>
        <item m="1" x="55"/>
        <item m="1" x="138"/>
        <item m="1" x="132"/>
        <item m="1" x="101"/>
        <item m="1" x="59"/>
        <item m="1" x="104"/>
        <item x="32"/>
        <item m="1" x="42"/>
        <item m="1" x="118"/>
        <item m="1" x="122"/>
        <item x="27"/>
        <item m="1" x="49"/>
        <item x="40"/>
        <item x="24"/>
        <item m="1" x="87"/>
        <item m="1" x="92"/>
        <item m="1" x="125"/>
        <item m="1" x="103"/>
        <item m="1" x="78"/>
        <item m="1" x="119"/>
        <item m="1" x="146"/>
        <item x="39"/>
        <item x="8"/>
        <item x="9"/>
        <item m="1" x="46"/>
        <item m="1" x="43"/>
        <item m="1" x="44"/>
        <item m="1" x="145"/>
        <item x="35"/>
        <item x="30"/>
        <item m="1" x="63"/>
        <item x="25"/>
        <item m="1" x="108"/>
        <item x="36"/>
        <item x="31"/>
        <item m="1" x="84"/>
        <item m="1" x="147"/>
        <item x="18"/>
        <item m="1" x="94"/>
        <item x="2"/>
        <item m="1" x="90"/>
        <item x="28"/>
        <item m="1" x="88"/>
        <item m="1" x="48"/>
        <item m="1" x="82"/>
        <item m="1" x="126"/>
        <item x="0"/>
        <item m="1" x="81"/>
        <item m="1" x="144"/>
        <item m="1" x="136"/>
        <item m="1" x="74"/>
        <item m="1" x="47"/>
        <item x="6"/>
        <item m="1" x="52"/>
        <item m="1" x="83"/>
        <item x="4"/>
        <item x="14"/>
        <item m="1" x="66"/>
        <item m="1" x="72"/>
        <item x="13"/>
        <item m="1" x="143"/>
        <item m="1" x="141"/>
        <item x="1"/>
        <item m="1" x="70"/>
        <item m="1" x="56"/>
        <item m="1" x="50"/>
        <item x="7"/>
        <item x="23"/>
        <item m="1" x="105"/>
        <item x="22"/>
        <item m="1" x="129"/>
        <item x="19"/>
        <item m="1" x="98"/>
        <item m="1" x="75"/>
        <item x="21"/>
        <item x="41"/>
        <item x="5"/>
        <item m="1" x="137"/>
        <item x="15"/>
        <item m="1" x="77"/>
        <item x="16"/>
        <item m="1" x="115"/>
        <item m="1" x="110"/>
        <item m="1" x="140"/>
        <item m="1" x="69"/>
        <item x="34"/>
        <item m="1" x="128"/>
        <item m="1" x="134"/>
        <item m="1" x="89"/>
        <item m="1" x="45"/>
        <item t="default"/>
      </items>
    </pivotField>
    <pivotField showAll="0"/>
    <pivotField showAll="0"/>
    <pivotField showAll="0"/>
    <pivotField showAll="0"/>
    <pivotField showAll="0"/>
    <pivotField showAll="0"/>
    <pivotField axis="axisCol" showAll="0">
      <items count="4">
        <item x="1"/>
        <item x="0"/>
        <item m="1" x="2"/>
        <item t="default"/>
      </items>
    </pivotField>
    <pivotField showAll="0"/>
    <pivotField showAll="0"/>
    <pivotField showAll="0"/>
    <pivotField showAll="0"/>
    <pivotField showAll="0"/>
    <pivotField showAll="0"/>
    <pivotField showAll="0"/>
    <pivotField showAll="0"/>
    <pivotField showAll="0" defaultSubtotal="0"/>
  </pivotFields>
  <rowFields count="1">
    <field x="29"/>
  </rowFields>
  <rowItems count="43">
    <i>
      <x v="9"/>
    </i>
    <i>
      <x v="11"/>
    </i>
    <i>
      <x v="15"/>
    </i>
    <i>
      <x v="34"/>
    </i>
    <i>
      <x v="38"/>
    </i>
    <i>
      <x v="41"/>
    </i>
    <i>
      <x v="42"/>
    </i>
    <i>
      <x v="44"/>
    </i>
    <i>
      <x v="49"/>
    </i>
    <i>
      <x v="53"/>
    </i>
    <i>
      <x v="57"/>
    </i>
    <i>
      <x v="64"/>
    </i>
    <i>
      <x v="68"/>
    </i>
    <i>
      <x v="70"/>
    </i>
    <i>
      <x v="71"/>
    </i>
    <i>
      <x v="79"/>
    </i>
    <i>
      <x v="80"/>
    </i>
    <i>
      <x v="81"/>
    </i>
    <i>
      <x v="86"/>
    </i>
    <i>
      <x v="87"/>
    </i>
    <i>
      <x v="89"/>
    </i>
    <i>
      <x v="91"/>
    </i>
    <i>
      <x v="92"/>
    </i>
    <i>
      <x v="95"/>
    </i>
    <i>
      <x v="97"/>
    </i>
    <i>
      <x v="99"/>
    </i>
    <i>
      <x v="104"/>
    </i>
    <i>
      <x v="110"/>
    </i>
    <i>
      <x v="113"/>
    </i>
    <i>
      <x v="114"/>
    </i>
    <i>
      <x v="117"/>
    </i>
    <i>
      <x v="120"/>
    </i>
    <i>
      <x v="124"/>
    </i>
    <i>
      <x v="125"/>
    </i>
    <i>
      <x v="127"/>
    </i>
    <i>
      <x v="129"/>
    </i>
    <i>
      <x v="132"/>
    </i>
    <i>
      <x v="133"/>
    </i>
    <i>
      <x v="134"/>
    </i>
    <i>
      <x v="136"/>
    </i>
    <i>
      <x v="138"/>
    </i>
    <i>
      <x v="143"/>
    </i>
    <i t="grand">
      <x/>
    </i>
  </rowItems>
  <colFields count="2">
    <field x="14"/>
    <field x="36"/>
  </colFields>
  <colItems count="5">
    <i>
      <x/>
    </i>
    <i>
      <x v="1"/>
      <x/>
    </i>
    <i r="1">
      <x v="1"/>
    </i>
    <i t="default">
      <x v="1"/>
    </i>
    <i t="grand">
      <x/>
    </i>
  </colItems>
  <dataFields count="1">
    <dataField numFmtId="3" name="COUNT." fld="8" subtotal="count" baseField="4" baseItem="0"/>
  </dataField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YC" xr10:uid="{00000000-0013-0000-FFFF-FFFF01000000}" sourceName="CYC">
  <pivotTables>
    <pivotTable tabId="4" name="PivotTable1"/>
    <pivotTable tabId="4" name="PivotTable3"/>
    <pivotTable tabId="4" name="PivotTable5"/>
    <pivotTable tabId="4" name="PivotTable6"/>
    <pivotTable tabId="4" name="PivotTable7"/>
    <pivotTable tabId="4" name="PivotTable8"/>
    <pivotTable tabId="4" name="PivotTable9"/>
    <pivotTable tabId="4" name="PivotTable2"/>
    <pivotTable tabId="4" name="PivotTable11"/>
    <pivotTable tabId="4" name="PivotTable4"/>
  </pivotTables>
  <data>
    <tabular pivotCacheId="1">
      <items count="28">
        <i x="0" s="1"/>
        <i x="1" s="1"/>
        <i x="2" s="1"/>
        <i x="3" s="1"/>
        <i x="4" s="1"/>
        <i x="5" s="1"/>
        <i x="6" s="1"/>
        <i x="7" s="1"/>
        <i x="8" s="1"/>
        <i x="9" s="1"/>
        <i x="10" s="1"/>
        <i x="11" s="1"/>
        <i x="12" s="1"/>
        <i x="13" s="1"/>
        <i x="16" s="1"/>
        <i x="14" s="1"/>
        <i x="15" s="1"/>
        <i x="20" s="1" nd="1"/>
        <i x="27" s="1" nd="1"/>
        <i x="21" s="1" nd="1"/>
        <i x="17" s="1" nd="1"/>
        <i x="22" s="1" nd="1"/>
        <i x="18" s="1" nd="1"/>
        <i x="23" s="1" nd="1"/>
        <i x="24" s="1" nd="1"/>
        <i x="25" s="1" nd="1"/>
        <i x="19" s="1" nd="1"/>
        <i x="2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LER" xr10:uid="{00000000-0013-0000-FFFF-FFFF03000000}" sourceName="CALLER">
  <pivotTables>
    <pivotTable tabId="4" name="PivotTable1"/>
    <pivotTable tabId="4" name="PivotTable3"/>
    <pivotTable tabId="4" name="PivotTable5"/>
    <pivotTable tabId="4" name="PivotTable6"/>
    <pivotTable tabId="4" name="PivotTable7"/>
    <pivotTable tabId="4" name="PivotTable8"/>
    <pivotTable tabId="4" name="PivotTable9"/>
    <pivotTable tabId="4" name="PivotTable2"/>
    <pivotTable tabId="4" name="PivotTable11"/>
    <pivotTable tabId="4" name="PivotTable4"/>
  </pivotTables>
  <data>
    <tabular pivotCacheId="1">
      <items count="17">
        <i x="2" s="1"/>
        <i x="1" s="1"/>
        <i x="3" s="1"/>
        <i x="0" s="1"/>
        <i x="16" s="1" nd="1"/>
        <i x="10" s="1" nd="1"/>
        <i x="8" s="1" nd="1"/>
        <i x="12" s="1" nd="1"/>
        <i x="13" s="1" nd="1"/>
        <i x="5" s="1" nd="1"/>
        <i x="15" s="1" nd="1"/>
        <i x="6" s="1" nd="1"/>
        <i x="14" s="1" nd="1"/>
        <i x="7" s="1" nd="1"/>
        <i x="11" s="1" nd="1"/>
        <i x="9"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00000000-0013-0000-FFFF-FFFF04000000}" sourceName="AREA">
  <pivotTables>
    <pivotTable tabId="4" name="PivotTable1"/>
    <pivotTable tabId="4" name="PivotTable3"/>
    <pivotTable tabId="4" name="PivotTable5"/>
    <pivotTable tabId="4" name="PivotTable6"/>
    <pivotTable tabId="4" name="PivotTable7"/>
    <pivotTable tabId="4" name="PivotTable8"/>
    <pivotTable tabId="4" name="PivotTable9"/>
    <pivotTable tabId="4" name="PivotTable2"/>
    <pivotTable tabId="4" name="PivotTable11"/>
    <pivotTable tabId="4" name="PivotTable4"/>
  </pivotTables>
  <data>
    <tabular pivotCacheId="1">
      <items count="13">
        <i x="3" s="1"/>
        <i x="1" s="1"/>
        <i x="0" s="1"/>
        <i x="5" s="1"/>
        <i x="6" s="1"/>
        <i x="2" s="1"/>
        <i x="4" s="1"/>
        <i x="10" s="1" nd="1"/>
        <i x="12" s="1" nd="1"/>
        <i x="9" s="1" nd="1"/>
        <i x="11" s="1" nd="1"/>
        <i x="8" s="1" nd="1"/>
        <i x="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S_NAME" xr10:uid="{00000000-0013-0000-FFFF-FFFF05000000}" sourceName="FOS NAME">
  <pivotTables>
    <pivotTable tabId="4" name="PivotTable1"/>
    <pivotTable tabId="4" name="PivotTable3"/>
    <pivotTable tabId="4" name="PivotTable5"/>
    <pivotTable tabId="4" name="PivotTable6"/>
    <pivotTable tabId="4" name="PivotTable7"/>
    <pivotTable tabId="4" name="PivotTable8"/>
    <pivotTable tabId="4" name="PivotTable9"/>
    <pivotTable tabId="4" name="PivotTable2"/>
    <pivotTable tabId="4" name="PivotTable11"/>
    <pivotTable tabId="4" name="PivotTable4"/>
  </pivotTables>
  <data>
    <tabular pivotCacheId="1">
      <items count="148">
        <i x="33" s="1"/>
        <i x="11" s="1"/>
        <i x="38" s="1"/>
        <i x="10" s="1"/>
        <i x="12" s="1"/>
        <i x="37" s="1"/>
        <i x="17" s="1"/>
        <i x="29" s="1"/>
        <i x="3" s="1"/>
        <i x="20" s="1"/>
        <i x="26" s="1"/>
        <i x="32" s="1"/>
        <i x="27" s="1"/>
        <i x="40" s="1"/>
        <i x="24" s="1"/>
        <i x="39" s="1"/>
        <i x="8" s="1"/>
        <i x="9" s="1"/>
        <i x="35" s="1"/>
        <i x="30" s="1"/>
        <i x="25" s="1"/>
        <i x="36" s="1"/>
        <i x="31" s="1"/>
        <i x="18" s="1"/>
        <i x="2" s="1"/>
        <i x="28" s="1"/>
        <i x="0" s="1"/>
        <i x="6" s="1"/>
        <i x="4" s="1"/>
        <i x="14" s="1"/>
        <i x="13" s="1"/>
        <i x="1" s="1"/>
        <i x="7" s="1"/>
        <i x="23" s="1"/>
        <i x="22" s="1"/>
        <i x="19" s="1"/>
        <i x="21" s="1"/>
        <i x="41" s="1"/>
        <i x="5" s="1"/>
        <i x="15" s="1"/>
        <i x="16" s="1"/>
        <i x="34" s="1"/>
        <i x="107" s="1" nd="1"/>
        <i x="127" s="1" nd="1"/>
        <i x="116" s="1" nd="1"/>
        <i x="61" s="1" nd="1"/>
        <i x="114" s="1" nd="1"/>
        <i x="99" s="1" nd="1"/>
        <i x="135" s="1" nd="1"/>
        <i x="86" s="1" nd="1"/>
        <i x="142" s="1" nd="1"/>
        <i x="120" s="1" nd="1"/>
        <i x="109" s="1" nd="1"/>
        <i x="53" s="1" nd="1"/>
        <i x="97" s="1" nd="1"/>
        <i x="91" s="1" nd="1"/>
        <i x="93" s="1" nd="1"/>
        <i x="76" s="1" nd="1"/>
        <i x="68" s="1" nd="1"/>
        <i x="133" s="1" nd="1"/>
        <i x="85" s="1" nd="1"/>
        <i x="139" s="1" nd="1"/>
        <i x="117" s="1" nd="1"/>
        <i x="73" s="1" nd="1"/>
        <i x="106" s="1" nd="1"/>
        <i x="124" s="1" nd="1"/>
        <i x="65" s="1" nd="1"/>
        <i x="123" s="1" nd="1"/>
        <i x="111" s="1" nd="1"/>
        <i x="130" s="1" nd="1"/>
        <i x="57" s="1" nd="1"/>
        <i x="62" s="1" nd="1"/>
        <i x="113" s="1" nd="1"/>
        <i x="79" s="1" nd="1"/>
        <i x="112" s="1" nd="1"/>
        <i x="54" s="1" nd="1"/>
        <i x="121" s="1" nd="1"/>
        <i x="102" s="1" nd="1"/>
        <i x="58" s="1" nd="1"/>
        <i x="60" s="1" nd="1"/>
        <i x="131" s="1" nd="1"/>
        <i x="64" s="1" nd="1"/>
        <i x="95" s="1" nd="1"/>
        <i x="80" s="1" nd="1"/>
        <i x="100" s="1" nd="1"/>
        <i x="96" s="1" nd="1"/>
        <i x="51" s="1" nd="1"/>
        <i x="71" s="1" nd="1"/>
        <i x="67" s="1" nd="1"/>
        <i x="55" s="1" nd="1"/>
        <i x="138" s="1" nd="1"/>
        <i x="132" s="1" nd="1"/>
        <i x="101" s="1" nd="1"/>
        <i x="59" s="1" nd="1"/>
        <i x="104" s="1" nd="1"/>
        <i x="42" s="1" nd="1"/>
        <i x="118" s="1" nd="1"/>
        <i x="122" s="1" nd="1"/>
        <i x="49" s="1" nd="1"/>
        <i x="87" s="1" nd="1"/>
        <i x="92" s="1" nd="1"/>
        <i x="125" s="1" nd="1"/>
        <i x="103" s="1" nd="1"/>
        <i x="78" s="1" nd="1"/>
        <i x="119" s="1" nd="1"/>
        <i x="146" s="1" nd="1"/>
        <i x="46" s="1" nd="1"/>
        <i x="43" s="1" nd="1"/>
        <i x="44" s="1" nd="1"/>
        <i x="145" s="1" nd="1"/>
        <i x="63" s="1" nd="1"/>
        <i x="108" s="1" nd="1"/>
        <i x="84" s="1" nd="1"/>
        <i x="147" s="1" nd="1"/>
        <i x="94" s="1" nd="1"/>
        <i x="90" s="1" nd="1"/>
        <i x="88" s="1" nd="1"/>
        <i x="48" s="1" nd="1"/>
        <i x="82" s="1" nd="1"/>
        <i x="126" s="1" nd="1"/>
        <i x="81" s="1" nd="1"/>
        <i x="144" s="1" nd="1"/>
        <i x="136" s="1" nd="1"/>
        <i x="74" s="1" nd="1"/>
        <i x="47" s="1" nd="1"/>
        <i x="52" s="1" nd="1"/>
        <i x="83" s="1" nd="1"/>
        <i x="66" s="1" nd="1"/>
        <i x="72" s="1" nd="1"/>
        <i x="143" s="1" nd="1"/>
        <i x="141" s="1" nd="1"/>
        <i x="70" s="1" nd="1"/>
        <i x="56" s="1" nd="1"/>
        <i x="50" s="1" nd="1"/>
        <i x="105" s="1" nd="1"/>
        <i x="129" s="1" nd="1"/>
        <i x="98" s="1" nd="1"/>
        <i x="75" s="1" nd="1"/>
        <i x="137" s="1" nd="1"/>
        <i x="77" s="1" nd="1"/>
        <i x="115" s="1" nd="1"/>
        <i x="110" s="1" nd="1"/>
        <i x="140" s="1" nd="1"/>
        <i x="69" s="1" nd="1"/>
        <i x="128" s="1" nd="1"/>
        <i x="134" s="1" nd="1"/>
        <i x="89" s="1" nd="1"/>
        <i x="4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7BF2CC79-A71C-47DE-B516-E9CCF4E1CEE7}" sourceName="DATE">
  <pivotTables>
    <pivotTable tabId="4" name="PivotTable2"/>
  </pivotTables>
  <data>
    <tabular pivotCacheId="1">
      <items count="18">
        <i x="1" s="1"/>
        <i x="9" s="1"/>
        <i x="8" s="1"/>
        <i x="2" s="1"/>
        <i x="16" s="1"/>
        <i x="15" s="1"/>
        <i x="13" s="1"/>
        <i x="10" s="1"/>
        <i x="0" s="1"/>
        <i x="5" s="1"/>
        <i x="3" s="1"/>
        <i x="14" s="1"/>
        <i x="17" s="1"/>
        <i x="12" s="1"/>
        <i x="11" s="1"/>
        <i x="4" s="1"/>
        <i x="7"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_DATE" xr10:uid="{0AB42155-286B-457B-8413-208830D26E59}" sourceName="V DATE">
  <pivotTables>
    <pivotTable tabId="4" name="PivotTable2"/>
  </pivotTables>
  <data>
    <tabular pivotCacheId="1">
      <items count="175">
        <i x="11" s="1"/>
        <i x="8" s="1"/>
        <i x="6" s="1"/>
        <i x="2" s="1"/>
        <i x="5" s="1"/>
        <i x="14" s="1"/>
        <i x="7" s="1"/>
        <i x="10" s="1"/>
        <i x="15" s="1"/>
        <i x="1" s="1"/>
        <i x="12" s="1"/>
        <i x="16" s="1"/>
        <i x="9" s="1"/>
        <i x="3" s="1"/>
        <i x="13" s="1"/>
        <i x="17" s="1"/>
        <i x="18" s="1"/>
        <i x="4" s="1"/>
        <i x="0" s="1"/>
        <i x="69" s="1" nd="1"/>
        <i x="131" s="1" nd="1"/>
        <i x="161" s="1" nd="1"/>
        <i x="27" s="1" nd="1"/>
        <i x="49" s="1" nd="1"/>
        <i x="132" s="1" nd="1"/>
        <i x="89" s="1" nd="1"/>
        <i x="40" s="1" nd="1"/>
        <i x="68" s="1" nd="1"/>
        <i x="113" s="1" nd="1"/>
        <i x="19" s="1" nd="1"/>
        <i x="52" s="1" nd="1"/>
        <i x="71" s="1" nd="1"/>
        <i x="54" s="1" nd="1"/>
        <i x="155" s="1" nd="1"/>
        <i x="78" s="1" nd="1"/>
        <i x="137" s="1" nd="1"/>
        <i x="100" s="1" nd="1"/>
        <i x="77" s="1" nd="1"/>
        <i x="20" s="1" nd="1"/>
        <i x="57" s="1" nd="1"/>
        <i x="150" s="1" nd="1"/>
        <i x="93" s="1" nd="1"/>
        <i x="76" s="1" nd="1"/>
        <i x="116" s="1" nd="1"/>
        <i x="144" s="1" nd="1"/>
        <i x="151" s="1" nd="1"/>
        <i x="91" s="1" nd="1"/>
        <i x="85" s="1" nd="1"/>
        <i x="146" s="1" nd="1"/>
        <i x="30" s="1" nd="1"/>
        <i x="50" s="1" nd="1"/>
        <i x="153" s="1" nd="1"/>
        <i x="99" s="1" nd="1"/>
        <i x="79" s="1" nd="1"/>
        <i x="32" s="1" nd="1"/>
        <i x="45" s="1" nd="1"/>
        <i x="152" s="1" nd="1"/>
        <i x="101" s="1" nd="1"/>
        <i x="149" s="1" nd="1"/>
        <i x="28" s="1" nd="1"/>
        <i x="82" s="1" nd="1"/>
        <i x="167" s="1" nd="1"/>
        <i x="115" s="1" nd="1"/>
        <i x="98" s="1" nd="1"/>
        <i x="143" s="1" nd="1"/>
        <i x="23" s="1" nd="1"/>
        <i x="44" s="1" nd="1"/>
        <i x="65" s="1" nd="1"/>
        <i x="159" s="1" nd="1"/>
        <i x="106" s="1" nd="1"/>
        <i x="88" s="1" nd="1"/>
        <i x="136" s="1" nd="1"/>
        <i x="58" s="1" nd="1"/>
        <i x="163" s="1" nd="1"/>
        <i x="90" s="1" nd="1"/>
        <i x="124" s="1" nd="1"/>
        <i x="33" s="1" nd="1"/>
        <i x="60" s="1" nd="1"/>
        <i x="164" s="1" nd="1"/>
        <i x="92" s="1" nd="1"/>
        <i x="80" s="1" nd="1"/>
        <i x="117" s="1" nd="1"/>
        <i x="29" s="1" nd="1"/>
        <i x="64" s="1" nd="1"/>
        <i x="160" s="1" nd="1"/>
        <i x="94" s="1" nd="1"/>
        <i x="75" s="1" nd="1"/>
        <i x="123" s="1" nd="1"/>
        <i x="41" s="1" nd="1"/>
        <i x="56" s="1" nd="1"/>
        <i x="158" s="1" nd="1"/>
        <i x="95" s="1" nd="1"/>
        <i x="72" s="1" nd="1"/>
        <i x="145" s="1" nd="1"/>
        <i x="22" s="1" nd="1"/>
        <i x="59" s="1" nd="1"/>
        <i x="156" s="1" nd="1"/>
        <i x="109" s="1" nd="1"/>
        <i x="83" s="1" nd="1"/>
        <i x="122" s="1" nd="1"/>
        <i x="35" s="1" nd="1"/>
        <i x="53" s="1" nd="1"/>
        <i x="154" s="1" nd="1"/>
        <i x="96" s="1" nd="1"/>
        <i x="135" s="1" nd="1"/>
        <i x="36" s="1" nd="1"/>
        <i x="63" s="1" nd="1"/>
        <i x="157" s="1" nd="1"/>
        <i x="103" s="1" nd="1"/>
        <i x="87" s="1" nd="1"/>
        <i x="127" s="1" nd="1"/>
        <i x="43" s="1" nd="1"/>
        <i x="166" s="1" nd="1"/>
        <i x="111" s="1" nd="1"/>
        <i x="73" s="1" nd="1"/>
        <i x="120" s="1" nd="1"/>
        <i x="24" s="1" nd="1"/>
        <i x="62" s="1" nd="1"/>
        <i x="104" s="1" nd="1"/>
        <i x="81" s="1" nd="1"/>
        <i x="119" s="1" nd="1"/>
        <i x="21" s="1" nd="1"/>
        <i x="148" s="1" nd="1"/>
        <i x="173" s="1" nd="1"/>
        <i x="121" s="1" nd="1"/>
        <i x="108" s="1" nd="1"/>
        <i x="138" s="1" nd="1"/>
        <i x="37" s="1" nd="1"/>
        <i x="48" s="1" nd="1"/>
        <i x="55" s="1" nd="1"/>
        <i x="97" s="1" nd="1"/>
        <i x="70" s="1" nd="1"/>
        <i x="118" s="1" nd="1"/>
        <i x="25" s="1" nd="1"/>
        <i x="51" s="1" nd="1"/>
        <i x="172" s="1" nd="1"/>
        <i x="74" s="1" nd="1"/>
        <i x="134" s="1" nd="1"/>
        <i x="86" s="1" nd="1"/>
        <i x="171" s="1" nd="1"/>
        <i x="130" s="1" nd="1"/>
        <i x="110" s="1" nd="1"/>
        <i x="162" s="1" nd="1"/>
        <i x="34" s="1" nd="1"/>
        <i x="66" s="1" nd="1"/>
        <i x="84" s="1" nd="1"/>
        <i x="169" s="1" nd="1"/>
        <i x="125" s="1" nd="1"/>
        <i x="107" s="1" nd="1"/>
        <i x="141" s="1" nd="1"/>
        <i x="39" s="1" nd="1"/>
        <i x="61" s="1" nd="1"/>
        <i x="168" s="1" nd="1"/>
        <i x="133" s="1" nd="1"/>
        <i x="112" s="1" nd="1"/>
        <i x="140" s="1" nd="1"/>
        <i x="38" s="1" nd="1"/>
        <i x="67" s="1" nd="1"/>
        <i x="46" s="1" nd="1"/>
        <i x="174" s="1" nd="1"/>
        <i x="129" s="1" nd="1"/>
        <i x="102" s="1" nd="1"/>
        <i x="139" s="1" nd="1"/>
        <i x="31" s="1" nd="1"/>
        <i x="47" s="1" nd="1"/>
        <i x="170" s="1" nd="1"/>
        <i x="105" s="1" nd="1"/>
        <i x="142" s="1" nd="1"/>
        <i x="26" s="1" nd="1"/>
        <i x="42" s="1" nd="1"/>
        <i x="126" s="1" nd="1"/>
        <i x="147" s="1" nd="1"/>
        <i x="128" s="1" nd="1"/>
        <i x="165" s="1" nd="1"/>
        <i x="11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style="SlicerStyleDark1" name="CYC" xr10:uid="{00000000-0014-0000-FFFF-FFFF01000000}" cache="Slicer_CYC" caption="CYC" rowHeight="241300"/>
  <slicer style="SlicerStyleDark1" name="CALLER" xr10:uid="{00000000-0014-0000-FFFF-FFFF03000000}" cache="Slicer_CALLER" caption="CALLER" rowHeight="241300"/>
  <slicer style="SlicerStyleDark1" name="AREA" xr10:uid="{00000000-0014-0000-FFFF-FFFF04000000}" cache="Slicer_AREA" caption="AREA" rowHeight="241300"/>
  <slicer style="SlicerStyleDark1" name="FOS NAME" xr10:uid="{00000000-0014-0000-FFFF-FFFF05000000}" cache="Slicer_FOS_NAME" caption="FOS NAME" rowHeight="241300"/>
  <slicer style="SlicerStyleDark1" name="DATE" xr10:uid="{475F0CEC-303E-47FD-84D9-443ECB511E4A}" cache="Slicer_DATE" caption="DATE" rowHeight="241300"/>
  <slicer style="SlicerStyleDark1" name="V DATE" xr10:uid="{6A7B8A1D-7FB1-4B84-A7F9-8EB42A2175EB}" cache="Slicer_V_DATE" caption="V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T269" totalsRowShown="0" headerRowDxfId="108" dataDxfId="106" headerRowBorderDxfId="107" tableBorderDxfId="105" totalsRowBorderDxfId="104">
  <autoFilter ref="A1:AT269" xr:uid="{00000000-000C-0000-FFFF-FFFF00000000}"/>
  <sortState xmlns:xlrd2="http://schemas.microsoft.com/office/spreadsheetml/2017/richdata2" ref="A2:AT86">
    <sortCondition ref="D1:D86"/>
  </sortState>
  <tableColumns count="46">
    <tableColumn id="1" xr3:uid="{00000000-0010-0000-0000-000001000000}" name="ACC.NO" dataDxfId="103"/>
    <tableColumn id="2" xr3:uid="{00000000-0010-0000-0000-000002000000}" name="NAMES" dataDxfId="102"/>
    <tableColumn id="4" xr3:uid="{00000000-0010-0000-0000-000004000000}" name="O/N" dataDxfId="101">
      <calculatedColumnFormula>VLOOKUP(Table1[[#This Row],[ACC.NO]],[1]!Table1[ACC.NO],1,0)</calculatedColumnFormula>
    </tableColumn>
    <tableColumn id="5" xr3:uid="{00000000-0010-0000-0000-000005000000}" name="CYC" dataDxfId="100"/>
    <tableColumn id="6" xr3:uid="{00000000-0010-0000-0000-000006000000}" name="MOBILE" dataDxfId="99"/>
    <tableColumn id="7" xr3:uid="{00000000-0010-0000-0000-000007000000}" name="BLOCK" dataDxfId="98"/>
    <tableColumn id="8" xr3:uid="{00000000-0010-0000-0000-000008000000}" name="EXCESS LIMIT" dataDxfId="97">
      <calculatedColumnFormula>Table1[[#This Row],[ENR]]-Table1[[#This Row],[CREDIT]]</calculatedColumnFormula>
    </tableColumn>
    <tableColumn id="9" xr3:uid="{00000000-0010-0000-0000-000009000000}" name="CREDIT" dataDxfId="96"/>
    <tableColumn id="10" xr3:uid="{00000000-0010-0000-0000-00000A000000}" name="ENR" dataDxfId="95"/>
    <tableColumn id="11" xr3:uid="{00000000-0010-0000-0000-00000B000000}" name="EMI 0/S" dataDxfId="94"/>
    <tableColumn id="12" xr3:uid="{00000000-0010-0000-0000-00000C000000}" name="CURR_BAL" dataDxfId="93"/>
    <tableColumn id="13" xr3:uid="{00000000-0010-0000-0000-00000D000000}" name="PRI" dataDxfId="92"/>
    <tableColumn id="14" xr3:uid="{00000000-0010-0000-0000-00000E000000}" name="NORM" dataDxfId="91"/>
    <tableColumn id="15" xr3:uid="{00000000-0010-0000-0000-00000F000000}" name="STAB" dataDxfId="90"/>
    <tableColumn id="16" xr3:uid="{00000000-0010-0000-0000-000010000000}" name="PAID/UNPAID" dataDxfId="89"/>
    <tableColumn id="17" xr3:uid="{00000000-0010-0000-0000-000011000000}" name="STATUS" dataDxfId="88"/>
    <tableColumn id="18" xr3:uid="{00000000-0010-0000-0000-000012000000}" name="AMOUNT" dataDxfId="87"/>
    <tableColumn id="19" xr3:uid="{00000000-0010-0000-0000-000013000000}" name="PENDING" dataDxfId="86">
      <calculatedColumnFormula>Table1[[#This Row],[STAB]]-Table1[[#This Row],[AMOUNT]]</calculatedColumnFormula>
    </tableColumn>
    <tableColumn id="20" xr3:uid="{00000000-0010-0000-0000-000014000000}" name="DATE" dataDxfId="85"/>
    <tableColumn id="21" xr3:uid="{00000000-0010-0000-0000-000015000000}" name="DONE BY" dataDxfId="84"/>
    <tableColumn id="22" xr3:uid="{00000000-0010-0000-0000-000016000000}" name="MODE" dataDxfId="83"/>
    <tableColumn id="48" xr3:uid="{629C18F3-9367-47D6-9486-6C5EC4ACAE55}" name="TL ID" dataDxfId="82"/>
    <tableColumn id="23" xr3:uid="{00000000-0010-0000-0000-000017000000}" name="CALLER" dataDxfId="81"/>
    <tableColumn id="47" xr3:uid="{A7B57646-0EA3-4BDE-BCDD-4E3E1432CF94}" name="CALLER ID" dataDxfId="80"/>
    <tableColumn id="24" xr3:uid="{00000000-0010-0000-0000-000018000000}" name="CAT ALLO" dataDxfId="79"/>
    <tableColumn id="25" xr3:uid="{00000000-0010-0000-0000-000019000000}" name="ADD 1" dataDxfId="78"/>
    <tableColumn id="26" xr3:uid="{00000000-0010-0000-0000-00001A000000}" name="ADD 2" dataDxfId="77"/>
    <tableColumn id="27" xr3:uid="{00000000-0010-0000-0000-00001B000000}" name="LOCATION" dataDxfId="76"/>
    <tableColumn id="28" xr3:uid="{00000000-0010-0000-0000-00001C000000}" name="AREA" dataDxfId="75"/>
    <tableColumn id="29" xr3:uid="{00000000-0010-0000-0000-00001D000000}" name="FOS NAME" dataDxfId="74"/>
    <tableColumn id="49" xr3:uid="{B29312A6-783F-4663-AEF3-22A2B5AA768B}" name="FOS ID" dataDxfId="73"/>
    <tableColumn id="30" xr3:uid="{00000000-0010-0000-0000-00001E000000}" name="MARC" dataDxfId="72"/>
    <tableColumn id="31" xr3:uid="{00000000-0010-0000-0000-00001F000000}" name="MARC ID" dataDxfId="71"/>
    <tableColumn id="32" xr3:uid="{00000000-0010-0000-0000-000020000000}" name="MARC PW" dataDxfId="70"/>
    <tableColumn id="33" xr3:uid="{00000000-0010-0000-0000-000021000000}" name="IQ UPLOAD" dataDxfId="69"/>
    <tableColumn id="34" xr3:uid="{00000000-0010-0000-0000-000022000000}" name="TC REMARK" dataDxfId="68"/>
    <tableColumn id="35" xr3:uid="{00000000-0010-0000-0000-000023000000}" name="VISITS" dataDxfId="67"/>
    <tableColumn id="36" xr3:uid="{00000000-0010-0000-0000-000024000000}" name="FOS DISPO" dataDxfId="66"/>
    <tableColumn id="37" xr3:uid="{00000000-0010-0000-0000-000025000000}" name="REMARKS" dataDxfId="65"/>
    <tableColumn id="38" xr3:uid="{00000000-0010-0000-0000-000026000000}" name="V DATE" dataDxfId="64"/>
    <tableColumn id="39" xr3:uid="{00000000-0010-0000-0000-000027000000}" name="LAST PAYMENT DATE" dataDxfId="63"/>
    <tableColumn id="40" xr3:uid="{00000000-0010-0000-0000-000028000000}" name="LAST PAYMENT AMOUNT" dataDxfId="62"/>
    <tableColumn id="44" xr3:uid="{DAEFEEE4-0D58-4723-9961-D8D8386AF190}" name="UCIC DODE" dataDxfId="61"/>
    <tableColumn id="41" xr3:uid="{00000000-0010-0000-0000-000029000000}" name="CARD TYPE" dataDxfId="60"/>
    <tableColumn id="42" xr3:uid="{00000000-0010-0000-0000-00002A000000}" name="ALLOC DATE" dataDxfId="59"/>
    <tableColumn id="43" xr3:uid="{00000000-0010-0000-0000-00002B000000}" name="DueDate" dataDxfId="58"/>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I240"/>
  <sheetViews>
    <sheetView showGridLines="0" tabSelected="1" topLeftCell="A76" zoomScale="85" zoomScaleNormal="85" workbookViewId="0">
      <selection activeCell="D91" sqref="D91"/>
    </sheetView>
  </sheetViews>
  <sheetFormatPr defaultRowHeight="15" x14ac:dyDescent="0.25"/>
  <cols>
    <col min="1" max="1" width="16" style="2" bestFit="1" customWidth="1"/>
    <col min="2" max="3" width="11.28515625" style="2" bestFit="1" customWidth="1"/>
    <col min="4" max="6" width="12.28515625" style="2" bestFit="1" customWidth="1"/>
    <col min="7" max="7" width="6" style="2" customWidth="1"/>
    <col min="8" max="8" width="15.28515625" style="2" customWidth="1"/>
    <col min="9" max="9" width="22.28515625" style="2" customWidth="1"/>
    <col min="10" max="10" width="5.7109375" style="2" customWidth="1"/>
    <col min="11" max="11" width="43.7109375" style="2" bestFit="1" customWidth="1"/>
    <col min="12" max="12" width="9.7109375" style="2" bestFit="1" customWidth="1"/>
    <col min="13" max="13" width="8.140625" style="2" bestFit="1" customWidth="1"/>
    <col min="14" max="14" width="11.28515625" style="2" bestFit="1" customWidth="1"/>
    <col min="15" max="16" width="8.140625" style="2" bestFit="1" customWidth="1"/>
    <col min="17" max="17" width="12.28515625" style="2" bestFit="1" customWidth="1"/>
    <col min="18" max="18" width="12.85546875" style="2" bestFit="1" customWidth="1"/>
    <col min="19" max="19" width="8.140625" style="2" bestFit="1" customWidth="1"/>
    <col min="20" max="20" width="12.28515625" style="2" bestFit="1" customWidth="1"/>
    <col min="21" max="21" width="6.140625" style="2" customWidth="1"/>
    <col min="22" max="22" width="43.7109375" style="2" bestFit="1" customWidth="1"/>
    <col min="23" max="23" width="9.7109375" style="2" bestFit="1" customWidth="1"/>
    <col min="24" max="24" width="12" style="2" bestFit="1" customWidth="1"/>
    <col min="25" max="25" width="11.28515625" style="2" bestFit="1" customWidth="1"/>
    <col min="26" max="26" width="11.28515625" style="18" customWidth="1"/>
    <col min="27" max="27" width="11.28515625" style="2" customWidth="1"/>
    <col min="28" max="28" width="5.42578125" style="2" customWidth="1"/>
    <col min="29" max="29" width="43.7109375" style="2" bestFit="1" customWidth="1"/>
    <col min="30" max="30" width="16.140625" style="2" bestFit="1" customWidth="1"/>
    <col min="31" max="31" width="6.42578125" style="2" customWidth="1"/>
    <col min="32" max="32" width="6" style="2" customWidth="1"/>
    <col min="33" max="33" width="38.28515625" style="2" bestFit="1" customWidth="1"/>
    <col min="34" max="34" width="7.42578125" style="2" bestFit="1" customWidth="1"/>
    <col min="35" max="35" width="8.140625" style="2" bestFit="1" customWidth="1"/>
    <col min="36" max="36" width="5.28515625" style="2" bestFit="1" customWidth="1"/>
    <col min="37" max="37" width="13.28515625" style="2" bestFit="1" customWidth="1"/>
    <col min="38" max="38" width="9.85546875" style="2" bestFit="1" customWidth="1"/>
    <col min="39" max="39" width="13.28515625" style="2" bestFit="1" customWidth="1"/>
    <col min="40" max="40" width="11.85546875" style="2" bestFit="1" customWidth="1"/>
    <col min="41" max="41" width="14" style="2" bestFit="1" customWidth="1"/>
    <col min="42" max="42" width="14.28515625" style="2" bestFit="1" customWidth="1"/>
    <col min="43" max="43" width="12.140625" style="2" bestFit="1" customWidth="1"/>
    <col min="44" max="45" width="5.7109375" style="2" customWidth="1"/>
    <col min="46" max="46" width="36.85546875" style="2" bestFit="1" customWidth="1"/>
    <col min="47" max="47" width="7.42578125" style="2" bestFit="1" customWidth="1"/>
    <col min="48" max="48" width="8.140625" style="2" bestFit="1" customWidth="1"/>
    <col min="49" max="49" width="5.28515625" style="2" bestFit="1" customWidth="1"/>
    <col min="50" max="50" width="12.140625" style="2" bestFit="1" customWidth="1"/>
    <col min="51" max="51" width="9.85546875" style="18" bestFit="1" customWidth="1"/>
    <col min="52" max="52" width="13.28515625" style="2" bestFit="1" customWidth="1"/>
    <col min="53" max="53" width="11.85546875" style="12" bestFit="1" customWidth="1"/>
    <col min="54" max="54" width="14" style="2" bestFit="1" customWidth="1"/>
    <col min="55" max="55" width="14.28515625" style="2" customWidth="1"/>
    <col min="56" max="56" width="10.5703125" style="2" bestFit="1" customWidth="1"/>
    <col min="57" max="57" width="9.140625" style="2"/>
    <col min="58" max="58" width="16" style="2" bestFit="1" customWidth="1"/>
    <col min="59" max="61" width="11.28515625" style="2" bestFit="1" customWidth="1"/>
    <col min="62" max="63" width="12.28515625" style="2" bestFit="1" customWidth="1"/>
    <col min="64" max="64" width="12" style="2" bestFit="1" customWidth="1"/>
    <col min="65" max="65" width="16" style="2" bestFit="1" customWidth="1"/>
    <col min="66" max="68" width="11.28515625" style="2" bestFit="1" customWidth="1"/>
    <col min="69" max="70" width="12.28515625" style="2" bestFit="1" customWidth="1"/>
    <col min="71" max="71" width="12" style="2" bestFit="1" customWidth="1"/>
    <col min="72" max="72" width="43.7109375" style="2" bestFit="1" customWidth="1"/>
    <col min="73" max="73" width="12.5703125" style="2" bestFit="1" customWidth="1"/>
    <col min="74" max="78" width="10" style="2" bestFit="1" customWidth="1"/>
    <col min="79" max="79" width="43.7109375" style="2" bestFit="1" customWidth="1"/>
    <col min="80" max="80" width="9.7109375" style="2" bestFit="1" customWidth="1"/>
    <col min="81" max="81" width="12" style="2" bestFit="1" customWidth="1"/>
    <col min="82" max="82" width="7.7109375" style="2" bestFit="1" customWidth="1"/>
    <col min="83" max="83" width="13.140625" style="2" bestFit="1" customWidth="1"/>
    <col min="84" max="85" width="11.28515625" style="2" bestFit="1" customWidth="1"/>
    <col min="86" max="86" width="37.42578125" style="2" bestFit="1" customWidth="1"/>
    <col min="87" max="87" width="9" style="2" customWidth="1"/>
    <col min="88" max="92" width="6.7109375" style="2" customWidth="1"/>
    <col min="93" max="93" width="6.42578125" style="2" customWidth="1"/>
    <col min="94" max="94" width="7.140625" style="2" customWidth="1"/>
    <col min="95" max="95" width="6.85546875" style="2" customWidth="1"/>
    <col min="96" max="100" width="6.7109375" style="2" customWidth="1"/>
    <col min="101" max="101" width="7" style="2" customWidth="1"/>
    <col min="102" max="102" width="6.7109375" style="2" customWidth="1"/>
    <col min="103" max="103" width="6.5703125" style="2" bestFit="1" customWidth="1"/>
    <col min="104" max="104" width="7.28515625" style="2" customWidth="1"/>
    <col min="105" max="105" width="11.28515625" style="2" customWidth="1"/>
    <col min="106" max="106" width="33.28515625" style="2" bestFit="1" customWidth="1"/>
    <col min="107" max="107" width="32.85546875" style="2" bestFit="1" customWidth="1"/>
    <col min="108" max="108" width="28.5703125" style="2" bestFit="1" customWidth="1"/>
    <col min="109" max="109" width="10.42578125" style="2" bestFit="1" customWidth="1"/>
    <col min="110" max="110" width="11" style="2" bestFit="1" customWidth="1"/>
    <col min="111" max="111" width="25.5703125" style="2" bestFit="1" customWidth="1"/>
    <col min="112" max="112" width="25" style="2" bestFit="1" customWidth="1"/>
    <col min="113" max="113" width="11.28515625" style="2" bestFit="1" customWidth="1"/>
    <col min="114" max="114" width="26.42578125" style="2" bestFit="1" customWidth="1"/>
    <col min="115" max="115" width="27.28515625" style="2" bestFit="1" customWidth="1"/>
    <col min="116" max="116" width="30.42578125" style="2" bestFit="1" customWidth="1"/>
    <col min="117" max="117" width="26" style="2" bestFit="1" customWidth="1"/>
    <col min="118" max="118" width="27" style="2" bestFit="1" customWidth="1"/>
    <col min="119" max="119" width="31.42578125" style="2" bestFit="1" customWidth="1"/>
    <col min="120" max="120" width="20.7109375" style="2" bestFit="1" customWidth="1"/>
    <col min="121" max="121" width="21.7109375" style="2" bestFit="1" customWidth="1"/>
    <col min="122" max="122" width="30.85546875" style="2" bestFit="1" customWidth="1"/>
    <col min="123" max="123" width="27.7109375" style="2" bestFit="1" customWidth="1"/>
    <col min="124" max="124" width="32.28515625" style="2" bestFit="1" customWidth="1"/>
    <col min="125" max="125" width="32.85546875" style="2" bestFit="1" customWidth="1"/>
    <col min="126" max="126" width="10.42578125" style="2" bestFit="1" customWidth="1"/>
    <col min="127" max="127" width="11" style="2" bestFit="1" customWidth="1"/>
    <col min="128" max="128" width="35.7109375" style="2" bestFit="1" customWidth="1"/>
    <col min="129" max="129" width="10.42578125" style="2" bestFit="1" customWidth="1"/>
    <col min="130" max="130" width="10.7109375" style="2" bestFit="1" customWidth="1"/>
    <col min="131" max="131" width="26.42578125" style="2" bestFit="1" customWidth="1"/>
    <col min="132" max="132" width="27.28515625" style="2" bestFit="1" customWidth="1"/>
    <col min="133" max="133" width="37" style="2" bestFit="1" customWidth="1"/>
    <col min="134" max="134" width="7.28515625" style="2" bestFit="1" customWidth="1"/>
    <col min="135" max="135" width="33.140625" style="2" bestFit="1" customWidth="1"/>
    <col min="136" max="136" width="33.85546875" style="2" bestFit="1" customWidth="1"/>
    <col min="137" max="137" width="26" style="2" bestFit="1" customWidth="1"/>
    <col min="138" max="138" width="27.42578125" style="2" bestFit="1" customWidth="1"/>
    <col min="139" max="139" width="30" style="2" bestFit="1" customWidth="1"/>
    <col min="140" max="140" width="27" style="2" bestFit="1" customWidth="1"/>
    <col min="141" max="141" width="29.85546875" style="2" bestFit="1" customWidth="1"/>
    <col min="142" max="142" width="31.42578125" style="2" bestFit="1" customWidth="1"/>
    <col min="143" max="143" width="32.85546875" style="2" bestFit="1" customWidth="1"/>
    <col min="144" max="144" width="23.7109375" style="2" bestFit="1" customWidth="1"/>
    <col min="145" max="145" width="26.7109375" style="2" bestFit="1" customWidth="1"/>
    <col min="146" max="146" width="31.28515625" style="2" bestFit="1" customWidth="1"/>
    <col min="147" max="147" width="25.5703125" style="2" bestFit="1" customWidth="1"/>
    <col min="148" max="148" width="21.7109375" style="2" bestFit="1" customWidth="1"/>
    <col min="149" max="149" width="30.5703125" style="2" bestFit="1" customWidth="1"/>
    <col min="150" max="150" width="23.140625" style="2" bestFit="1" customWidth="1"/>
    <col min="151" max="151" width="30.85546875" style="2" bestFit="1" customWidth="1"/>
    <col min="152" max="152" width="35.7109375" style="2" bestFit="1" customWidth="1"/>
    <col min="153" max="153" width="24.85546875" style="2" bestFit="1" customWidth="1"/>
    <col min="154" max="154" width="27.7109375" style="2" bestFit="1" customWidth="1"/>
    <col min="155" max="155" width="27.140625" style="2" bestFit="1" customWidth="1"/>
    <col min="156" max="156" width="32.28515625" style="2" bestFit="1" customWidth="1"/>
    <col min="157" max="157" width="27.7109375" style="2" bestFit="1" customWidth="1"/>
    <col min="158" max="158" width="22.140625" style="2" bestFit="1" customWidth="1"/>
    <col min="159" max="159" width="32.85546875" style="2" bestFit="1" customWidth="1"/>
    <col min="160" max="160" width="28.5703125" style="2" bestFit="1" customWidth="1"/>
    <col min="161" max="161" width="28.42578125" style="2" bestFit="1" customWidth="1"/>
    <col min="162" max="162" width="22.85546875" style="2" bestFit="1" customWidth="1"/>
    <col min="163" max="163" width="7.7109375" style="2" bestFit="1" customWidth="1"/>
    <col min="164" max="165" width="10.42578125" style="2" bestFit="1" customWidth="1"/>
    <col min="166" max="166" width="6.85546875" style="2" bestFit="1" customWidth="1"/>
    <col min="167" max="167" width="11.28515625" style="2" bestFit="1" customWidth="1"/>
    <col min="168" max="168" width="27.140625" style="2" bestFit="1" customWidth="1"/>
    <col min="169" max="169" width="34.7109375" style="2" bestFit="1" customWidth="1"/>
    <col min="170" max="170" width="6.140625" style="2" bestFit="1" customWidth="1"/>
    <col min="171" max="171" width="4.5703125" style="2" bestFit="1" customWidth="1"/>
    <col min="172" max="172" width="38" style="2" bestFit="1" customWidth="1"/>
    <col min="173" max="173" width="30.42578125" style="2" bestFit="1" customWidth="1"/>
    <col min="174" max="174" width="4.5703125" style="2" bestFit="1" customWidth="1"/>
    <col min="175" max="175" width="33.5703125" style="2" bestFit="1" customWidth="1"/>
    <col min="176" max="176" width="26.85546875" style="2" bestFit="1" customWidth="1"/>
    <col min="177" max="177" width="30.140625" style="2" bestFit="1" customWidth="1"/>
    <col min="178" max="178" width="30.28515625" style="2" bestFit="1" customWidth="1"/>
    <col min="179" max="179" width="33.42578125" style="2" bestFit="1" customWidth="1"/>
    <col min="180" max="180" width="24.7109375" style="2" bestFit="1" customWidth="1"/>
    <col min="181" max="181" width="27.85546875" style="2" bestFit="1" customWidth="1"/>
    <col min="182" max="182" width="9.5703125" style="2" bestFit="1" customWidth="1"/>
    <col min="183" max="183" width="12.5703125" style="2" bestFit="1" customWidth="1"/>
    <col min="184" max="184" width="12.28515625" style="2" bestFit="1" customWidth="1"/>
    <col min="185" max="185" width="5.85546875" style="2" bestFit="1" customWidth="1"/>
    <col min="186" max="186" width="4.5703125" style="2" bestFit="1" customWidth="1"/>
    <col min="187" max="187" width="15.42578125" style="2" bestFit="1" customWidth="1"/>
    <col min="188" max="188" width="12.28515625" style="2" bestFit="1" customWidth="1"/>
    <col min="189" max="189" width="4.5703125" style="2" bestFit="1" customWidth="1"/>
    <col min="190" max="190" width="15.42578125" style="2" bestFit="1" customWidth="1"/>
    <col min="191" max="191" width="11.28515625" style="2" bestFit="1" customWidth="1"/>
    <col min="192" max="16384" width="9.140625" style="2"/>
  </cols>
  <sheetData>
    <row r="1" spans="1:191" x14ac:dyDescent="0.25">
      <c r="B1" s="3" t="s">
        <v>54</v>
      </c>
      <c r="G1"/>
      <c r="L1" s="3" t="s">
        <v>54</v>
      </c>
      <c r="BT1" s="3" t="s">
        <v>18</v>
      </c>
      <c r="BU1" s="2" t="s">
        <v>90</v>
      </c>
      <c r="CH1"/>
      <c r="CI1"/>
      <c r="CJ1"/>
      <c r="CK1"/>
      <c r="CL1"/>
      <c r="CM1"/>
      <c r="CN1"/>
      <c r="CO1"/>
      <c r="CP1"/>
      <c r="CQ1"/>
      <c r="CR1"/>
      <c r="CS1"/>
      <c r="CT1"/>
      <c r="CU1"/>
      <c r="CV1"/>
      <c r="CW1"/>
      <c r="CX1"/>
      <c r="CY1"/>
      <c r="CZ1"/>
      <c r="DA1"/>
    </row>
    <row r="2" spans="1:191" x14ac:dyDescent="0.25">
      <c r="B2" s="2" t="s">
        <v>49</v>
      </c>
      <c r="D2" s="2" t="s">
        <v>448</v>
      </c>
      <c r="E2" s="2" t="s">
        <v>41</v>
      </c>
      <c r="F2" s="2" t="s">
        <v>45</v>
      </c>
      <c r="G2"/>
      <c r="L2" s="2" t="s">
        <v>49</v>
      </c>
      <c r="O2" s="2" t="s">
        <v>41</v>
      </c>
      <c r="R2" s="2" t="s">
        <v>56</v>
      </c>
      <c r="S2" s="2" t="s">
        <v>53</v>
      </c>
      <c r="T2" s="2" t="s">
        <v>58</v>
      </c>
      <c r="V2" s="3" t="s">
        <v>55</v>
      </c>
      <c r="W2" s="3" t="s">
        <v>54</v>
      </c>
      <c r="AG2" s="70" t="inlineStr">
        <is>
          <t>FOS TARGET — ALL CYCLES (follows the slicers)</t>
        </is>
      </c>
      <c r="AH2" s="70"/>
      <c r="AI2" s="70"/>
      <c r="AJ2" s="70"/>
      <c r="AK2" s="70"/>
      <c r="AL2" s="70"/>
      <c r="AM2" s="70"/>
      <c r="AN2" s="70"/>
      <c r="AO2" s="70"/>
      <c r="AP2" s="70"/>
      <c r="AQ2" s="70"/>
      <c r="AT2" s="70" t="inlineStr">
        <is>
          <t>FOS TARGET — SNAPSHOT</t>
        </is>
      </c>
      <c r="AU2" s="70"/>
      <c r="AV2" s="70"/>
      <c r="AW2" s="70"/>
      <c r="AX2" s="70"/>
      <c r="AY2" s="70"/>
      <c r="AZ2" s="70"/>
      <c r="BA2" s="70"/>
      <c r="BB2" s="70"/>
      <c r="BC2" s="70"/>
      <c r="BD2" s="70"/>
      <c r="CH2"/>
      <c r="CI2"/>
      <c r="CJ2"/>
      <c r="CK2"/>
      <c r="CL2"/>
      <c r="CM2"/>
      <c r="CN2"/>
      <c r="CO2"/>
      <c r="CP2"/>
      <c r="CQ2"/>
      <c r="CR2"/>
      <c r="CS2"/>
      <c r="CT2"/>
      <c r="CU2"/>
      <c r="CV2"/>
      <c r="CW2"/>
      <c r="CX2"/>
      <c r="CY2"/>
      <c r="CZ2"/>
      <c r="DA2"/>
    </row>
    <row r="3" spans="1:191" x14ac:dyDescent="0.25" ht="32" customHeight="1">
      <c r="A3" s="3" t="s">
        <v>44</v>
      </c>
      <c r="B3" s="2" t="s">
        <v>12</v>
      </c>
      <c r="C3" s="2" t="s">
        <v>13</v>
      </c>
      <c r="G3"/>
      <c r="K3" s="3" t="s">
        <v>44</v>
      </c>
      <c r="L3" s="2" t="s">
        <v>55</v>
      </c>
      <c r="M3" s="2" t="s">
        <v>52</v>
      </c>
      <c r="N3" s="2" t="s">
        <v>57</v>
      </c>
      <c r="O3" s="2" t="s">
        <v>55</v>
      </c>
      <c r="P3" s="2" t="s">
        <v>52</v>
      </c>
      <c r="Q3" s="2" t="s">
        <v>57</v>
      </c>
      <c r="V3" s="3" t="s">
        <v>44</v>
      </c>
      <c r="W3" s="2" t="s">
        <v>447</v>
      </c>
      <c r="X3" s="2" t="s">
        <v>43</v>
      </c>
      <c r="Y3" s="2" t="s">
        <v>45</v>
      </c>
      <c r="AC3" s="3" t="s">
        <v>44</v>
      </c>
      <c r="AD3" s="2" t="s">
        <v>46</v>
      </c>
      <c r="AG3" s="63" t="s">
        <v>61</v>
      </c>
      <c r="AH3" s="64" t="s">
        <v>62</v>
      </c>
      <c r="AI3" s="66" t="s">
        <v>41</v>
      </c>
      <c r="AJ3" s="65" t="s">
        <v>49</v>
      </c>
      <c r="AK3" s="64" t="s">
        <v>8</v>
      </c>
      <c r="AL3" s="67" t="s">
        <v>63</v>
      </c>
      <c r="AM3" s="67" t="s">
        <v>64</v>
      </c>
      <c r="AN3" s="65" t="s">
        <v>65</v>
      </c>
      <c r="AO3" s="65" t="s">
        <v>66</v>
      </c>
      <c r="AP3" s="68" t="s">
        <v>67</v>
      </c>
      <c r="AQ3" s="69" t="s">
        <v>68</v>
      </c>
      <c r="AT3" s="63" t="s">
        <v>61</v>
      </c>
      <c r="AU3" s="64" t="s">
        <v>62</v>
      </c>
      <c r="AV3" s="66" t="s">
        <v>41</v>
      </c>
      <c r="AW3" s="65" t="s">
        <v>49</v>
      </c>
      <c r="AX3" s="64" t="s">
        <v>8</v>
      </c>
      <c r="AY3" s="67" t="s">
        <v>63</v>
      </c>
      <c r="AZ3" s="67" t="s">
        <v>64</v>
      </c>
      <c r="BA3" s="65" t="s">
        <v>65</v>
      </c>
      <c r="BB3" s="65" t="s">
        <v>66</v>
      </c>
      <c r="BC3" s="68" t="s">
        <v>67</v>
      </c>
      <c r="BD3" s="69" t="s">
        <v>68</v>
      </c>
      <c r="BG3" s="3" t="s">
        <v>54</v>
      </c>
      <c r="BL3"/>
      <c r="BN3" s="3" t="s">
        <v>54</v>
      </c>
      <c r="BS3"/>
      <c r="BT3" s="3" t="s">
        <v>44</v>
      </c>
      <c r="BU3" s="2" t="s">
        <v>191</v>
      </c>
      <c r="BV3"/>
      <c r="BW3"/>
      <c r="BX3"/>
      <c r="BY3"/>
      <c r="BZ3"/>
      <c r="CA3" s="25" t="s">
        <v>55</v>
      </c>
      <c r="CB3" s="25" t="s">
        <v>54</v>
      </c>
      <c r="CC3" s="11"/>
      <c r="CD3" s="11"/>
      <c r="CE3" s="11"/>
      <c r="CF3" s="11"/>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row>
    <row r="4" spans="1:191" x14ac:dyDescent="0.25">
      <c r="A4" s="5">
        <v>1</v>
      </c>
      <c r="B4" s="61"/>
      <c r="C4" s="61"/>
      <c r="D4" s="61"/>
      <c r="E4" s="61"/>
      <c r="F4" s="61"/>
      <c r="G4"/>
      <c r="K4" s="5" t="s">
        <v>121</v>
      </c>
      <c r="L4" s="61"/>
      <c r="M4" s="4">
        <v>0</v>
      </c>
      <c r="N4" s="61"/>
      <c r="O4" s="61">
        <v>2</v>
      </c>
      <c r="P4" s="4">
        <v>1</v>
      </c>
      <c r="Q4" s="61">
        <v>285388.09999999998</v>
      </c>
      <c r="R4" s="61">
        <v>2</v>
      </c>
      <c r="S4" s="4">
        <v>1</v>
      </c>
      <c r="T4" s="61">
        <v>285388.09999999998</v>
      </c>
      <c r="V4" s="5" t="s">
        <v>121</v>
      </c>
      <c r="W4" s="61"/>
      <c r="X4" s="61">
        <v>2</v>
      </c>
      <c r="Y4" s="61">
        <v>2</v>
      </c>
      <c r="AC4" s="5" t="s">
        <v>121</v>
      </c>
      <c r="AD4" s="61">
        <v>0</v>
      </c>
      <c r="AG4" s="71" t="str">
        <f t="shared" ref="AG4:AG45" si="0">K4</f>
        <v>ARAVIND/GTR , 9154094854</v>
      </c>
      <c r="AH4" s="72">
        <f t="shared" ref="AH4:AH45" si="1">R4</f>
        <v>2</v>
      </c>
      <c r="AI4" s="72">
        <f t="shared" ref="AI4:AI45" si="2">O4</f>
        <v>2</v>
      </c>
      <c r="AJ4" s="72">
        <f t="shared" ref="AJ4:AJ45" si="3">L4</f>
        <v>0</v>
      </c>
      <c r="AK4" s="73">
        <f t="shared" ref="AK4:AK45" si="4">T4</f>
        <v>285388.09999999998</v>
      </c>
      <c r="AL4" s="75">
        <v>0.85</v>
      </c>
      <c r="AM4" s="73">
        <f>AK4*AL4</f>
        <v>242579.88499999998</v>
      </c>
      <c r="AN4" s="74">
        <f t="shared" ref="AN4:AN45" si="5">M4</f>
        <v>0</v>
      </c>
      <c r="AO4" s="73">
        <f t="shared" ref="AO4:AO45" si="6">N4</f>
        <v>0</v>
      </c>
      <c r="AP4" s="72">
        <f t="shared" ref="AP4:AP45" si="7">X4</f>
        <v>2</v>
      </c>
      <c r="AQ4" s="73">
        <f t="shared" ref="AQ4:AQ45" si="8">AD4</f>
        <v>0</v>
      </c>
      <c r="AT4" s="71" t="s">
        <v>95</v>
      </c>
      <c r="AU4" s="72">
        <v>1</v>
      </c>
      <c r="AV4" s="72">
        <v>0</v>
      </c>
      <c r="AW4" s="72">
        <v>1</v>
      </c>
      <c r="AX4" s="73">
        <v>36875.65</v>
      </c>
      <c r="AY4" s="75">
        <v>0.85</v>
      </c>
      <c r="AZ4" s="73">
        <v>31344.302500000002</v>
      </c>
      <c r="BA4" s="74">
        <v>1</v>
      </c>
      <c r="BB4" s="73">
        <v>36875.65</v>
      </c>
      <c r="BC4" s="72">
        <v>1</v>
      </c>
      <c r="BD4" s="73">
        <v>0</v>
      </c>
      <c r="BG4" s="2" t="s">
        <v>49</v>
      </c>
      <c r="BI4" s="2" t="s">
        <v>448</v>
      </c>
      <c r="BJ4" s="2" t="s">
        <v>41</v>
      </c>
      <c r="BK4" s="2" t="s">
        <v>45</v>
      </c>
      <c r="BL4"/>
      <c r="BN4" s="2" t="s">
        <v>49</v>
      </c>
      <c r="BP4" s="2" t="s">
        <v>448</v>
      </c>
      <c r="BQ4" s="2" t="s">
        <v>41</v>
      </c>
      <c r="BR4" s="2" t="s">
        <v>45</v>
      </c>
      <c r="BS4"/>
      <c r="BT4" s="5" t="s">
        <v>121</v>
      </c>
      <c r="BU4" s="61">
        <v>2</v>
      </c>
      <c r="BV4"/>
      <c r="BW4"/>
      <c r="BX4"/>
      <c r="BY4"/>
      <c r="BZ4"/>
      <c r="CA4" s="11"/>
      <c r="CB4" s="11" t="s">
        <v>49</v>
      </c>
      <c r="CC4" s="11" t="s">
        <v>41</v>
      </c>
      <c r="CD4" s="11"/>
      <c r="CE4" s="11" t="s">
        <v>85</v>
      </c>
      <c r="CF4" s="11" t="s">
        <v>45</v>
      </c>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row>
    <row r="5" spans="1:191" x14ac:dyDescent="0.25">
      <c r="A5" s="2" t="s">
        <v>191</v>
      </c>
      <c r="B5" s="61">
        <v>2</v>
      </c>
      <c r="C5" s="61"/>
      <c r="D5" s="61">
        <v>2</v>
      </c>
      <c r="E5" s="61">
        <v>2</v>
      </c>
      <c r="F5" s="61">
        <v>4</v>
      </c>
      <c r="G5"/>
      <c r="K5" s="5" t="s">
        <v>451</v>
      </c>
      <c r="L5" s="61">
        <v>1</v>
      </c>
      <c r="M5" s="4">
        <v>0.64087634202267174</v>
      </c>
      <c r="N5" s="61">
        <v>78267.850000000006</v>
      </c>
      <c r="O5" s="61">
        <v>1</v>
      </c>
      <c r="P5" s="4">
        <v>0.3591236579773282</v>
      </c>
      <c r="Q5" s="61">
        <v>43858.44</v>
      </c>
      <c r="R5" s="61">
        <v>2</v>
      </c>
      <c r="S5" s="4">
        <v>1</v>
      </c>
      <c r="T5" s="61">
        <v>122126.29000000001</v>
      </c>
      <c r="V5" s="5" t="s">
        <v>451</v>
      </c>
      <c r="W5" s="61">
        <v>2</v>
      </c>
      <c r="X5" s="61"/>
      <c r="Y5" s="61">
        <v>2</v>
      </c>
      <c r="AC5" s="5" t="s">
        <v>451</v>
      </c>
      <c r="AD5" s="61">
        <v>10300</v>
      </c>
      <c r="AG5" s="71" t="str">
        <f t="shared" si="0"/>
        <v>B RANJITH/BADRACHALAM , 9154994666</v>
      </c>
      <c r="AH5" s="72">
        <f t="shared" si="1"/>
        <v>2</v>
      </c>
      <c r="AI5" s="72">
        <f t="shared" si="2"/>
        <v>1</v>
      </c>
      <c r="AJ5" s="72">
        <f t="shared" si="3"/>
        <v>1</v>
      </c>
      <c r="AK5" s="73">
        <f t="shared" si="4"/>
        <v>122126.29000000001</v>
      </c>
      <c r="AL5" s="75">
        <v>0.85</v>
      </c>
      <c r="AM5" s="73">
        <f t="shared" ref="AM5:AM45" si="9">AK5*AL5</f>
        <v>103807.3465</v>
      </c>
      <c r="AN5" s="74">
        <f t="shared" si="5"/>
        <v>0.64087634202267174</v>
      </c>
      <c r="AO5" s="73">
        <f t="shared" si="6"/>
        <v>78267.850000000006</v>
      </c>
      <c r="AP5" s="72">
        <f t="shared" si="7"/>
        <v>0</v>
      </c>
      <c r="AQ5" s="73">
        <f t="shared" si="8"/>
        <v>10300</v>
      </c>
      <c r="AT5" s="71" t="s">
        <v>122</v>
      </c>
      <c r="AU5" s="72">
        <v>1</v>
      </c>
      <c r="AV5" s="72">
        <v>1</v>
      </c>
      <c r="AW5" s="72">
        <v>0</v>
      </c>
      <c r="AX5" s="73">
        <v>37802.080000000002</v>
      </c>
      <c r="AY5" s="75">
        <v>0.85</v>
      </c>
      <c r="AZ5" s="73">
        <v>32131.768</v>
      </c>
      <c r="BA5" s="74">
        <v>0</v>
      </c>
      <c r="BB5" s="73">
        <v>0</v>
      </c>
      <c r="BC5" s="72">
        <v>1</v>
      </c>
      <c r="BD5" s="73">
        <v>0</v>
      </c>
      <c r="BF5" s="3" t="s">
        <v>44</v>
      </c>
      <c r="BG5" s="2" t="s">
        <v>12</v>
      </c>
      <c r="BH5" s="2" t="s">
        <v>13</v>
      </c>
      <c r="BL5"/>
      <c r="BM5" s="3" t="s">
        <v>44</v>
      </c>
      <c r="BN5" s="2" t="s">
        <v>12</v>
      </c>
      <c r="BO5" s="2" t="s">
        <v>13</v>
      </c>
      <c r="BS5"/>
      <c r="BT5" s="5" t="s">
        <v>451</v>
      </c>
      <c r="BU5" s="61">
        <v>2</v>
      </c>
      <c r="BV5"/>
      <c r="BW5"/>
      <c r="BX5"/>
      <c r="BY5"/>
      <c r="BZ5"/>
      <c r="CA5" s="25" t="s">
        <v>44</v>
      </c>
      <c r="CB5" s="11"/>
      <c r="CC5" s="11" t="s">
        <v>43</v>
      </c>
      <c r="CD5" s="11" t="s">
        <v>447</v>
      </c>
      <c r="CE5" s="11"/>
      <c r="CF5" s="11"/>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row>
    <row r="6" spans="1:191" x14ac:dyDescent="0.25">
      <c r="A6" s="42" t="s">
        <v>228</v>
      </c>
      <c r="B6" s="43">
        <v>0.50336471697841045</v>
      </c>
      <c r="C6" s="43">
        <v>0</v>
      </c>
      <c r="D6" s="43">
        <v>0.50336471697841045</v>
      </c>
      <c r="E6" s="43">
        <v>0.49663528302158949</v>
      </c>
      <c r="F6" s="43">
        <v>1</v>
      </c>
      <c r="G6"/>
      <c r="K6" s="5" t="s">
        <v>1916</v>
      </c>
      <c r="L6" s="61"/>
      <c r="M6" s="4">
        <v>0</v>
      </c>
      <c r="N6" s="61"/>
      <c r="O6" s="61">
        <v>2</v>
      </c>
      <c r="P6" s="4">
        <v>1</v>
      </c>
      <c r="Q6" s="61">
        <v>171968.89</v>
      </c>
      <c r="R6" s="61">
        <v>2</v>
      </c>
      <c r="S6" s="4">
        <v>1</v>
      </c>
      <c r="T6" s="61">
        <v>171968.89</v>
      </c>
      <c r="V6" s="5" t="s">
        <v>1916</v>
      </c>
      <c r="W6" s="61"/>
      <c r="X6" s="61">
        <v>2</v>
      </c>
      <c r="Y6" s="61">
        <v>2</v>
      </c>
      <c r="AC6" s="5" t="s">
        <v>1916</v>
      </c>
      <c r="AD6" s="61">
        <v>0</v>
      </c>
      <c r="AG6" s="71" t="str">
        <f t="shared" si="0"/>
        <v>CHARANTEJA/WANAPARTHY , 7993129892</v>
      </c>
      <c r="AH6" s="72">
        <f t="shared" si="1"/>
        <v>2</v>
      </c>
      <c r="AI6" s="72">
        <f t="shared" si="2"/>
        <v>2</v>
      </c>
      <c r="AJ6" s="72">
        <f t="shared" si="3"/>
        <v>0</v>
      </c>
      <c r="AK6" s="73">
        <f t="shared" si="4"/>
        <v>171968.89</v>
      </c>
      <c r="AL6" s="75">
        <v>0.85</v>
      </c>
      <c r="AM6" s="73">
        <f t="shared" si="9"/>
        <v>146173.55650000001</v>
      </c>
      <c r="AN6" s="74">
        <f t="shared" si="5"/>
        <v>0</v>
      </c>
      <c r="AO6" s="73">
        <f t="shared" si="6"/>
        <v>0</v>
      </c>
      <c r="AP6" s="72">
        <f t="shared" si="7"/>
        <v>2</v>
      </c>
      <c r="AQ6" s="73">
        <f t="shared" si="8"/>
        <v>0</v>
      </c>
      <c r="AT6" s="71" t="s">
        <v>272</v>
      </c>
      <c r="AU6" s="72">
        <v>2</v>
      </c>
      <c r="AV6" s="72">
        <v>2</v>
      </c>
      <c r="AW6" s="72">
        <v>0</v>
      </c>
      <c r="AX6" s="73">
        <v>1519393.77</v>
      </c>
      <c r="AY6" s="75">
        <v>0.85</v>
      </c>
      <c r="AZ6" s="73">
        <v>1291484.7045</v>
      </c>
      <c r="BA6" s="74">
        <v>0</v>
      </c>
      <c r="BB6" s="73">
        <v>0</v>
      </c>
      <c r="BC6" s="72">
        <v>2</v>
      </c>
      <c r="BD6" s="73">
        <v>0</v>
      </c>
      <c r="BF6" s="5" t="s">
        <v>92</v>
      </c>
      <c r="BG6" s="61"/>
      <c r="BH6" s="61"/>
      <c r="BI6" s="61"/>
      <c r="BJ6" s="61"/>
      <c r="BK6" s="61"/>
      <c r="BL6"/>
      <c r="BM6" s="5" t="s">
        <v>266</v>
      </c>
      <c r="BN6" s="61"/>
      <c r="BO6" s="61"/>
      <c r="BP6" s="61"/>
      <c r="BQ6" s="61"/>
      <c r="BR6" s="61"/>
      <c r="BS6"/>
      <c r="BT6" s="5" t="s">
        <v>250</v>
      </c>
      <c r="BU6" s="61">
        <v>5</v>
      </c>
      <c r="BV6"/>
      <c r="BW6"/>
      <c r="BX6"/>
      <c r="BY6"/>
      <c r="BZ6"/>
      <c r="CA6" s="17" t="s">
        <v>121</v>
      </c>
      <c r="CB6" s="62"/>
      <c r="CC6" s="62">
        <v>2</v>
      </c>
      <c r="CD6" s="62"/>
      <c r="CE6" s="62">
        <v>2</v>
      </c>
      <c r="CF6" s="62">
        <v>2</v>
      </c>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row>
    <row r="7" spans="1:191" x14ac:dyDescent="0.25">
      <c r="A7" s="2" t="s">
        <v>227</v>
      </c>
      <c r="B7" s="61">
        <v>737014.86</v>
      </c>
      <c r="C7" s="61"/>
      <c r="D7" s="61">
        <v>737014.86</v>
      </c>
      <c r="E7" s="61">
        <v>727161.78</v>
      </c>
      <c r="F7" s="61">
        <v>1464176.6400000001</v>
      </c>
      <c r="G7"/>
      <c r="K7" s="5" t="s">
        <v>250</v>
      </c>
      <c r="L7" s="61">
        <v>2</v>
      </c>
      <c r="M7" s="4">
        <v>0.40597567304887922</v>
      </c>
      <c r="N7" s="61">
        <v>329144.84999999998</v>
      </c>
      <c r="O7" s="61">
        <v>3</v>
      </c>
      <c r="P7" s="4">
        <v>0.59402432695112073</v>
      </c>
      <c r="Q7" s="61">
        <v>481605.33</v>
      </c>
      <c r="R7" s="61">
        <v>5</v>
      </c>
      <c r="S7" s="4">
        <v>1</v>
      </c>
      <c r="T7" s="61">
        <v>810750.18</v>
      </c>
      <c r="V7" s="5" t="s">
        <v>250</v>
      </c>
      <c r="W7" s="61">
        <v>4</v>
      </c>
      <c r="X7" s="61">
        <v>1</v>
      </c>
      <c r="Y7" s="61">
        <v>5</v>
      </c>
      <c r="AC7" s="5" t="s">
        <v>250</v>
      </c>
      <c r="AD7" s="61">
        <v>70640</v>
      </c>
      <c r="AG7" s="71" t="str">
        <f t="shared" si="0"/>
        <v>INAMUL/GTR , 8367073588</v>
      </c>
      <c r="AH7" s="72">
        <f t="shared" si="1"/>
        <v>5</v>
      </c>
      <c r="AI7" s="72">
        <f t="shared" si="2"/>
        <v>3</v>
      </c>
      <c r="AJ7" s="72">
        <f t="shared" si="3"/>
        <v>2</v>
      </c>
      <c r="AK7" s="73">
        <f t="shared" si="4"/>
        <v>810750.18</v>
      </c>
      <c r="AL7" s="75">
        <v>0.85</v>
      </c>
      <c r="AM7" s="73">
        <f t="shared" si="9"/>
        <v>689137.65300000005</v>
      </c>
      <c r="AN7" s="74">
        <f t="shared" si="5"/>
        <v>0.40597567304887922</v>
      </c>
      <c r="AO7" s="73">
        <f t="shared" si="6"/>
        <v>329144.84999999998</v>
      </c>
      <c r="AP7" s="72">
        <f t="shared" si="7"/>
        <v>1</v>
      </c>
      <c r="AQ7" s="73">
        <f t="shared" si="8"/>
        <v>70640</v>
      </c>
      <c r="AT7" s="71" t="s">
        <v>50</v>
      </c>
      <c r="AU7" s="72">
        <v>1</v>
      </c>
      <c r="AV7" s="72">
        <v>1</v>
      </c>
      <c r="AW7" s="72">
        <v>0</v>
      </c>
      <c r="AX7" s="73">
        <v>36218.870000000003</v>
      </c>
      <c r="AY7" s="75">
        <v>0.85</v>
      </c>
      <c r="AZ7" s="73">
        <v>30786.039500000003</v>
      </c>
      <c r="BA7" s="74">
        <v>0</v>
      </c>
      <c r="BB7" s="73">
        <v>0</v>
      </c>
      <c r="BC7" s="72">
        <v>0</v>
      </c>
      <c r="BD7" s="73">
        <v>0</v>
      </c>
      <c r="BF7" s="2" t="s">
        <v>55</v>
      </c>
      <c r="BG7" s="61">
        <v>2</v>
      </c>
      <c r="BH7" s="61">
        <v>4</v>
      </c>
      <c r="BI7" s="61">
        <v>6</v>
      </c>
      <c r="BJ7" s="61">
        <v>19</v>
      </c>
      <c r="BK7" s="61">
        <v>25</v>
      </c>
      <c r="BL7"/>
      <c r="BM7" s="2" t="s">
        <v>55</v>
      </c>
      <c r="BN7" s="61">
        <v>20</v>
      </c>
      <c r="BO7" s="61">
        <v>3</v>
      </c>
      <c r="BP7" s="61">
        <v>23</v>
      </c>
      <c r="BQ7" s="61">
        <v>44</v>
      </c>
      <c r="BR7" s="61">
        <v>67</v>
      </c>
      <c r="BS7"/>
      <c r="BT7" s="5" t="s">
        <v>410</v>
      </c>
      <c r="BU7" s="61">
        <v>3</v>
      </c>
      <c r="BV7"/>
      <c r="BW7"/>
      <c r="BX7"/>
      <c r="BY7"/>
      <c r="BZ7"/>
      <c r="CA7" s="17" t="s">
        <v>451</v>
      </c>
      <c r="CB7" s="62">
        <v>1</v>
      </c>
      <c r="CC7" s="62"/>
      <c r="CD7" s="62">
        <v>1</v>
      </c>
      <c r="CE7" s="62">
        <v>1</v>
      </c>
      <c r="CF7" s="62">
        <v>2</v>
      </c>
      <c r="CG7"/>
      <c r="CH7"/>
      <c r="CI7"/>
      <c r="CJ7"/>
      <c r="CK7"/>
      <c r="CL7"/>
      <c r="CM7"/>
      <c r="CN7"/>
      <c r="CO7"/>
      <c r="CP7"/>
      <c r="CQ7"/>
      <c r="CR7"/>
      <c r="CS7"/>
      <c r="CT7"/>
      <c r="CU7"/>
      <c r="CV7"/>
      <c r="CW7"/>
      <c r="CX7"/>
      <c r="CY7"/>
      <c r="CZ7"/>
      <c r="DA7"/>
      <c r="DB7"/>
      <c r="DC7"/>
      <c r="DD7"/>
      <c r="DE7"/>
      <c r="DF7"/>
      <c r="DG7"/>
    </row>
    <row r="8" spans="1:191" x14ac:dyDescent="0.25">
      <c r="A8" s="2" t="s">
        <v>46</v>
      </c>
      <c r="B8" s="61">
        <v>409210.28</v>
      </c>
      <c r="C8" s="61"/>
      <c r="D8" s="61">
        <v>409210.28</v>
      </c>
      <c r="E8" s="61">
        <v>0</v>
      </c>
      <c r="F8" s="61">
        <v>409210.28</v>
      </c>
      <c r="G8"/>
      <c r="K8" s="5" t="s">
        <v>410</v>
      </c>
      <c r="L8" s="61"/>
      <c r="M8" s="4">
        <v>0</v>
      </c>
      <c r="N8" s="61"/>
      <c r="O8" s="61">
        <v>3</v>
      </c>
      <c r="P8" s="4">
        <v>1</v>
      </c>
      <c r="Q8" s="61">
        <v>216453.87</v>
      </c>
      <c r="R8" s="61">
        <v>3</v>
      </c>
      <c r="S8" s="4">
        <v>1</v>
      </c>
      <c r="T8" s="61">
        <v>216453.87</v>
      </c>
      <c r="V8" s="5" t="s">
        <v>410</v>
      </c>
      <c r="W8" s="61">
        <v>1</v>
      </c>
      <c r="X8" s="61">
        <v>2</v>
      </c>
      <c r="Y8" s="61">
        <v>3</v>
      </c>
      <c r="AC8" s="5" t="s">
        <v>410</v>
      </c>
      <c r="AD8" s="61">
        <v>3500</v>
      </c>
      <c r="AG8" s="71" t="str">
        <f t="shared" si="0"/>
        <v>KIRAN/CHITTOOR , 9440471742</v>
      </c>
      <c r="AH8" s="72">
        <f t="shared" si="1"/>
        <v>3</v>
      </c>
      <c r="AI8" s="72">
        <f t="shared" si="2"/>
        <v>3</v>
      </c>
      <c r="AJ8" s="72">
        <f t="shared" si="3"/>
        <v>0</v>
      </c>
      <c r="AK8" s="73">
        <f t="shared" si="4"/>
        <v>216453.87</v>
      </c>
      <c r="AL8" s="75">
        <v>0.85</v>
      </c>
      <c r="AM8" s="73">
        <f t="shared" si="9"/>
        <v>183985.78949999998</v>
      </c>
      <c r="AN8" s="74">
        <f t="shared" si="5"/>
        <v>0</v>
      </c>
      <c r="AO8" s="73">
        <f t="shared" si="6"/>
        <v>0</v>
      </c>
      <c r="AP8" s="72">
        <f t="shared" si="7"/>
        <v>2</v>
      </c>
      <c r="AQ8" s="73">
        <f t="shared" si="8"/>
        <v>3500</v>
      </c>
      <c r="AT8" s="71" t="s">
        <v>663</v>
      </c>
      <c r="AU8" s="72">
        <v>1</v>
      </c>
      <c r="AV8" s="72">
        <v>1</v>
      </c>
      <c r="AW8" s="72">
        <v>0</v>
      </c>
      <c r="AX8" s="73">
        <v>613940.44999999995</v>
      </c>
      <c r="AY8" s="75">
        <v>0.85</v>
      </c>
      <c r="AZ8" s="73">
        <v>521849.38249999995</v>
      </c>
      <c r="BA8" s="74">
        <v>0</v>
      </c>
      <c r="BB8" s="73">
        <v>0</v>
      </c>
      <c r="BC8" s="72">
        <v>1</v>
      </c>
      <c r="BD8" s="73">
        <v>0</v>
      </c>
      <c r="BF8" s="6" t="s">
        <v>52</v>
      </c>
      <c r="BG8" s="7">
        <v>0.12891079304136999</v>
      </c>
      <c r="BH8" s="7">
        <v>0.13903315455590096</v>
      </c>
      <c r="BI8" s="7">
        <v>0.26794394759727097</v>
      </c>
      <c r="BJ8" s="7">
        <v>0.73205605240272875</v>
      </c>
      <c r="BK8" s="7">
        <v>1</v>
      </c>
      <c r="BL8"/>
      <c r="BM8" s="6" t="s">
        <v>52</v>
      </c>
      <c r="BN8" s="7">
        <v>0.26040501571334496</v>
      </c>
      <c r="BO8" s="7">
        <v>1.8263533066613359E-2</v>
      </c>
      <c r="BP8" s="7">
        <v>0.27866854877995834</v>
      </c>
      <c r="BQ8" s="7">
        <v>0.72133145122004183</v>
      </c>
      <c r="BR8" s="7">
        <v>1</v>
      </c>
      <c r="BS8"/>
      <c r="BT8" s="5" t="s">
        <v>1917</v>
      </c>
      <c r="BU8" s="61">
        <v>3</v>
      </c>
      <c r="BV8"/>
      <c r="BW8"/>
      <c r="BX8"/>
      <c r="BY8"/>
      <c r="BZ8"/>
      <c r="CA8" s="17" t="s">
        <v>1916</v>
      </c>
      <c r="CB8" s="62"/>
      <c r="CC8" s="62">
        <v>2</v>
      </c>
      <c r="CD8" s="62"/>
      <c r="CE8" s="62">
        <v>2</v>
      </c>
      <c r="CF8" s="62">
        <v>2</v>
      </c>
      <c r="CG8"/>
      <c r="CH8"/>
      <c r="CI8"/>
      <c r="CJ8"/>
      <c r="CK8"/>
      <c r="CL8"/>
      <c r="CM8"/>
      <c r="CN8"/>
      <c r="CO8"/>
      <c r="CP8"/>
      <c r="CQ8"/>
      <c r="CR8"/>
      <c r="CS8"/>
      <c r="CT8"/>
      <c r="CU8"/>
      <c r="CV8"/>
      <c r="CW8"/>
      <c r="CX8"/>
      <c r="CY8"/>
      <c r="CZ8"/>
      <c r="DA8"/>
      <c r="DB8"/>
      <c r="DC8"/>
      <c r="DD8"/>
      <c r="DE8"/>
      <c r="DF8"/>
      <c r="DG8"/>
    </row>
    <row r="9" spans="1:191" x14ac:dyDescent="0.25">
      <c r="A9" s="5">
        <v>2</v>
      </c>
      <c r="B9" s="61"/>
      <c r="C9" s="61"/>
      <c r="D9" s="61"/>
      <c r="E9" s="61"/>
      <c r="F9" s="61"/>
      <c r="G9"/>
      <c r="K9" s="5" t="s">
        <v>1917</v>
      </c>
      <c r="L9" s="61"/>
      <c r="M9" s="4">
        <v>0</v>
      </c>
      <c r="N9" s="61"/>
      <c r="O9" s="61">
        <v>3</v>
      </c>
      <c r="P9" s="4">
        <v>1</v>
      </c>
      <c r="Q9" s="61">
        <v>165986.06</v>
      </c>
      <c r="R9" s="61">
        <v>3</v>
      </c>
      <c r="S9" s="4">
        <v>1</v>
      </c>
      <c r="T9" s="61">
        <v>165986.06</v>
      </c>
      <c r="V9" s="5" t="s">
        <v>1917</v>
      </c>
      <c r="W9" s="61"/>
      <c r="X9" s="61">
        <v>3</v>
      </c>
      <c r="Y9" s="61">
        <v>3</v>
      </c>
      <c r="AC9" s="5" t="s">
        <v>1917</v>
      </c>
      <c r="AD9" s="61">
        <v>0</v>
      </c>
      <c r="AG9" s="71" t="str">
        <f t="shared" si="0"/>
        <v>KISHORE/GTR , 8688104987</v>
      </c>
      <c r="AH9" s="72">
        <f t="shared" si="1"/>
        <v>3</v>
      </c>
      <c r="AI9" s="72">
        <f t="shared" si="2"/>
        <v>3</v>
      </c>
      <c r="AJ9" s="72">
        <f t="shared" si="3"/>
        <v>0</v>
      </c>
      <c r="AK9" s="73">
        <f t="shared" si="4"/>
        <v>165986.06</v>
      </c>
      <c r="AL9" s="75">
        <v>0.85</v>
      </c>
      <c r="AM9" s="73">
        <f t="shared" si="9"/>
        <v>141088.15099999998</v>
      </c>
      <c r="AN9" s="74">
        <f t="shared" si="5"/>
        <v>0</v>
      </c>
      <c r="AO9" s="73">
        <f t="shared" si="6"/>
        <v>0</v>
      </c>
      <c r="AP9" s="72">
        <f t="shared" si="7"/>
        <v>3</v>
      </c>
      <c r="AQ9" s="73">
        <f t="shared" si="8"/>
        <v>0</v>
      </c>
      <c r="AT9" s="71" t="s">
        <v>664</v>
      </c>
      <c r="AU9" s="72">
        <v>1</v>
      </c>
      <c r="AV9" s="72">
        <v>1</v>
      </c>
      <c r="AW9" s="72">
        <v>0</v>
      </c>
      <c r="AX9" s="73">
        <v>609057.26</v>
      </c>
      <c r="AY9" s="75">
        <v>0.85</v>
      </c>
      <c r="AZ9" s="73">
        <v>517698.67099999997</v>
      </c>
      <c r="BA9" s="74">
        <v>0</v>
      </c>
      <c r="BB9" s="73">
        <v>0</v>
      </c>
      <c r="BC9" s="72">
        <v>1</v>
      </c>
      <c r="BD9" s="73">
        <v>0</v>
      </c>
      <c r="BF9" s="2" t="s">
        <v>57</v>
      </c>
      <c r="BG9" s="61">
        <v>716971.97</v>
      </c>
      <c r="BH9" s="61">
        <v>773270.2</v>
      </c>
      <c r="BI9" s="61">
        <v>1490242.1700000002</v>
      </c>
      <c r="BJ9" s="61">
        <v>4071526.19</v>
      </c>
      <c r="BK9" s="61">
        <v>5561768.3600000013</v>
      </c>
      <c r="BL9"/>
      <c r="BM9" s="2" t="s">
        <v>57</v>
      </c>
      <c r="BN9" s="61">
        <v>3090173.0399999996</v>
      </c>
      <c r="BO9" s="61">
        <v>216729.61</v>
      </c>
      <c r="BP9" s="61">
        <v>3306902.65</v>
      </c>
      <c r="BQ9" s="61">
        <v>8559892.7400000021</v>
      </c>
      <c r="BR9" s="61">
        <v>11866795.390000001</v>
      </c>
      <c r="BS9"/>
      <c r="BT9" s="5" t="s">
        <v>242</v>
      </c>
      <c r="BU9" s="61">
        <v>2</v>
      </c>
      <c r="BV9"/>
      <c r="BW9"/>
      <c r="BX9"/>
      <c r="BY9"/>
      <c r="BZ9"/>
      <c r="CA9" s="17" t="s">
        <v>250</v>
      </c>
      <c r="CB9" s="62">
        <v>2</v>
      </c>
      <c r="CC9" s="62">
        <v>1</v>
      </c>
      <c r="CD9" s="62">
        <v>2</v>
      </c>
      <c r="CE9" s="62">
        <v>3</v>
      </c>
      <c r="CF9" s="62">
        <v>5</v>
      </c>
      <c r="CG9"/>
      <c r="CH9"/>
      <c r="CI9"/>
      <c r="CJ9"/>
      <c r="CK9"/>
      <c r="CL9"/>
      <c r="CM9"/>
      <c r="CN9"/>
      <c r="CO9"/>
      <c r="CP9"/>
      <c r="CQ9"/>
      <c r="CR9"/>
      <c r="CS9"/>
      <c r="CT9"/>
      <c r="CU9"/>
      <c r="CV9"/>
      <c r="CW9"/>
      <c r="CX9"/>
      <c r="CY9"/>
      <c r="CZ9"/>
      <c r="DA9"/>
      <c r="DB9"/>
      <c r="DC9"/>
      <c r="DD9"/>
      <c r="DE9"/>
      <c r="DF9"/>
      <c r="DG9"/>
    </row>
    <row r="10" spans="1:191" x14ac:dyDescent="0.25">
      <c r="A10" s="2" t="s">
        <v>191</v>
      </c>
      <c r="B10" s="61">
        <v>8</v>
      </c>
      <c r="C10" s="61">
        <v>6</v>
      </c>
      <c r="D10" s="61">
        <v>14</v>
      </c>
      <c r="E10" s="61">
        <v>3</v>
      </c>
      <c r="F10" s="61">
        <v>17</v>
      </c>
      <c r="G10"/>
      <c r="K10" s="5" t="s">
        <v>242</v>
      </c>
      <c r="L10" s="61">
        <v>1</v>
      </c>
      <c r="M10" s="4">
        <v>7.3080161311170719E-2</v>
      </c>
      <c r="N10" s="61">
        <v>42544.84</v>
      </c>
      <c r="O10" s="61">
        <v>1</v>
      </c>
      <c r="P10" s="4">
        <v>0.92691983868882932</v>
      </c>
      <c r="Q10" s="61">
        <v>539621.91</v>
      </c>
      <c r="R10" s="61">
        <v>2</v>
      </c>
      <c r="S10" s="4">
        <v>1</v>
      </c>
      <c r="T10" s="61">
        <v>582166.75</v>
      </c>
      <c r="V10" s="5" t="s">
        <v>242</v>
      </c>
      <c r="W10" s="61">
        <v>1</v>
      </c>
      <c r="X10" s="61">
        <v>1</v>
      </c>
      <c r="Y10" s="61">
        <v>2</v>
      </c>
      <c r="AC10" s="5" t="s">
        <v>242</v>
      </c>
      <c r="AD10" s="61">
        <v>10000</v>
      </c>
      <c r="AG10" s="71" t="str">
        <f t="shared" si="0"/>
        <v>KOTI/MACHILIPATNAM , 8247838027</v>
      </c>
      <c r="AH10" s="72">
        <f t="shared" si="1"/>
        <v>2</v>
      </c>
      <c r="AI10" s="72">
        <f t="shared" si="2"/>
        <v>1</v>
      </c>
      <c r="AJ10" s="72">
        <f t="shared" si="3"/>
        <v>1</v>
      </c>
      <c r="AK10" s="73">
        <f t="shared" si="4"/>
        <v>582166.75</v>
      </c>
      <c r="AL10" s="75">
        <v>0.85</v>
      </c>
      <c r="AM10" s="73">
        <f t="shared" si="9"/>
        <v>494841.73749999999</v>
      </c>
      <c r="AN10" s="74">
        <f t="shared" si="5"/>
        <v>7.3080161311170719E-2</v>
      </c>
      <c r="AO10" s="73">
        <f t="shared" si="6"/>
        <v>42544.84</v>
      </c>
      <c r="AP10" s="72">
        <f t="shared" si="7"/>
        <v>1</v>
      </c>
      <c r="AQ10" s="73">
        <f t="shared" si="8"/>
        <v>10000</v>
      </c>
      <c r="AT10" s="71" t="s">
        <v>51</v>
      </c>
      <c r="AU10" s="72">
        <v>1</v>
      </c>
      <c r="AV10" s="72">
        <v>1</v>
      </c>
      <c r="AW10" s="72">
        <v>0</v>
      </c>
      <c r="AX10" s="73">
        <v>548344.05000000005</v>
      </c>
      <c r="AY10" s="75">
        <v>0.85</v>
      </c>
      <c r="AZ10" s="73">
        <v>466092.4425</v>
      </c>
      <c r="BA10" s="74">
        <v>0</v>
      </c>
      <c r="BB10" s="73">
        <v>0</v>
      </c>
      <c r="BC10" s="72">
        <v>0</v>
      </c>
      <c r="BD10" s="73">
        <v>0</v>
      </c>
      <c r="BF10" s="2" t="s">
        <v>59</v>
      </c>
      <c r="BG10" s="61">
        <v>206879.12</v>
      </c>
      <c r="BH10" s="61">
        <v>77100</v>
      </c>
      <c r="BI10" s="61">
        <v>283979.12</v>
      </c>
      <c r="BJ10" s="61">
        <v>30184.57</v>
      </c>
      <c r="BK10" s="61">
        <v>314163.69</v>
      </c>
      <c r="BL10"/>
      <c r="BM10" s="2" t="s">
        <v>59</v>
      </c>
      <c r="BN10" s="61">
        <v>745784.85</v>
      </c>
      <c r="BO10" s="61">
        <v>11250</v>
      </c>
      <c r="BP10" s="61">
        <v>757034.85</v>
      </c>
      <c r="BQ10" s="61">
        <v>23500</v>
      </c>
      <c r="BR10" s="61">
        <v>780534.85</v>
      </c>
      <c r="BS10"/>
      <c r="BT10" s="5" t="s">
        <v>76</v>
      </c>
      <c r="BU10" s="61">
        <v>3</v>
      </c>
      <c r="BV10"/>
      <c r="BW10"/>
      <c r="BX10"/>
      <c r="BY10"/>
      <c r="BZ10"/>
      <c r="CA10" s="17" t="s">
        <v>410</v>
      </c>
      <c r="CB10" s="62"/>
      <c r="CC10" s="62">
        <v>2</v>
      </c>
      <c r="CD10" s="62">
        <v>1</v>
      </c>
      <c r="CE10" s="62">
        <v>3</v>
      </c>
      <c r="CF10" s="62">
        <v>3</v>
      </c>
      <c r="CG10"/>
      <c r="CH10"/>
      <c r="CI10"/>
      <c r="CJ10"/>
      <c r="CK10"/>
      <c r="CL10"/>
      <c r="CM10"/>
      <c r="CN10"/>
      <c r="CO10"/>
      <c r="CP10"/>
      <c r="CQ10"/>
      <c r="CR10"/>
      <c r="CS10"/>
      <c r="CT10"/>
      <c r="CU10"/>
      <c r="CV10"/>
      <c r="CW10"/>
      <c r="CX10"/>
      <c r="CY10"/>
      <c r="CZ10"/>
      <c r="DA10"/>
      <c r="DB10"/>
      <c r="DC10"/>
      <c r="DD10"/>
      <c r="DE10"/>
      <c r="DF10"/>
      <c r="DG10"/>
    </row>
    <row r="11" spans="1:191" x14ac:dyDescent="0.25">
      <c r="A11" s="42" t="s">
        <v>228</v>
      </c>
      <c r="B11" s="43">
        <v>0.52661795387627841</v>
      </c>
      <c r="C11" s="43">
        <v>0.37935719903717896</v>
      </c>
      <c r="D11" s="43">
        <v>0.90597515291345743</v>
      </c>
      <c r="E11" s="43">
        <v>9.4024847086542615E-2</v>
      </c>
      <c r="F11" s="43">
        <v>1</v>
      </c>
      <c r="G11"/>
      <c r="K11" s="5" t="s">
        <v>1158</v>
      </c>
      <c r="L11" s="61"/>
      <c r="M11" s="4">
        <v>0</v>
      </c>
      <c r="N11" s="61"/>
      <c r="O11" s="61">
        <v>5</v>
      </c>
      <c r="P11" s="4">
        <v>1</v>
      </c>
      <c r="Q11" s="61">
        <v>572352.76</v>
      </c>
      <c r="R11" s="61">
        <v>5</v>
      </c>
      <c r="S11" s="4">
        <v>1</v>
      </c>
      <c r="T11" s="61">
        <v>572352.76</v>
      </c>
      <c r="V11" s="5" t="s">
        <v>1158</v>
      </c>
      <c r="W11" s="61"/>
      <c r="X11" s="61">
        <v>5</v>
      </c>
      <c r="Y11" s="61">
        <v>5</v>
      </c>
      <c r="AC11" s="5" t="s">
        <v>1158</v>
      </c>
      <c r="AD11" s="61">
        <v>0</v>
      </c>
      <c r="AG11" s="71" t="str">
        <f t="shared" si="0"/>
        <v>KUMAR/ELLURU , 6305251195</v>
      </c>
      <c r="AH11" s="72">
        <f t="shared" si="1"/>
        <v>5</v>
      </c>
      <c r="AI11" s="72">
        <f t="shared" si="2"/>
        <v>5</v>
      </c>
      <c r="AJ11" s="72">
        <f t="shared" si="3"/>
        <v>0</v>
      </c>
      <c r="AK11" s="73">
        <f t="shared" si="4"/>
        <v>572352.76</v>
      </c>
      <c r="AL11" s="75">
        <v>0.85</v>
      </c>
      <c r="AM11" s="73">
        <f t="shared" si="9"/>
        <v>486499.84600000002</v>
      </c>
      <c r="AN11" s="74">
        <f t="shared" si="5"/>
        <v>0</v>
      </c>
      <c r="AO11" s="73">
        <f t="shared" si="6"/>
        <v>0</v>
      </c>
      <c r="AP11" s="72">
        <f t="shared" si="7"/>
        <v>5</v>
      </c>
      <c r="AQ11" s="73">
        <f t="shared" si="8"/>
        <v>0</v>
      </c>
      <c r="AT11" s="71" t="s">
        <v>102</v>
      </c>
      <c r="AU11" s="72">
        <v>1</v>
      </c>
      <c r="AV11" s="72">
        <v>1</v>
      </c>
      <c r="AW11" s="72">
        <v>0</v>
      </c>
      <c r="AX11" s="73">
        <v>112746.32</v>
      </c>
      <c r="AY11" s="75">
        <v>0.85</v>
      </c>
      <c r="AZ11" s="73">
        <v>95834.372000000003</v>
      </c>
      <c r="BA11" s="74">
        <v>0</v>
      </c>
      <c r="BB11" s="73">
        <v>0</v>
      </c>
      <c r="BC11" s="72">
        <v>1</v>
      </c>
      <c r="BD11" s="73">
        <v>0</v>
      </c>
      <c r="BF11" s="5" t="s">
        <v>252</v>
      </c>
      <c r="BG11" s="61"/>
      <c r="BH11" s="61"/>
      <c r="BI11" s="61"/>
      <c r="BJ11" s="61"/>
      <c r="BK11" s="61"/>
      <c r="BL11"/>
      <c r="BM11" s="5" t="s">
        <v>265</v>
      </c>
      <c r="BN11" s="61"/>
      <c r="BO11" s="61"/>
      <c r="BP11" s="61"/>
      <c r="BQ11" s="61"/>
      <c r="BR11" s="61"/>
      <c r="BS11"/>
      <c r="BT11" s="5" t="s">
        <v>122</v>
      </c>
      <c r="BU11" s="61">
        <v>9</v>
      </c>
      <c r="BV11"/>
      <c r="BW11"/>
      <c r="BX11"/>
      <c r="BY11"/>
      <c r="BZ11"/>
      <c r="CA11" s="17" t="s">
        <v>1917</v>
      </c>
      <c r="CB11" s="62"/>
      <c r="CC11" s="62">
        <v>3</v>
      </c>
      <c r="CD11" s="62"/>
      <c r="CE11" s="62">
        <v>3</v>
      </c>
      <c r="CF11" s="62">
        <v>3</v>
      </c>
      <c r="CG11"/>
      <c r="CH11"/>
      <c r="CI11"/>
      <c r="CJ11"/>
      <c r="CK11"/>
      <c r="CL11"/>
      <c r="CM11"/>
      <c r="CN11"/>
      <c r="CO11"/>
      <c r="CP11"/>
      <c r="CQ11"/>
      <c r="CR11"/>
      <c r="CS11"/>
      <c r="CT11"/>
      <c r="CU11"/>
      <c r="CV11"/>
      <c r="CW11"/>
      <c r="CX11"/>
      <c r="CY11"/>
      <c r="CZ11"/>
      <c r="DA11"/>
      <c r="DB11"/>
      <c r="DC11"/>
      <c r="DD11"/>
      <c r="DE11"/>
      <c r="DF11"/>
      <c r="DG11"/>
    </row>
    <row r="12" spans="1:191" x14ac:dyDescent="0.25">
      <c r="A12" s="2" t="s">
        <v>227</v>
      </c>
      <c r="B12" s="61">
        <v>1298720.5100000002</v>
      </c>
      <c r="C12" s="61">
        <v>935552.94</v>
      </c>
      <c r="D12" s="61">
        <v>2234273.4500000002</v>
      </c>
      <c r="E12" s="61">
        <v>231879.66999999998</v>
      </c>
      <c r="F12" s="61">
        <v>2466153.12</v>
      </c>
      <c r="G12"/>
      <c r="K12" s="5" t="s">
        <v>76</v>
      </c>
      <c r="L12" s="61">
        <v>3</v>
      </c>
      <c r="M12" s="4">
        <v>1</v>
      </c>
      <c r="N12" s="61">
        <v>189605.53000000003</v>
      </c>
      <c r="O12" s="61"/>
      <c r="P12" s="4">
        <v>0</v>
      </c>
      <c r="Q12" s="61"/>
      <c r="R12" s="61">
        <v>3</v>
      </c>
      <c r="S12" s="4">
        <v>1</v>
      </c>
      <c r="T12" s="61">
        <v>189605.53000000003</v>
      </c>
      <c r="V12" s="5" t="s">
        <v>76</v>
      </c>
      <c r="W12" s="61">
        <v>3</v>
      </c>
      <c r="X12" s="61"/>
      <c r="Y12" s="61">
        <v>3</v>
      </c>
      <c r="AC12" s="5" t="s">
        <v>76</v>
      </c>
      <c r="AD12" s="61">
        <v>189605.53000000003</v>
      </c>
      <c r="AG12" s="71" t="str">
        <f t="shared" si="0"/>
        <v>LIKITH/KHAMMAM , 7981063429</v>
      </c>
      <c r="AH12" s="72">
        <f t="shared" si="1"/>
        <v>3</v>
      </c>
      <c r="AI12" s="72">
        <f t="shared" si="2"/>
        <v>0</v>
      </c>
      <c r="AJ12" s="72">
        <f t="shared" si="3"/>
        <v>3</v>
      </c>
      <c r="AK12" s="73">
        <f t="shared" si="4"/>
        <v>189605.53000000003</v>
      </c>
      <c r="AL12" s="75">
        <v>0.85</v>
      </c>
      <c r="AM12" s="73">
        <f t="shared" si="9"/>
        <v>161164.70050000001</v>
      </c>
      <c r="AN12" s="74">
        <f t="shared" si="5"/>
        <v>1</v>
      </c>
      <c r="AO12" s="73">
        <f t="shared" si="6"/>
        <v>189605.53000000003</v>
      </c>
      <c r="AP12" s="72">
        <f t="shared" si="7"/>
        <v>0</v>
      </c>
      <c r="AQ12" s="73">
        <f t="shared" si="8"/>
        <v>189605.53000000003</v>
      </c>
      <c r="AT12" s="71" t="s">
        <v>665</v>
      </c>
      <c r="AU12" s="72">
        <v>1</v>
      </c>
      <c r="AV12" s="72">
        <v>1</v>
      </c>
      <c r="AW12" s="72">
        <v>0</v>
      </c>
      <c r="AX12" s="73">
        <v>226420.41</v>
      </c>
      <c r="AY12" s="75">
        <v>0.85</v>
      </c>
      <c r="AZ12" s="73">
        <v>192457.34849999999</v>
      </c>
      <c r="BA12" s="74">
        <v>0</v>
      </c>
      <c r="BB12" s="73">
        <v>0</v>
      </c>
      <c r="BC12" s="72">
        <v>1</v>
      </c>
      <c r="BD12" s="73">
        <v>0</v>
      </c>
      <c r="BF12" s="2" t="s">
        <v>55</v>
      </c>
      <c r="BG12" s="61">
        <v>2</v>
      </c>
      <c r="BH12" s="61">
        <v>2</v>
      </c>
      <c r="BI12" s="61">
        <v>4</v>
      </c>
      <c r="BJ12" s="61">
        <v>13</v>
      </c>
      <c r="BK12" s="61">
        <v>17</v>
      </c>
      <c r="BL12"/>
      <c r="BM12" s="2" t="s">
        <v>55</v>
      </c>
      <c r="BN12" s="61">
        <v>8</v>
      </c>
      <c r="BO12" s="61">
        <v>8</v>
      </c>
      <c r="BP12" s="61">
        <v>16</v>
      </c>
      <c r="BQ12" s="61">
        <v>63</v>
      </c>
      <c r="BR12" s="61">
        <v>79</v>
      </c>
      <c r="BS12"/>
      <c r="BT12" s="5" t="s">
        <v>1915</v>
      </c>
      <c r="BU12" s="61">
        <v>1</v>
      </c>
      <c r="BV12"/>
      <c r="BW12"/>
      <c r="BX12"/>
      <c r="BY12"/>
      <c r="BZ12"/>
      <c r="CA12" s="17" t="s">
        <v>242</v>
      </c>
      <c r="CB12" s="62">
        <v>1</v>
      </c>
      <c r="CC12" s="62">
        <v>1</v>
      </c>
      <c r="CD12" s="62"/>
      <c r="CE12" s="62">
        <v>1</v>
      </c>
      <c r="CF12" s="62">
        <v>2</v>
      </c>
      <c r="CG12"/>
      <c r="CH12"/>
      <c r="CI12"/>
      <c r="CJ12"/>
      <c r="CK12"/>
      <c r="CL12"/>
      <c r="CM12"/>
      <c r="CN12"/>
      <c r="CO12"/>
      <c r="CP12"/>
      <c r="CQ12"/>
      <c r="CR12"/>
      <c r="CS12"/>
      <c r="CT12"/>
      <c r="CU12"/>
      <c r="CV12"/>
      <c r="CW12"/>
      <c r="CX12"/>
      <c r="CY12"/>
      <c r="CZ12"/>
      <c r="DA12"/>
      <c r="DB12"/>
      <c r="DC12"/>
      <c r="DD12"/>
      <c r="DE12"/>
      <c r="DF12"/>
      <c r="DG12"/>
    </row>
    <row r="13" spans="1:191" x14ac:dyDescent="0.25">
      <c r="A13" s="2" t="s">
        <v>46</v>
      </c>
      <c r="B13" s="61">
        <v>385560.15</v>
      </c>
      <c r="C13" s="61">
        <v>90664.13</v>
      </c>
      <c r="D13" s="61">
        <v>476224.28</v>
      </c>
      <c r="E13" s="61">
        <v>3500</v>
      </c>
      <c r="F13" s="61">
        <v>479724.28</v>
      </c>
      <c r="G13"/>
      <c r="K13" s="5" t="s">
        <v>459</v>
      </c>
      <c r="L13" s="61">
        <v>3</v>
      </c>
      <c r="M13" s="4">
        <v>0.37721986500543497</v>
      </c>
      <c r="N13" s="61">
        <v>969994.27</v>
      </c>
      <c r="O13" s="61">
        <v>7</v>
      </c>
      <c r="P13" s="4">
        <v>0.62278013499456497</v>
      </c>
      <c r="Q13" s="61">
        <v>1601435.18</v>
      </c>
      <c r="R13" s="61">
        <v>10</v>
      </c>
      <c r="S13" s="4">
        <v>1</v>
      </c>
      <c r="T13" s="61">
        <v>2571429.4500000002</v>
      </c>
      <c r="V13" s="5" t="s">
        <v>459</v>
      </c>
      <c r="W13" s="61">
        <v>8</v>
      </c>
      <c r="X13" s="61">
        <v>2</v>
      </c>
      <c r="Y13" s="61">
        <v>10</v>
      </c>
      <c r="AC13" s="5" t="s">
        <v>459</v>
      </c>
      <c r="AD13" s="61">
        <v>73080</v>
      </c>
      <c r="AG13" s="71" t="str">
        <f t="shared" si="0"/>
        <v>MADHU/NANDYAL , 9110727784</v>
      </c>
      <c r="AH13" s="72">
        <f t="shared" si="1"/>
        <v>10</v>
      </c>
      <c r="AI13" s="72">
        <f t="shared" si="2"/>
        <v>7</v>
      </c>
      <c r="AJ13" s="72">
        <f t="shared" si="3"/>
        <v>3</v>
      </c>
      <c r="AK13" s="73">
        <f t="shared" si="4"/>
        <v>2571429.4500000002</v>
      </c>
      <c r="AL13" s="75">
        <v>0.85</v>
      </c>
      <c r="AM13" s="73">
        <f t="shared" si="9"/>
        <v>2185715.0325000002</v>
      </c>
      <c r="AN13" s="74">
        <f t="shared" si="5"/>
        <v>0.37721986500543497</v>
      </c>
      <c r="AO13" s="73">
        <f t="shared" si="6"/>
        <v>969994.27</v>
      </c>
      <c r="AP13" s="72">
        <f t="shared" si="7"/>
        <v>2</v>
      </c>
      <c r="AQ13" s="73">
        <f t="shared" si="8"/>
        <v>73080</v>
      </c>
      <c r="AT13" s="71" t="s">
        <v>179</v>
      </c>
      <c r="AU13" s="72">
        <v>1</v>
      </c>
      <c r="AV13" s="72">
        <v>1</v>
      </c>
      <c r="AW13" s="72">
        <v>0</v>
      </c>
      <c r="AX13" s="73">
        <v>94856.73</v>
      </c>
      <c r="AY13" s="75">
        <v>0.85</v>
      </c>
      <c r="AZ13" s="73">
        <v>80628.220499999996</v>
      </c>
      <c r="BA13" s="74">
        <v>0</v>
      </c>
      <c r="BB13" s="73">
        <v>0</v>
      </c>
      <c r="BC13" s="72">
        <v>0</v>
      </c>
      <c r="BD13" s="73">
        <v>0</v>
      </c>
      <c r="BF13" s="6" t="s">
        <v>52</v>
      </c>
      <c r="BG13" s="7">
        <v>0.13112034762370561</v>
      </c>
      <c r="BH13" s="7">
        <v>9.6833551214688202E-2</v>
      </c>
      <c r="BI13" s="7">
        <v>0.22795389883839381</v>
      </c>
      <c r="BJ13" s="7">
        <v>0.77204610116160632</v>
      </c>
      <c r="BK13" s="7">
        <v>1</v>
      </c>
      <c r="BL13"/>
      <c r="BM13" s="6" t="s">
        <v>52</v>
      </c>
      <c r="BN13" s="7">
        <v>5.2391700019991022E-2</v>
      </c>
      <c r="BO13" s="7">
        <v>5.5684990932819846E-2</v>
      </c>
      <c r="BP13" s="7">
        <v>0.10807669095281086</v>
      </c>
      <c r="BQ13" s="7">
        <v>0.89192330904718919</v>
      </c>
      <c r="BR13" s="7">
        <v>1</v>
      </c>
      <c r="BS13"/>
      <c r="BT13" s="5" t="s">
        <v>50</v>
      </c>
      <c r="BU13" s="61">
        <v>4</v>
      </c>
      <c r="BV13"/>
      <c r="BW13"/>
      <c r="BX13"/>
      <c r="BY13"/>
      <c r="BZ13"/>
      <c r="CA13" s="17" t="s">
        <v>1158</v>
      </c>
      <c r="CB13" s="62"/>
      <c r="CC13" s="62">
        <v>5</v>
      </c>
      <c r="CD13" s="62"/>
      <c r="CE13" s="62">
        <v>5</v>
      </c>
      <c r="CF13" s="62">
        <v>5</v>
      </c>
      <c r="CG13"/>
      <c r="CH13"/>
      <c r="CI13"/>
      <c r="CJ13"/>
      <c r="CK13"/>
      <c r="CL13"/>
      <c r="CM13"/>
      <c r="CN13"/>
      <c r="CO13"/>
      <c r="CP13"/>
      <c r="CQ13"/>
      <c r="CR13"/>
      <c r="CS13"/>
      <c r="CT13"/>
      <c r="CU13"/>
      <c r="CV13"/>
      <c r="CW13"/>
      <c r="CX13"/>
      <c r="CY13"/>
      <c r="CZ13"/>
      <c r="DA13"/>
      <c r="DB13"/>
      <c r="DC13"/>
      <c r="DD13"/>
      <c r="DE13"/>
      <c r="DF13"/>
      <c r="DG13"/>
    </row>
    <row r="14" spans="1:191" x14ac:dyDescent="0.25">
      <c r="A14" s="5">
        <v>3</v>
      </c>
      <c r="B14" s="61"/>
      <c r="C14" s="61"/>
      <c r="D14" s="61"/>
      <c r="E14" s="61"/>
      <c r="F14" s="61"/>
      <c r="G14"/>
      <c r="K14" s="5" t="s">
        <v>122</v>
      </c>
      <c r="L14" s="61">
        <v>1</v>
      </c>
      <c r="M14" s="4">
        <v>5.0734930388037017E-2</v>
      </c>
      <c r="N14" s="61">
        <v>89072.639999999999</v>
      </c>
      <c r="O14" s="61">
        <v>8</v>
      </c>
      <c r="P14" s="4">
        <v>0.949265069611963</v>
      </c>
      <c r="Q14" s="61">
        <v>1666574.5899999999</v>
      </c>
      <c r="R14" s="61">
        <v>9</v>
      </c>
      <c r="S14" s="4">
        <v>1</v>
      </c>
      <c r="T14" s="61">
        <v>1755647.2299999997</v>
      </c>
      <c r="V14" s="5" t="s">
        <v>122</v>
      </c>
      <c r="W14" s="61">
        <v>4</v>
      </c>
      <c r="X14" s="61">
        <v>5</v>
      </c>
      <c r="Y14" s="61">
        <v>9</v>
      </c>
      <c r="AC14" s="5" t="s">
        <v>122</v>
      </c>
      <c r="AD14" s="61">
        <v>6200</v>
      </c>
      <c r="AG14" s="71" t="str">
        <f t="shared" si="0"/>
        <v>MAHESH/NIZAMABAD , 9177861515</v>
      </c>
      <c r="AH14" s="72">
        <f t="shared" si="1"/>
        <v>9</v>
      </c>
      <c r="AI14" s="72">
        <f t="shared" si="2"/>
        <v>8</v>
      </c>
      <c r="AJ14" s="72">
        <f t="shared" si="3"/>
        <v>1</v>
      </c>
      <c r="AK14" s="73">
        <f t="shared" si="4"/>
        <v>1755647.2299999997</v>
      </c>
      <c r="AL14" s="75">
        <v>0.85</v>
      </c>
      <c r="AM14" s="73">
        <f t="shared" si="9"/>
        <v>1492300.1454999996</v>
      </c>
      <c r="AN14" s="74">
        <f t="shared" si="5"/>
        <v>5.0734930388037017E-2</v>
      </c>
      <c r="AO14" s="73">
        <f t="shared" si="6"/>
        <v>89072.639999999999</v>
      </c>
      <c r="AP14" s="72">
        <f t="shared" si="7"/>
        <v>5</v>
      </c>
      <c r="AQ14" s="73">
        <f t="shared" si="8"/>
        <v>6200</v>
      </c>
      <c r="AT14" s="71" t="s">
        <v>94</v>
      </c>
      <c r="AU14" s="72">
        <v>1</v>
      </c>
      <c r="AV14" s="72">
        <v>1</v>
      </c>
      <c r="AW14" s="72">
        <v>0</v>
      </c>
      <c r="AX14" s="73">
        <v>160769.9</v>
      </c>
      <c r="AY14" s="75">
        <v>0.85</v>
      </c>
      <c r="AZ14" s="73">
        <v>136654.41499999998</v>
      </c>
      <c r="BA14" s="74">
        <v>0</v>
      </c>
      <c r="BB14" s="73">
        <v>0</v>
      </c>
      <c r="BC14" s="72">
        <v>0</v>
      </c>
      <c r="BD14" s="73">
        <v>0</v>
      </c>
      <c r="BF14" s="2" t="s">
        <v>57</v>
      </c>
      <c r="BG14" s="61">
        <v>329144.84999999998</v>
      </c>
      <c r="BH14" s="61">
        <v>243076.41999999998</v>
      </c>
      <c r="BI14" s="61">
        <v>572221.27</v>
      </c>
      <c r="BJ14" s="61">
        <v>1938028.71</v>
      </c>
      <c r="BK14" s="61">
        <v>2510249.9799999995</v>
      </c>
      <c r="BL14"/>
      <c r="BM14" s="2" t="s">
        <v>57</v>
      </c>
      <c r="BN14" s="61">
        <v>892936.28999999992</v>
      </c>
      <c r="BO14" s="61">
        <v>949065.39</v>
      </c>
      <c r="BP14" s="61">
        <v>1842001.68</v>
      </c>
      <c r="BQ14" s="61">
        <v>15201466.839999992</v>
      </c>
      <c r="BR14" s="61">
        <v>17043468.519999992</v>
      </c>
      <c r="BS14"/>
      <c r="BT14" s="5" t="s">
        <v>99</v>
      </c>
      <c r="BU14" s="61">
        <v>10</v>
      </c>
      <c r="BV14"/>
      <c r="BW14"/>
      <c r="BX14"/>
      <c r="BY14"/>
      <c r="BZ14"/>
      <c r="CA14" s="17" t="s">
        <v>76</v>
      </c>
      <c r="CB14" s="62">
        <v>3</v>
      </c>
      <c r="CC14" s="62"/>
      <c r="CD14" s="62"/>
      <c r="CE14" s="62"/>
      <c r="CF14" s="62">
        <v>3</v>
      </c>
      <c r="CG14"/>
      <c r="CH14"/>
      <c r="CI14"/>
      <c r="CJ14"/>
      <c r="CK14"/>
      <c r="CL14"/>
      <c r="CM14"/>
      <c r="CN14"/>
      <c r="CO14"/>
      <c r="CP14"/>
      <c r="CQ14"/>
      <c r="CR14"/>
      <c r="CS14"/>
      <c r="CT14"/>
      <c r="CU14"/>
      <c r="CV14"/>
      <c r="CW14"/>
      <c r="CX14"/>
      <c r="CY14"/>
      <c r="CZ14"/>
      <c r="DA14"/>
      <c r="DB14"/>
      <c r="DC14"/>
      <c r="DD14"/>
      <c r="DE14"/>
      <c r="DF14"/>
      <c r="DG14"/>
    </row>
    <row r="15" spans="1:191" x14ac:dyDescent="0.25">
      <c r="A15" s="2" t="s">
        <v>191</v>
      </c>
      <c r="B15" s="61">
        <v>1</v>
      </c>
      <c r="C15" s="61">
        <v>1</v>
      </c>
      <c r="D15" s="61">
        <v>2</v>
      </c>
      <c r="E15" s="61">
        <v>1</v>
      </c>
      <c r="F15" s="61">
        <v>3</v>
      </c>
      <c r="G15"/>
      <c r="K15" s="5" t="s">
        <v>2079</v>
      </c>
      <c r="L15" s="61"/>
      <c r="M15" s="4">
        <v>0</v>
      </c>
      <c r="N15" s="61"/>
      <c r="O15" s="61">
        <v>1</v>
      </c>
      <c r="P15" s="4">
        <v>1</v>
      </c>
      <c r="Q15" s="61">
        <v>195363.56</v>
      </c>
      <c r="R15" s="61">
        <v>1</v>
      </c>
      <c r="S15" s="4">
        <v>1</v>
      </c>
      <c r="T15" s="61">
        <v>195363.56</v>
      </c>
      <c r="V15" s="5" t="s">
        <v>2079</v>
      </c>
      <c r="W15" s="61">
        <v>1</v>
      </c>
      <c r="X15" s="61"/>
      <c r="Y15" s="61">
        <v>1</v>
      </c>
      <c r="AC15" s="5" t="s">
        <v>2079</v>
      </c>
      <c r="AD15" s="61">
        <v>7600</v>
      </c>
      <c r="AG15" s="71" t="str">
        <f t="shared" si="0"/>
        <v>NAGARAJU/GTR , 6281603130</v>
      </c>
      <c r="AH15" s="72">
        <f t="shared" si="1"/>
        <v>1</v>
      </c>
      <c r="AI15" s="72">
        <f t="shared" si="2"/>
        <v>1</v>
      </c>
      <c r="AJ15" s="72">
        <f t="shared" si="3"/>
        <v>0</v>
      </c>
      <c r="AK15" s="73">
        <f t="shared" si="4"/>
        <v>195363.56</v>
      </c>
      <c r="AL15" s="75">
        <v>0.85</v>
      </c>
      <c r="AM15" s="73">
        <f t="shared" si="9"/>
        <v>166059.02599999998</v>
      </c>
      <c r="AN15" s="74">
        <f t="shared" si="5"/>
        <v>0</v>
      </c>
      <c r="AO15" s="73">
        <f t="shared" si="6"/>
        <v>0</v>
      </c>
      <c r="AP15" s="72">
        <f t="shared" si="7"/>
        <v>0</v>
      </c>
      <c r="AQ15" s="73">
        <f t="shared" si="8"/>
        <v>7600</v>
      </c>
      <c r="AT15" s="71" t="s">
        <v>259</v>
      </c>
      <c r="AU15" s="72">
        <v>1</v>
      </c>
      <c r="AV15" s="72">
        <v>1</v>
      </c>
      <c r="AW15" s="72">
        <v>0</v>
      </c>
      <c r="AX15" s="73">
        <v>279847.65999999997</v>
      </c>
      <c r="AY15" s="75">
        <v>0.85</v>
      </c>
      <c r="AZ15" s="73">
        <v>237870.51099999997</v>
      </c>
      <c r="BA15" s="74">
        <v>0</v>
      </c>
      <c r="BB15" s="73">
        <v>0</v>
      </c>
      <c r="BC15" s="72">
        <v>1</v>
      </c>
      <c r="BD15" s="73">
        <v>0</v>
      </c>
      <c r="BF15" s="2" t="s">
        <v>59</v>
      </c>
      <c r="BG15" s="61">
        <v>70640</v>
      </c>
      <c r="BH15" s="61">
        <v>17100</v>
      </c>
      <c r="BI15" s="61">
        <v>87740</v>
      </c>
      <c r="BJ15" s="61">
        <v>7600</v>
      </c>
      <c r="BK15" s="61">
        <v>95340</v>
      </c>
      <c r="BL15"/>
      <c r="BM15" s="2" t="s">
        <v>59</v>
      </c>
      <c r="BN15" s="61">
        <v>239512.95</v>
      </c>
      <c r="BO15" s="61">
        <v>70042.94</v>
      </c>
      <c r="BP15" s="61">
        <v>309555.89</v>
      </c>
      <c r="BQ15" s="61">
        <v>7600</v>
      </c>
      <c r="BR15" s="61">
        <v>317155.89</v>
      </c>
      <c r="BS15"/>
      <c r="BT15" s="5" t="s">
        <v>108</v>
      </c>
      <c r="BU15" s="61">
        <v>3</v>
      </c>
      <c r="BV15"/>
      <c r="BW15"/>
      <c r="BX15"/>
      <c r="BY15"/>
      <c r="BZ15"/>
      <c r="CA15" s="17" t="s">
        <v>459</v>
      </c>
      <c r="CB15" s="62">
        <v>3</v>
      </c>
      <c r="CC15" s="62">
        <v>2</v>
      </c>
      <c r="CD15" s="62">
        <v>5</v>
      </c>
      <c r="CE15" s="62">
        <v>7</v>
      </c>
      <c r="CF15" s="62">
        <v>10</v>
      </c>
      <c r="CG15"/>
      <c r="CH15"/>
      <c r="CI15"/>
      <c r="CJ15"/>
      <c r="CK15"/>
      <c r="CL15"/>
      <c r="CM15"/>
      <c r="CN15"/>
      <c r="CO15"/>
      <c r="CP15"/>
      <c r="CQ15"/>
      <c r="CR15"/>
      <c r="CS15"/>
      <c r="CT15"/>
      <c r="CU15"/>
      <c r="CV15"/>
      <c r="CW15"/>
      <c r="CX15"/>
      <c r="CY15"/>
      <c r="CZ15"/>
      <c r="DA15"/>
      <c r="DB15"/>
      <c r="DC15"/>
      <c r="DD15"/>
      <c r="DE15"/>
      <c r="DF15"/>
      <c r="DG15"/>
    </row>
    <row r="16" spans="1:191" x14ac:dyDescent="0.25">
      <c r="A16" s="42" t="s">
        <v>228</v>
      </c>
      <c r="B16" s="43">
        <v>0.14113502438231015</v>
      </c>
      <c r="C16" s="43">
        <v>0.59739748608014931</v>
      </c>
      <c r="D16" s="43">
        <v>0.73853251046245949</v>
      </c>
      <c r="E16" s="43">
        <v>0.26146748953754045</v>
      </c>
      <c r="F16" s="43">
        <v>1</v>
      </c>
      <c r="G16"/>
      <c r="K16" s="5" t="s">
        <v>872</v>
      </c>
      <c r="L16" s="61">
        <v>5</v>
      </c>
      <c r="M16" s="4">
        <v>0.27440778500880691</v>
      </c>
      <c r="N16" s="61">
        <v>533300.37</v>
      </c>
      <c r="O16" s="61">
        <v>4</v>
      </c>
      <c r="P16" s="4">
        <v>0.72559221499119309</v>
      </c>
      <c r="Q16" s="61">
        <v>1410158.9600000002</v>
      </c>
      <c r="R16" s="61">
        <v>9</v>
      </c>
      <c r="S16" s="4">
        <v>1</v>
      </c>
      <c r="T16" s="61">
        <v>1943459.33</v>
      </c>
      <c r="V16" s="5" t="s">
        <v>872</v>
      </c>
      <c r="W16" s="61">
        <v>9</v>
      </c>
      <c r="X16" s="61"/>
      <c r="Y16" s="61">
        <v>9</v>
      </c>
      <c r="AC16" s="5" t="s">
        <v>872</v>
      </c>
      <c r="AD16" s="61">
        <v>137924.87</v>
      </c>
      <c r="AG16" s="71" t="str">
        <f t="shared" si="0"/>
        <v>NARESH/NALGONDA , 9640034563</v>
      </c>
      <c r="AH16" s="72">
        <f t="shared" si="1"/>
        <v>9</v>
      </c>
      <c r="AI16" s="72">
        <f t="shared" si="2"/>
        <v>4</v>
      </c>
      <c r="AJ16" s="72">
        <f t="shared" si="3"/>
        <v>5</v>
      </c>
      <c r="AK16" s="73">
        <f t="shared" si="4"/>
        <v>1943459.33</v>
      </c>
      <c r="AL16" s="75">
        <v>0.85</v>
      </c>
      <c r="AM16" s="73">
        <f t="shared" si="9"/>
        <v>1651940.4305</v>
      </c>
      <c r="AN16" s="74">
        <f t="shared" si="5"/>
        <v>0.27440778500880691</v>
      </c>
      <c r="AO16" s="73">
        <f t="shared" si="6"/>
        <v>533300.37</v>
      </c>
      <c r="AP16" s="72">
        <f t="shared" si="7"/>
        <v>0</v>
      </c>
      <c r="AQ16" s="73">
        <f t="shared" si="8"/>
        <v>137924.87</v>
      </c>
      <c r="AT16" s="71" t="s">
        <v>75</v>
      </c>
      <c r="AU16" s="72">
        <v>1</v>
      </c>
      <c r="AV16" s="72">
        <v>1</v>
      </c>
      <c r="AW16" s="72">
        <v>0</v>
      </c>
      <c r="AX16" s="73">
        <v>22130.53</v>
      </c>
      <c r="AY16" s="75">
        <v>0.85</v>
      </c>
      <c r="AZ16" s="73">
        <v>18810.950499999999</v>
      </c>
      <c r="BA16" s="74">
        <v>0</v>
      </c>
      <c r="BB16" s="73">
        <v>0</v>
      </c>
      <c r="BC16" s="72">
        <v>1</v>
      </c>
      <c r="BD16" s="73">
        <v>0</v>
      </c>
      <c r="BF16" s="5" t="s">
        <v>93</v>
      </c>
      <c r="BG16" s="61"/>
      <c r="BH16" s="61"/>
      <c r="BI16" s="61"/>
      <c r="BJ16" s="61"/>
      <c r="BK16" s="61"/>
      <c r="BL16"/>
      <c r="BM16" s="5" t="s">
        <v>645</v>
      </c>
      <c r="BN16" s="61"/>
      <c r="BO16" s="61"/>
      <c r="BP16" s="61"/>
      <c r="BQ16" s="61"/>
      <c r="BR16" s="61"/>
      <c r="BS16"/>
      <c r="BT16" s="5" t="s">
        <v>1160</v>
      </c>
      <c r="BU16" s="61">
        <v>6</v>
      </c>
      <c r="BV16"/>
      <c r="BW16"/>
      <c r="BX16"/>
      <c r="BY16"/>
      <c r="BZ16"/>
      <c r="CA16" s="17" t="s">
        <v>122</v>
      </c>
      <c r="CB16" s="62">
        <v>1</v>
      </c>
      <c r="CC16" s="62">
        <v>5</v>
      </c>
      <c r="CD16" s="62">
        <v>3</v>
      </c>
      <c r="CE16" s="62">
        <v>8</v>
      </c>
      <c r="CF16" s="62">
        <v>9</v>
      </c>
      <c r="CG16"/>
      <c r="CH16"/>
      <c r="CI16"/>
      <c r="CJ16"/>
      <c r="CK16"/>
      <c r="CL16"/>
      <c r="CM16"/>
      <c r="CN16"/>
      <c r="CO16"/>
      <c r="CP16"/>
      <c r="CQ16"/>
      <c r="CR16"/>
      <c r="CS16"/>
      <c r="CT16"/>
      <c r="CU16"/>
      <c r="CV16"/>
      <c r="CW16"/>
      <c r="CX16"/>
      <c r="CY16"/>
      <c r="CZ16"/>
      <c r="DA16"/>
      <c r="DB16"/>
      <c r="DC16"/>
      <c r="DD16"/>
      <c r="DE16"/>
      <c r="DF16"/>
      <c r="DG16"/>
    </row>
    <row r="17" spans="1:111" x14ac:dyDescent="0.25">
      <c r="A17" s="2" t="s">
        <v>227</v>
      </c>
      <c r="B17" s="61">
        <v>55884.29</v>
      </c>
      <c r="C17" s="61">
        <v>236547.48</v>
      </c>
      <c r="D17" s="61">
        <v>292431.77</v>
      </c>
      <c r="E17" s="61">
        <v>103531.53</v>
      </c>
      <c r="F17" s="61">
        <v>395963.30000000005</v>
      </c>
      <c r="G17"/>
      <c r="K17" s="5" t="s">
        <v>1915</v>
      </c>
      <c r="L17" s="61">
        <v>1</v>
      </c>
      <c r="M17" s="4">
        <v>1</v>
      </c>
      <c r="N17" s="61">
        <v>680096.32</v>
      </c>
      <c r="O17" s="61"/>
      <c r="P17" s="4">
        <v>0</v>
      </c>
      <c r="Q17" s="61"/>
      <c r="R17" s="61">
        <v>1</v>
      </c>
      <c r="S17" s="4">
        <v>1</v>
      </c>
      <c r="T17" s="61">
        <v>680096.32</v>
      </c>
      <c r="V17" s="5" t="s">
        <v>1915</v>
      </c>
      <c r="W17" s="61">
        <v>1</v>
      </c>
      <c r="X17" s="61"/>
      <c r="Y17" s="61">
        <v>1</v>
      </c>
      <c r="AC17" s="5" t="s">
        <v>1915</v>
      </c>
      <c r="AD17" s="61">
        <v>199000</v>
      </c>
      <c r="AG17" s="71" t="str">
        <f t="shared" si="0"/>
        <v>NO FOS</v>
      </c>
      <c r="AH17" s="72">
        <f t="shared" si="1"/>
        <v>1</v>
      </c>
      <c r="AI17" s="72">
        <f t="shared" si="2"/>
        <v>0</v>
      </c>
      <c r="AJ17" s="72">
        <f t="shared" si="3"/>
        <v>1</v>
      </c>
      <c r="AK17" s="73">
        <f t="shared" si="4"/>
        <v>680096.32</v>
      </c>
      <c r="AL17" s="75">
        <v>0.85</v>
      </c>
      <c r="AM17" s="73">
        <f t="shared" si="9"/>
        <v>578081.87199999997</v>
      </c>
      <c r="AN17" s="74">
        <f t="shared" si="5"/>
        <v>1</v>
      </c>
      <c r="AO17" s="73">
        <f t="shared" si="6"/>
        <v>680096.32</v>
      </c>
      <c r="AP17" s="72">
        <f t="shared" si="7"/>
        <v>0</v>
      </c>
      <c r="AQ17" s="73">
        <f t="shared" si="8"/>
        <v>199000</v>
      </c>
      <c r="AT17" s="71" t="s">
        <v>262</v>
      </c>
      <c r="AU17" s="72">
        <v>1</v>
      </c>
      <c r="AV17" s="72">
        <v>1</v>
      </c>
      <c r="AW17" s="72">
        <v>0</v>
      </c>
      <c r="AX17" s="73">
        <v>66676.210000000006</v>
      </c>
      <c r="AY17" s="75">
        <v>0.85</v>
      </c>
      <c r="AZ17" s="73">
        <v>56674.7785</v>
      </c>
      <c r="BA17" s="74">
        <v>0</v>
      </c>
      <c r="BB17" s="73">
        <v>0</v>
      </c>
      <c r="BC17" s="72">
        <v>1</v>
      </c>
      <c r="BD17" s="73">
        <v>0</v>
      </c>
      <c r="BF17" s="2" t="s">
        <v>55</v>
      </c>
      <c r="BG17" s="61">
        <v>5</v>
      </c>
      <c r="BH17" s="61">
        <v>5</v>
      </c>
      <c r="BI17" s="61">
        <v>10</v>
      </c>
      <c r="BJ17" s="61">
        <v>50</v>
      </c>
      <c r="BK17" s="61">
        <v>60</v>
      </c>
      <c r="BL17"/>
      <c r="BM17" s="2" t="s">
        <v>55</v>
      </c>
      <c r="BN17" s="61">
        <v>12</v>
      </c>
      <c r="BO17" s="61">
        <v>5</v>
      </c>
      <c r="BP17" s="61">
        <v>17</v>
      </c>
      <c r="BQ17" s="61">
        <v>45</v>
      </c>
      <c r="BR17" s="61">
        <v>62</v>
      </c>
      <c r="BS17"/>
      <c r="BT17" s="5" t="s">
        <v>1157</v>
      </c>
      <c r="BU17" s="61">
        <v>1</v>
      </c>
      <c r="BV17"/>
      <c r="BW17"/>
      <c r="BX17"/>
      <c r="BY17"/>
      <c r="BZ17"/>
      <c r="CA17" s="17" t="s">
        <v>2079</v>
      </c>
      <c r="CB17" s="62"/>
      <c r="CC17" s="62"/>
      <c r="CD17" s="62">
        <v>1</v>
      </c>
      <c r="CE17" s="62">
        <v>1</v>
      </c>
      <c r="CF17" s="62">
        <v>1</v>
      </c>
      <c r="CG17"/>
      <c r="CH17"/>
      <c r="CI17"/>
      <c r="CJ17"/>
      <c r="CK17"/>
      <c r="CL17"/>
      <c r="CM17"/>
      <c r="CN17"/>
      <c r="CO17"/>
      <c r="CP17"/>
      <c r="CQ17"/>
      <c r="CR17"/>
      <c r="CS17"/>
      <c r="CT17"/>
      <c r="CU17"/>
      <c r="CV17"/>
      <c r="CW17"/>
      <c r="CX17"/>
      <c r="CY17"/>
      <c r="CZ17"/>
      <c r="DA17"/>
      <c r="DB17"/>
      <c r="DC17"/>
      <c r="DD17"/>
      <c r="DE17"/>
      <c r="DF17"/>
      <c r="DG17"/>
    </row>
    <row r="18" spans="1:111" x14ac:dyDescent="0.25">
      <c r="A18" s="2" t="s">
        <v>46</v>
      </c>
      <c r="B18" s="61">
        <v>5080</v>
      </c>
      <c r="C18" s="61">
        <v>18392.939999999999</v>
      </c>
      <c r="D18" s="61">
        <v>23472.94</v>
      </c>
      <c r="E18" s="61">
        <v>184.57</v>
      </c>
      <c r="F18" s="61">
        <v>23657.51</v>
      </c>
      <c r="G18"/>
      <c r="K18" s="5" t="s">
        <v>626</v>
      </c>
      <c r="L18" s="61">
        <v>1</v>
      </c>
      <c r="M18" s="4">
        <v>0.17934052371636033</v>
      </c>
      <c r="N18" s="61">
        <v>613940.44999999995</v>
      </c>
      <c r="O18" s="61">
        <v>4</v>
      </c>
      <c r="P18" s="4">
        <v>0.82065947628363956</v>
      </c>
      <c r="Q18" s="61">
        <v>2809382.05</v>
      </c>
      <c r="R18" s="61">
        <v>5</v>
      </c>
      <c r="S18" s="4">
        <v>1</v>
      </c>
      <c r="T18" s="61">
        <v>3423322.5</v>
      </c>
      <c r="V18" s="5" t="s">
        <v>626</v>
      </c>
      <c r="W18" s="61">
        <v>1</v>
      </c>
      <c r="X18" s="61">
        <v>4</v>
      </c>
      <c r="Y18" s="61">
        <v>5</v>
      </c>
      <c r="AC18" s="5" t="s">
        <v>626</v>
      </c>
      <c r="AD18" s="61">
        <v>103200</v>
      </c>
      <c r="AG18" s="71" t="str">
        <f t="shared" si="0"/>
        <v>ONGOLE</v>
      </c>
      <c r="AH18" s="72">
        <f t="shared" si="1"/>
        <v>5</v>
      </c>
      <c r="AI18" s="72">
        <f t="shared" si="2"/>
        <v>4</v>
      </c>
      <c r="AJ18" s="72">
        <f t="shared" si="3"/>
        <v>1</v>
      </c>
      <c r="AK18" s="73">
        <f t="shared" si="4"/>
        <v>3423322.5</v>
      </c>
      <c r="AL18" s="75">
        <v>0.85</v>
      </c>
      <c r="AM18" s="73">
        <f t="shared" si="9"/>
        <v>2909824.125</v>
      </c>
      <c r="AN18" s="74">
        <f t="shared" si="5"/>
        <v>0.17934052371636033</v>
      </c>
      <c r="AO18" s="73">
        <f t="shared" si="6"/>
        <v>613940.44999999995</v>
      </c>
      <c r="AP18" s="72">
        <f t="shared" si="7"/>
        <v>4</v>
      </c>
      <c r="AQ18" s="73">
        <f t="shared" si="8"/>
        <v>103200</v>
      </c>
      <c r="AT18" s="76" t="s">
        <v>45</v>
      </c>
      <c r="AU18" s="77">
        <v>15</v>
      </c>
      <c r="AV18" s="77">
        <v>14</v>
      </c>
      <c r="AW18" s="77">
        <v>1</v>
      </c>
      <c r="AX18" s="78">
        <v>4365079.8899999997</v>
      </c>
      <c r="AY18" s="80">
        <v>0.85</v>
      </c>
      <c r="AZ18" s="78">
        <v>3710317.9064999996</v>
      </c>
      <c r="BA18" s="79">
        <v>8.4478751659227951E-3</v>
      </c>
      <c r="BB18" s="78">
        <v>36875.65</v>
      </c>
      <c r="BC18" s="77">
        <v>11</v>
      </c>
      <c r="BD18" s="78">
        <v>0</v>
      </c>
      <c r="BF18" s="6" t="s">
        <v>52</v>
      </c>
      <c r="BG18" s="7">
        <v>8.0483214771120581E-2</v>
      </c>
      <c r="BH18" s="7">
        <v>0.10164024460021606</v>
      </c>
      <c r="BI18" s="7">
        <v>0.18212345937133667</v>
      </c>
      <c r="BJ18" s="7">
        <v>0.81787654062866322</v>
      </c>
      <c r="BK18" s="7">
        <v>1</v>
      </c>
      <c r="BL18"/>
      <c r="BM18" s="6" t="s">
        <v>52</v>
      </c>
      <c r="BN18" s="7">
        <v>0.21714020744386908</v>
      </c>
      <c r="BO18" s="7">
        <v>6.5129556503124381E-2</v>
      </c>
      <c r="BP18" s="7">
        <v>0.28226976394699343</v>
      </c>
      <c r="BQ18" s="7">
        <v>0.71773023605300645</v>
      </c>
      <c r="BR18" s="7">
        <v>1</v>
      </c>
      <c r="BS18"/>
      <c r="BT18" s="5" t="s">
        <v>113</v>
      </c>
      <c r="BU18" s="61">
        <v>4</v>
      </c>
      <c r="BV18"/>
      <c r="BW18"/>
      <c r="BX18"/>
      <c r="BY18"/>
      <c r="BZ18"/>
      <c r="CA18" s="17" t="s">
        <v>872</v>
      </c>
      <c r="CB18" s="62">
        <v>5</v>
      </c>
      <c r="CC18" s="62"/>
      <c r="CD18" s="62">
        <v>4</v>
      </c>
      <c r="CE18" s="62">
        <v>4</v>
      </c>
      <c r="CF18" s="62">
        <v>9</v>
      </c>
      <c r="CG18"/>
      <c r="CH18"/>
      <c r="CI18"/>
      <c r="CJ18"/>
      <c r="CK18"/>
      <c r="CL18"/>
      <c r="CM18"/>
      <c r="CN18"/>
      <c r="CO18"/>
      <c r="CP18"/>
      <c r="CQ18"/>
      <c r="CR18"/>
      <c r="CS18"/>
      <c r="CT18"/>
      <c r="CU18"/>
      <c r="CV18"/>
      <c r="CW18"/>
      <c r="CX18"/>
      <c r="CY18"/>
      <c r="CZ18"/>
      <c r="DA18"/>
      <c r="DB18"/>
      <c r="DC18"/>
      <c r="DD18"/>
      <c r="DE18"/>
      <c r="DF18"/>
      <c r="DG18"/>
    </row>
    <row r="19" spans="1:111" x14ac:dyDescent="0.25">
      <c r="A19" s="5">
        <v>5</v>
      </c>
      <c r="B19" s="61"/>
      <c r="C19" s="61"/>
      <c r="D19" s="61"/>
      <c r="E19" s="61"/>
      <c r="F19" s="61"/>
      <c r="G19"/>
      <c r="K19" s="5" t="s">
        <v>1918</v>
      </c>
      <c r="L19" s="61">
        <v>1</v>
      </c>
      <c r="M19" s="4">
        <v>0.31948752299653643</v>
      </c>
      <c r="N19" s="61">
        <v>42897.66</v>
      </c>
      <c r="O19" s="61">
        <v>1</v>
      </c>
      <c r="P19" s="4">
        <v>0.68051247700346362</v>
      </c>
      <c r="Q19" s="61">
        <v>91372.56</v>
      </c>
      <c r="R19" s="61">
        <v>2</v>
      </c>
      <c r="S19" s="4">
        <v>1</v>
      </c>
      <c r="T19" s="61">
        <v>134270.22</v>
      </c>
      <c r="V19" s="5" t="s">
        <v>1918</v>
      </c>
      <c r="W19" s="61">
        <v>1</v>
      </c>
      <c r="X19" s="61">
        <v>1</v>
      </c>
      <c r="Y19" s="61">
        <v>2</v>
      </c>
      <c r="AC19" s="5" t="s">
        <v>1918</v>
      </c>
      <c r="AD19" s="61">
        <v>8280</v>
      </c>
      <c r="AG19" s="71" t="str">
        <f t="shared" si="0"/>
        <v>PRASHANTH/PEDDAPALLI , 9182646612</v>
      </c>
      <c r="AH19" s="72">
        <f t="shared" si="1"/>
        <v>2</v>
      </c>
      <c r="AI19" s="72">
        <f t="shared" si="2"/>
        <v>1</v>
      </c>
      <c r="AJ19" s="72">
        <f t="shared" si="3"/>
        <v>1</v>
      </c>
      <c r="AK19" s="73">
        <f t="shared" si="4"/>
        <v>134270.22</v>
      </c>
      <c r="AL19" s="75">
        <v>0.85</v>
      </c>
      <c r="AM19" s="73">
        <f t="shared" si="9"/>
        <v>114129.68699999999</v>
      </c>
      <c r="AN19" s="74">
        <f t="shared" si="5"/>
        <v>0.31948752299653643</v>
      </c>
      <c r="AO19" s="73">
        <f t="shared" si="6"/>
        <v>42897.66</v>
      </c>
      <c r="AP19" s="72">
        <f t="shared" si="7"/>
        <v>1</v>
      </c>
      <c r="AQ19" s="73">
        <f t="shared" si="8"/>
        <v>8280</v>
      </c>
      <c r="AT19"/>
      <c r="AU19"/>
      <c r="AV19"/>
      <c r="AW19"/>
      <c r="AX19"/>
      <c r="AY19"/>
      <c r="AZ19"/>
      <c r="BA19"/>
      <c r="BB19"/>
      <c r="BC19"/>
      <c r="BD19"/>
      <c r="BF19" s="2" t="s">
        <v>57</v>
      </c>
      <c r="BG19" s="61">
        <v>1092622.1800000002</v>
      </c>
      <c r="BH19" s="61">
        <v>1379845.3</v>
      </c>
      <c r="BI19" s="61">
        <v>2472467.4800000004</v>
      </c>
      <c r="BJ19" s="61">
        <v>11103309.570000002</v>
      </c>
      <c r="BK19" s="61">
        <v>13575777.050000004</v>
      </c>
      <c r="BL19"/>
      <c r="BM19" s="2" t="s">
        <v>57</v>
      </c>
      <c r="BN19" s="61">
        <v>3172770.63</v>
      </c>
      <c r="BO19" s="61">
        <v>951648.46</v>
      </c>
      <c r="BP19" s="61">
        <v>4124419.09</v>
      </c>
      <c r="BQ19" s="61">
        <v>10487202.900000002</v>
      </c>
      <c r="BR19" s="61">
        <v>14611621.990000004</v>
      </c>
      <c r="BS19"/>
      <c r="BT19" s="5" t="s">
        <v>51</v>
      </c>
      <c r="BU19" s="61">
        <v>21</v>
      </c>
      <c r="BV19"/>
      <c r="BW19"/>
      <c r="BX19"/>
      <c r="BY19"/>
      <c r="BZ19"/>
      <c r="CA19" s="17" t="s">
        <v>1915</v>
      </c>
      <c r="CB19" s="62">
        <v>1</v>
      </c>
      <c r="CC19" s="62"/>
      <c r="CD19" s="62"/>
      <c r="CE19" s="62"/>
      <c r="CF19" s="62">
        <v>1</v>
      </c>
      <c r="CG19"/>
      <c r="CH19"/>
      <c r="CI19"/>
      <c r="CJ19"/>
      <c r="CK19"/>
      <c r="CL19"/>
      <c r="CM19"/>
      <c r="CN19"/>
      <c r="CO19"/>
      <c r="CP19"/>
      <c r="CQ19"/>
      <c r="CR19"/>
      <c r="CS19"/>
      <c r="CT19"/>
      <c r="CU19"/>
      <c r="CV19"/>
      <c r="CW19"/>
      <c r="CX19"/>
      <c r="CY19"/>
      <c r="CZ19"/>
      <c r="DA19"/>
      <c r="DB19"/>
      <c r="DC19"/>
      <c r="DD19"/>
      <c r="DE19"/>
      <c r="DF19"/>
      <c r="DG19"/>
    </row>
    <row r="20" spans="1:111" x14ac:dyDescent="0.25">
      <c r="A20" s="2" t="s">
        <v>191</v>
      </c>
      <c r="B20" s="61">
        <v>1</v>
      </c>
      <c r="C20" s="61">
        <v>2</v>
      </c>
      <c r="D20" s="61">
        <v>3</v>
      </c>
      <c r="E20" s="61">
        <v>1</v>
      </c>
      <c r="F20" s="61">
        <v>4</v>
      </c>
      <c r="G20"/>
      <c r="K20" s="5" t="s">
        <v>50</v>
      </c>
      <c r="L20" s="61">
        <v>2</v>
      </c>
      <c r="M20" s="4">
        <v>0.11817858895171812</v>
      </c>
      <c r="N20" s="61">
        <v>84903.93</v>
      </c>
      <c r="O20" s="61">
        <v>2</v>
      </c>
      <c r="P20" s="4">
        <v>0.88182141104828193</v>
      </c>
      <c r="Q20" s="61">
        <v>633533.57000000007</v>
      </c>
      <c r="R20" s="61">
        <v>4</v>
      </c>
      <c r="S20" s="4">
        <v>1</v>
      </c>
      <c r="T20" s="61">
        <v>718437.5</v>
      </c>
      <c r="V20" s="5" t="s">
        <v>50</v>
      </c>
      <c r="W20" s="61">
        <v>2</v>
      </c>
      <c r="X20" s="61">
        <v>2</v>
      </c>
      <c r="Y20" s="61">
        <v>4</v>
      </c>
      <c r="AC20" s="5" t="s">
        <v>50</v>
      </c>
      <c r="AD20" s="61">
        <v>16410</v>
      </c>
      <c r="AG20" s="71" t="str">
        <f t="shared" si="0"/>
        <v>PRASHANTH/TS , 9652386391</v>
      </c>
      <c r="AH20" s="72">
        <f t="shared" si="1"/>
        <v>4</v>
      </c>
      <c r="AI20" s="72">
        <f t="shared" si="2"/>
        <v>2</v>
      </c>
      <c r="AJ20" s="72">
        <f t="shared" si="3"/>
        <v>2</v>
      </c>
      <c r="AK20" s="73">
        <f t="shared" si="4"/>
        <v>718437.5</v>
      </c>
      <c r="AL20" s="75">
        <v>0.85</v>
      </c>
      <c r="AM20" s="73">
        <f t="shared" si="9"/>
        <v>610671.875</v>
      </c>
      <c r="AN20" s="74">
        <f t="shared" si="5"/>
        <v>0.11817858895171812</v>
      </c>
      <c r="AO20" s="73">
        <f t="shared" si="6"/>
        <v>84903.93</v>
      </c>
      <c r="AP20" s="72">
        <f t="shared" si="7"/>
        <v>2</v>
      </c>
      <c r="AQ20" s="73">
        <f t="shared" si="8"/>
        <v>16410</v>
      </c>
      <c r="BF20" s="2" t="s">
        <v>59</v>
      </c>
      <c r="BG20" s="61">
        <v>393850</v>
      </c>
      <c r="BH20" s="61">
        <v>96634.13</v>
      </c>
      <c r="BI20" s="61">
        <v>490484.13</v>
      </c>
      <c r="BJ20" s="61">
        <v>23500</v>
      </c>
      <c r="BK20" s="61">
        <v>513984.13</v>
      </c>
      <c r="BL20"/>
      <c r="BM20" s="2" t="s">
        <v>59</v>
      </c>
      <c r="BN20" s="61">
        <v>928586.63</v>
      </c>
      <c r="BO20" s="61">
        <v>84700</v>
      </c>
      <c r="BP20" s="61">
        <v>1013286.63</v>
      </c>
      <c r="BQ20" s="61">
        <v>30184.57</v>
      </c>
      <c r="BR20" s="61">
        <v>1043471.2</v>
      </c>
      <c r="BS20"/>
      <c r="BT20" s="5" t="s">
        <v>102</v>
      </c>
      <c r="BU20" s="61">
        <v>7</v>
      </c>
      <c r="BV20"/>
      <c r="BW20"/>
      <c r="BX20"/>
      <c r="BY20"/>
      <c r="BZ20"/>
      <c r="CA20" s="17" t="s">
        <v>626</v>
      </c>
      <c r="CB20" s="62">
        <v>1</v>
      </c>
      <c r="CC20" s="62">
        <v>4</v>
      </c>
      <c r="CD20" s="62"/>
      <c r="CE20" s="62">
        <v>4</v>
      </c>
      <c r="CF20" s="62">
        <v>5</v>
      </c>
      <c r="CG20"/>
      <c r="CH20"/>
      <c r="CI20"/>
      <c r="CJ20"/>
      <c r="CK20"/>
      <c r="CL20"/>
      <c r="CM20"/>
      <c r="CN20"/>
      <c r="CO20"/>
      <c r="CP20"/>
      <c r="CQ20"/>
      <c r="CR20"/>
      <c r="CS20"/>
      <c r="CT20"/>
      <c r="CU20"/>
      <c r="CV20"/>
      <c r="CW20"/>
      <c r="CX20"/>
      <c r="CY20"/>
      <c r="CZ20"/>
      <c r="DA20"/>
      <c r="DB20"/>
      <c r="DC20"/>
      <c r="DD20"/>
      <c r="DE20"/>
      <c r="DF20"/>
      <c r="DG20"/>
    </row>
    <row r="21" spans="1:111" x14ac:dyDescent="0.25">
      <c r="A21" s="42" t="s">
        <v>228</v>
      </c>
      <c r="B21" s="43">
        <v>3.2614493257479019E-2</v>
      </c>
      <c r="C21" s="43">
        <v>0.90140625790972118</v>
      </c>
      <c r="D21" s="43">
        <v>0.93402075116720018</v>
      </c>
      <c r="E21" s="43">
        <v>6.5979248832799681E-2</v>
      </c>
      <c r="F21" s="43">
        <v>1</v>
      </c>
      <c r="G21"/>
      <c r="K21" s="5" t="s">
        <v>99</v>
      </c>
      <c r="L21" s="61">
        <v>2</v>
      </c>
      <c r="M21" s="4">
        <v>0.16990574485280496</v>
      </c>
      <c r="N21" s="61">
        <v>240362.13</v>
      </c>
      <c r="O21" s="61">
        <v>8</v>
      </c>
      <c r="P21" s="4">
        <v>0.83009425514719515</v>
      </c>
      <c r="Q21" s="61">
        <v>1174317.1099999999</v>
      </c>
      <c r="R21" s="61">
        <v>10</v>
      </c>
      <c r="S21" s="4">
        <v>1</v>
      </c>
      <c r="T21" s="61">
        <v>1414679.2399999998</v>
      </c>
      <c r="V21" s="5" t="s">
        <v>99</v>
      </c>
      <c r="W21" s="61">
        <v>10</v>
      </c>
      <c r="X21" s="61"/>
      <c r="Y21" s="61">
        <v>10</v>
      </c>
      <c r="AC21" s="5" t="s">
        <v>99</v>
      </c>
      <c r="AD21" s="61">
        <v>10000</v>
      </c>
      <c r="AG21" s="71" t="str">
        <f t="shared" si="0"/>
        <v>PRAVEEN/ADILABAD , 8639562425</v>
      </c>
      <c r="AH21" s="72">
        <f t="shared" si="1"/>
        <v>10</v>
      </c>
      <c r="AI21" s="72">
        <f t="shared" si="2"/>
        <v>8</v>
      </c>
      <c r="AJ21" s="72">
        <f t="shared" si="3"/>
        <v>2</v>
      </c>
      <c r="AK21" s="73">
        <f t="shared" si="4"/>
        <v>1414679.2399999998</v>
      </c>
      <c r="AL21" s="75">
        <v>0.85</v>
      </c>
      <c r="AM21" s="73">
        <f t="shared" si="9"/>
        <v>1202477.3539999998</v>
      </c>
      <c r="AN21" s="74">
        <f t="shared" si="5"/>
        <v>0.16990574485280496</v>
      </c>
      <c r="AO21" s="73">
        <f t="shared" si="6"/>
        <v>240362.13</v>
      </c>
      <c r="AP21" s="72">
        <f t="shared" si="7"/>
        <v>0</v>
      </c>
      <c r="AQ21" s="73">
        <f t="shared" si="8"/>
        <v>10000</v>
      </c>
      <c r="AT21"/>
      <c r="AU21"/>
      <c r="AV21"/>
      <c r="AW21"/>
      <c r="AX21"/>
      <c r="AY21"/>
      <c r="AZ21"/>
      <c r="BA21"/>
      <c r="BB21"/>
      <c r="BC21"/>
      <c r="BD21"/>
      <c r="BF21" s="5" t="s">
        <v>443</v>
      </c>
      <c r="BG21" s="61"/>
      <c r="BH21" s="61"/>
      <c r="BI21" s="61"/>
      <c r="BJ21" s="61"/>
      <c r="BK21" s="61"/>
      <c r="BL21"/>
      <c r="BM21" s="5" t="s">
        <v>107</v>
      </c>
      <c r="BN21" s="61"/>
      <c r="BO21" s="61"/>
      <c r="BP21" s="61"/>
      <c r="BQ21" s="61"/>
      <c r="BR21" s="61"/>
      <c r="BS21"/>
      <c r="BT21" s="5" t="s">
        <v>179</v>
      </c>
      <c r="BU21" s="61">
        <v>6</v>
      </c>
      <c r="BV21"/>
      <c r="BW21"/>
      <c r="BX21"/>
      <c r="BY21"/>
      <c r="BZ21"/>
      <c r="CA21" s="17" t="s">
        <v>1918</v>
      </c>
      <c r="CB21" s="62">
        <v>1</v>
      </c>
      <c r="CC21" s="62">
        <v>1</v>
      </c>
      <c r="CD21" s="62"/>
      <c r="CE21" s="62">
        <v>1</v>
      </c>
      <c r="CF21" s="62">
        <v>2</v>
      </c>
      <c r="CG21"/>
      <c r="CH21"/>
      <c r="CI21"/>
      <c r="CJ21"/>
      <c r="CK21"/>
      <c r="CL21"/>
      <c r="CM21"/>
      <c r="CN21"/>
      <c r="CO21"/>
      <c r="CP21"/>
      <c r="CQ21"/>
      <c r="CR21"/>
      <c r="CS21"/>
      <c r="CT21"/>
      <c r="CU21"/>
      <c r="CV21"/>
      <c r="CW21"/>
      <c r="CX21"/>
      <c r="CY21"/>
      <c r="CZ21"/>
      <c r="DA21"/>
    </row>
    <row r="22" spans="1:111" x14ac:dyDescent="0.25">
      <c r="A22" s="2" t="s">
        <v>227</v>
      </c>
      <c r="B22" s="61">
        <v>35415.65</v>
      </c>
      <c r="C22" s="61">
        <v>978825.22</v>
      </c>
      <c r="D22" s="61">
        <v>1014240.87</v>
      </c>
      <c r="E22" s="61">
        <v>71646</v>
      </c>
      <c r="F22" s="61">
        <v>1085886.8700000001</v>
      </c>
      <c r="G22"/>
      <c r="K22" s="5" t="s">
        <v>108</v>
      </c>
      <c r="L22" s="61"/>
      <c r="M22" s="4">
        <v>0</v>
      </c>
      <c r="N22" s="61"/>
      <c r="O22" s="61">
        <v>3</v>
      </c>
      <c r="P22" s="4">
        <v>1</v>
      </c>
      <c r="Q22" s="61">
        <v>421996.83</v>
      </c>
      <c r="R22" s="61">
        <v>3</v>
      </c>
      <c r="S22" s="4">
        <v>1</v>
      </c>
      <c r="T22" s="61">
        <v>421996.83</v>
      </c>
      <c r="V22" s="5" t="s">
        <v>108</v>
      </c>
      <c r="W22" s="61">
        <v>2</v>
      </c>
      <c r="X22" s="61">
        <v>1</v>
      </c>
      <c r="Y22" s="61">
        <v>3</v>
      </c>
      <c r="AC22" s="5" t="s">
        <v>108</v>
      </c>
      <c r="AD22" s="61">
        <v>0</v>
      </c>
      <c r="AG22" s="71" t="str">
        <f t="shared" si="0"/>
        <v>RABBANI/KURNOOL , 9052323785</v>
      </c>
      <c r="AH22" s="72">
        <f t="shared" si="1"/>
        <v>3</v>
      </c>
      <c r="AI22" s="72">
        <f t="shared" si="2"/>
        <v>3</v>
      </c>
      <c r="AJ22" s="72">
        <f t="shared" si="3"/>
        <v>0</v>
      </c>
      <c r="AK22" s="73">
        <f t="shared" si="4"/>
        <v>421996.83</v>
      </c>
      <c r="AL22" s="75">
        <v>0.85</v>
      </c>
      <c r="AM22" s="73">
        <f t="shared" si="9"/>
        <v>358697.30550000002</v>
      </c>
      <c r="AN22" s="74">
        <f t="shared" si="5"/>
        <v>0</v>
      </c>
      <c r="AO22" s="73">
        <f t="shared" si="6"/>
        <v>0</v>
      </c>
      <c r="AP22" s="72">
        <f t="shared" si="7"/>
        <v>1</v>
      </c>
      <c r="AQ22" s="73">
        <f t="shared" si="8"/>
        <v>0</v>
      </c>
      <c r="AT22"/>
      <c r="AU22"/>
      <c r="AV22"/>
      <c r="AW22"/>
      <c r="AX22"/>
      <c r="AY22"/>
      <c r="AZ22"/>
      <c r="BA22"/>
      <c r="BB22"/>
      <c r="BC22"/>
      <c r="BD22"/>
      <c r="BF22" s="2" t="s">
        <v>55</v>
      </c>
      <c r="BG22" s="61">
        <v>7</v>
      </c>
      <c r="BH22" s="61">
        <v>2</v>
      </c>
      <c r="BI22" s="61">
        <v>9</v>
      </c>
      <c r="BJ22" s="61">
        <v>10</v>
      </c>
      <c r="BK22" s="61">
        <v>19</v>
      </c>
      <c r="BL22"/>
      <c r="BM22" s="2" t="s">
        <v>55</v>
      </c>
      <c r="BN22" s="61">
        <v>5</v>
      </c>
      <c r="BO22" s="61">
        <v>5</v>
      </c>
      <c r="BP22" s="61">
        <v>10</v>
      </c>
      <c r="BQ22" s="61">
        <v>50</v>
      </c>
      <c r="BR22" s="61">
        <v>60</v>
      </c>
      <c r="BS22"/>
      <c r="BT22" s="5" t="s">
        <v>94</v>
      </c>
      <c r="BU22" s="61">
        <v>5</v>
      </c>
      <c r="BV22"/>
      <c r="BW22"/>
      <c r="BX22"/>
      <c r="BY22"/>
      <c r="BZ22"/>
      <c r="CA22" s="17" t="s">
        <v>50</v>
      </c>
      <c r="CB22" s="62">
        <v>2</v>
      </c>
      <c r="CC22" s="62">
        <v>2</v>
      </c>
      <c r="CD22" s="62"/>
      <c r="CE22" s="62">
        <v>2</v>
      </c>
      <c r="CF22" s="62">
        <v>4</v>
      </c>
      <c r="CG22"/>
      <c r="CH22"/>
      <c r="CI22"/>
      <c r="CJ22"/>
      <c r="CK22"/>
      <c r="CL22"/>
      <c r="CM22"/>
      <c r="CN22"/>
      <c r="CO22"/>
      <c r="CP22"/>
      <c r="CQ22"/>
      <c r="CR22"/>
      <c r="CS22"/>
      <c r="CT22"/>
      <c r="CU22"/>
      <c r="CV22"/>
      <c r="CW22"/>
      <c r="CX22"/>
      <c r="CY22"/>
      <c r="CZ22"/>
      <c r="DA22"/>
    </row>
    <row r="23" spans="1:111" x14ac:dyDescent="0.25">
      <c r="A23" s="2" t="s">
        <v>46</v>
      </c>
      <c r="B23" s="61">
        <v>7783.59</v>
      </c>
      <c r="C23" s="61">
        <v>58000</v>
      </c>
      <c r="D23" s="61">
        <v>65783.59</v>
      </c>
      <c r="E23" s="61">
        <v>0</v>
      </c>
      <c r="F23" s="61">
        <v>65783.59</v>
      </c>
      <c r="G23"/>
      <c r="K23" s="5" t="s">
        <v>1160</v>
      </c>
      <c r="L23" s="61">
        <v>1</v>
      </c>
      <c r="M23" s="4">
        <v>4.9847420588112527E-2</v>
      </c>
      <c r="N23" s="61">
        <v>71777.23</v>
      </c>
      <c r="O23" s="61">
        <v>5</v>
      </c>
      <c r="P23" s="4">
        <v>0.95015257941188747</v>
      </c>
      <c r="Q23" s="61">
        <v>1368161.4700000002</v>
      </c>
      <c r="R23" s="61">
        <v>6</v>
      </c>
      <c r="S23" s="4">
        <v>1</v>
      </c>
      <c r="T23" s="61">
        <v>1439938.7000000002</v>
      </c>
      <c r="V23" s="5" t="s">
        <v>1160</v>
      </c>
      <c r="W23" s="61">
        <v>6</v>
      </c>
      <c r="X23" s="61"/>
      <c r="Y23" s="61">
        <v>6</v>
      </c>
      <c r="AC23" s="5" t="s">
        <v>1160</v>
      </c>
      <c r="AD23" s="61">
        <v>0</v>
      </c>
      <c r="AG23" s="71" t="str">
        <f t="shared" si="0"/>
        <v>RAHUL/TS , 9642288392</v>
      </c>
      <c r="AH23" s="72">
        <f t="shared" si="1"/>
        <v>6</v>
      </c>
      <c r="AI23" s="72">
        <f t="shared" si="2"/>
        <v>5</v>
      </c>
      <c r="AJ23" s="72">
        <f t="shared" si="3"/>
        <v>1</v>
      </c>
      <c r="AK23" s="73">
        <f t="shared" si="4"/>
        <v>1439938.7000000002</v>
      </c>
      <c r="AL23" s="75">
        <v>0.85</v>
      </c>
      <c r="AM23" s="73">
        <f t="shared" si="9"/>
        <v>1223947.895</v>
      </c>
      <c r="AN23" s="74">
        <f t="shared" si="5"/>
        <v>4.9847420588112527E-2</v>
      </c>
      <c r="AO23" s="73">
        <f t="shared" si="6"/>
        <v>71777.23</v>
      </c>
      <c r="AP23" s="72">
        <f t="shared" si="7"/>
        <v>0</v>
      </c>
      <c r="AQ23" s="73">
        <f t="shared" si="8"/>
        <v>0</v>
      </c>
      <c r="BF23" s="6" t="s">
        <v>52</v>
      </c>
      <c r="BG23" s="7">
        <v>0.46357192411248904</v>
      </c>
      <c r="BH23" s="7">
        <v>7.8400345233806581E-2</v>
      </c>
      <c r="BI23" s="7">
        <v>0.54197226934629561</v>
      </c>
      <c r="BJ23" s="7">
        <v>0.4580277306537045</v>
      </c>
      <c r="BK23" s="7">
        <v>1</v>
      </c>
      <c r="BL23"/>
      <c r="BM23" s="6" t="s">
        <v>52</v>
      </c>
      <c r="BN23" s="7">
        <v>8.0483214771120581E-2</v>
      </c>
      <c r="BO23" s="7">
        <v>0.10164024460021606</v>
      </c>
      <c r="BP23" s="7">
        <v>0.18212345937133667</v>
      </c>
      <c r="BQ23" s="7">
        <v>0.81787654062866322</v>
      </c>
      <c r="BR23" s="7">
        <v>1</v>
      </c>
      <c r="BS23"/>
      <c r="BT23" s="5" t="s">
        <v>253</v>
      </c>
      <c r="BU23" s="61">
        <v>5</v>
      </c>
      <c r="BV23"/>
      <c r="BW23"/>
      <c r="BX23"/>
      <c r="BY23"/>
      <c r="BZ23"/>
      <c r="CA23" s="17" t="s">
        <v>99</v>
      </c>
      <c r="CB23" s="62">
        <v>2</v>
      </c>
      <c r="CC23" s="62"/>
      <c r="CD23" s="62">
        <v>8</v>
      </c>
      <c r="CE23" s="62">
        <v>8</v>
      </c>
      <c r="CF23" s="62">
        <v>10</v>
      </c>
      <c r="CG23"/>
      <c r="CH23"/>
      <c r="CI23"/>
      <c r="CJ23"/>
      <c r="CK23"/>
      <c r="CL23"/>
      <c r="CM23"/>
      <c r="CN23"/>
      <c r="CO23"/>
      <c r="CP23"/>
      <c r="CQ23"/>
      <c r="CR23"/>
      <c r="CS23"/>
      <c r="CT23"/>
      <c r="CU23"/>
      <c r="CV23"/>
      <c r="CW23"/>
      <c r="CX23"/>
      <c r="CY23"/>
      <c r="CZ23"/>
      <c r="DA23"/>
    </row>
    <row r="24" spans="1:111" x14ac:dyDescent="0.25">
      <c r="A24" s="5">
        <v>7</v>
      </c>
      <c r="B24" s="61"/>
      <c r="C24" s="61"/>
      <c r="D24" s="61"/>
      <c r="E24" s="61"/>
      <c r="F24" s="61"/>
      <c r="G24"/>
      <c r="K24" s="5" t="s">
        <v>664</v>
      </c>
      <c r="L24" s="61"/>
      <c r="M24" s="4">
        <v>0</v>
      </c>
      <c r="N24" s="61"/>
      <c r="O24" s="61">
        <v>6</v>
      </c>
      <c r="P24" s="4">
        <v>1</v>
      </c>
      <c r="Q24" s="61">
        <v>1345926.4000000001</v>
      </c>
      <c r="R24" s="61">
        <v>6</v>
      </c>
      <c r="S24" s="4">
        <v>1</v>
      </c>
      <c r="T24" s="61">
        <v>1345926.4000000001</v>
      </c>
      <c r="V24" s="5" t="s">
        <v>664</v>
      </c>
      <c r="W24" s="61">
        <v>2</v>
      </c>
      <c r="X24" s="61">
        <v>4</v>
      </c>
      <c r="Y24" s="61">
        <v>6</v>
      </c>
      <c r="AC24" s="5" t="s">
        <v>664</v>
      </c>
      <c r="AD24" s="61">
        <v>0</v>
      </c>
      <c r="AG24" s="71" t="str">
        <f t="shared" si="0"/>
        <v>RAJKUMAR/MEDAK , 8333040628</v>
      </c>
      <c r="AH24" s="72">
        <f t="shared" si="1"/>
        <v>6</v>
      </c>
      <c r="AI24" s="72">
        <f t="shared" si="2"/>
        <v>6</v>
      </c>
      <c r="AJ24" s="72">
        <f t="shared" si="3"/>
        <v>0</v>
      </c>
      <c r="AK24" s="73">
        <f t="shared" si="4"/>
        <v>1345926.4000000001</v>
      </c>
      <c r="AL24" s="75">
        <v>0.85</v>
      </c>
      <c r="AM24" s="73">
        <f t="shared" si="9"/>
        <v>1144037.4400000002</v>
      </c>
      <c r="AN24" s="74">
        <f t="shared" si="5"/>
        <v>0</v>
      </c>
      <c r="AO24" s="73">
        <f t="shared" si="6"/>
        <v>0</v>
      </c>
      <c r="AP24" s="72">
        <f t="shared" si="7"/>
        <v>4</v>
      </c>
      <c r="AQ24" s="73">
        <f t="shared" si="8"/>
        <v>0</v>
      </c>
      <c r="AT24"/>
      <c r="AU24"/>
      <c r="AV24"/>
      <c r="AW24"/>
      <c r="AX24"/>
      <c r="AY24"/>
      <c r="AZ24"/>
      <c r="BA24"/>
      <c r="BB24"/>
      <c r="BC24"/>
      <c r="BD24"/>
      <c r="BF24" s="2" t="s">
        <v>57</v>
      </c>
      <c r="BG24" s="61">
        <v>1664978.7</v>
      </c>
      <c r="BH24" s="61">
        <v>281585.01</v>
      </c>
      <c r="BI24" s="61">
        <v>1946563.71</v>
      </c>
      <c r="BJ24" s="61">
        <v>1645066.0099999998</v>
      </c>
      <c r="BK24" s="61">
        <v>3591629.7199999993</v>
      </c>
      <c r="BL24"/>
      <c r="BM24" s="2" t="s">
        <v>57</v>
      </c>
      <c r="BN24" s="61">
        <v>1092622.1800000002</v>
      </c>
      <c r="BO24" s="61">
        <v>1379845.3</v>
      </c>
      <c r="BP24" s="61">
        <v>2472467.4800000004</v>
      </c>
      <c r="BQ24" s="61">
        <v>11103309.570000002</v>
      </c>
      <c r="BR24" s="61">
        <v>13575777.050000004</v>
      </c>
      <c r="BS24"/>
      <c r="BT24" s="5" t="s">
        <v>86</v>
      </c>
      <c r="BU24" s="61">
        <v>7</v>
      </c>
      <c r="BV24"/>
      <c r="BW24"/>
      <c r="BX24"/>
      <c r="BY24"/>
      <c r="BZ24"/>
      <c r="CA24" s="17" t="s">
        <v>108</v>
      </c>
      <c r="CB24" s="62"/>
      <c r="CC24" s="62">
        <v>1</v>
      </c>
      <c r="CD24" s="62">
        <v>2</v>
      </c>
      <c r="CE24" s="62">
        <v>3</v>
      </c>
      <c r="CF24" s="62">
        <v>3</v>
      </c>
      <c r="CG24"/>
      <c r="CH24"/>
      <c r="CI24"/>
      <c r="CJ24"/>
      <c r="CK24"/>
      <c r="CL24"/>
      <c r="CM24"/>
      <c r="CN24"/>
      <c r="CO24"/>
      <c r="CP24"/>
      <c r="CQ24"/>
      <c r="CR24"/>
      <c r="CS24"/>
      <c r="CT24"/>
      <c r="CU24"/>
      <c r="CV24"/>
      <c r="CW24"/>
      <c r="CX24"/>
      <c r="CY24"/>
      <c r="CZ24"/>
      <c r="DA24"/>
    </row>
    <row r="25" spans="1:111" x14ac:dyDescent="0.25">
      <c r="A25" s="2" t="s">
        <v>191</v>
      </c>
      <c r="B25" s="61"/>
      <c r="C25" s="61">
        <v>1</v>
      </c>
      <c r="D25" s="61">
        <v>1</v>
      </c>
      <c r="E25" s="61"/>
      <c r="F25" s="61">
        <v>1</v>
      </c>
      <c r="G25"/>
      <c r="K25" s="5" t="s">
        <v>1157</v>
      </c>
      <c r="L25" s="61"/>
      <c r="M25" s="4">
        <v>0</v>
      </c>
      <c r="N25" s="61"/>
      <c r="O25" s="61">
        <v>1</v>
      </c>
      <c r="P25" s="4">
        <v>1</v>
      </c>
      <c r="Q25" s="61">
        <v>51768.22</v>
      </c>
      <c r="R25" s="61">
        <v>1</v>
      </c>
      <c r="S25" s="4">
        <v>1</v>
      </c>
      <c r="T25" s="61">
        <v>51768.22</v>
      </c>
      <c r="V25" s="5" t="s">
        <v>1157</v>
      </c>
      <c r="W25" s="61"/>
      <c r="X25" s="61">
        <v>1</v>
      </c>
      <c r="Y25" s="61">
        <v>1</v>
      </c>
      <c r="AC25" s="5" t="s">
        <v>1157</v>
      </c>
      <c r="AD25" s="61">
        <v>0</v>
      </c>
      <c r="AG25" s="71" t="str">
        <f t="shared" si="0"/>
        <v>RAKESH/WEST , 9121493562</v>
      </c>
      <c r="AH25" s="72">
        <f t="shared" si="1"/>
        <v>1</v>
      </c>
      <c r="AI25" s="72">
        <f t="shared" si="2"/>
        <v>1</v>
      </c>
      <c r="AJ25" s="72">
        <f t="shared" si="3"/>
        <v>0</v>
      </c>
      <c r="AK25" s="73">
        <f t="shared" si="4"/>
        <v>51768.22</v>
      </c>
      <c r="AL25" s="75">
        <v>0.85</v>
      </c>
      <c r="AM25" s="73">
        <f t="shared" si="9"/>
        <v>44002.987000000001</v>
      </c>
      <c r="AN25" s="74">
        <f t="shared" si="5"/>
        <v>0</v>
      </c>
      <c r="AO25" s="73">
        <f t="shared" si="6"/>
        <v>0</v>
      </c>
      <c r="AP25" s="72">
        <f t="shared" si="7"/>
        <v>1</v>
      </c>
      <c r="AQ25" s="73">
        <f t="shared" si="8"/>
        <v>0</v>
      </c>
      <c r="AT25"/>
      <c r="AU25"/>
      <c r="AV25"/>
      <c r="AW25"/>
      <c r="AX25"/>
      <c r="AY25"/>
      <c r="AZ25"/>
      <c r="BA25"/>
      <c r="BB25"/>
      <c r="BC25"/>
      <c r="BD25"/>
      <c r="BF25" s="2" t="s">
        <v>59</v>
      </c>
      <c r="BG25" s="61">
        <v>488667.36000000004</v>
      </c>
      <c r="BH25" s="61">
        <v>17600</v>
      </c>
      <c r="BI25" s="61">
        <v>506267.36000000004</v>
      </c>
      <c r="BJ25" s="61">
        <v>0</v>
      </c>
      <c r="BK25" s="61">
        <v>506267.36000000004</v>
      </c>
      <c r="BL25"/>
      <c r="BM25" s="2" t="s">
        <v>59</v>
      </c>
      <c r="BN25" s="61">
        <v>393850</v>
      </c>
      <c r="BO25" s="61">
        <v>96634.13</v>
      </c>
      <c r="BP25" s="61">
        <v>490484.13</v>
      </c>
      <c r="BQ25" s="61">
        <v>23500</v>
      </c>
      <c r="BR25" s="61">
        <v>513984.13</v>
      </c>
      <c r="BS25"/>
      <c r="BT25" s="5" t="s">
        <v>111</v>
      </c>
      <c r="BU25" s="61">
        <v>12</v>
      </c>
      <c r="BV25"/>
      <c r="BW25"/>
      <c r="BX25"/>
      <c r="BY25"/>
      <c r="BZ25"/>
      <c r="CA25" s="17" t="s">
        <v>1160</v>
      </c>
      <c r="CB25" s="62">
        <v>1</v>
      </c>
      <c r="CC25" s="62"/>
      <c r="CD25" s="62">
        <v>5</v>
      </c>
      <c r="CE25" s="62">
        <v>5</v>
      </c>
      <c r="CF25" s="62">
        <v>6</v>
      </c>
      <c r="CG25"/>
      <c r="CH25"/>
      <c r="CI25"/>
      <c r="CJ25"/>
      <c r="CK25"/>
      <c r="CL25"/>
      <c r="CM25"/>
      <c r="CN25"/>
      <c r="CO25"/>
      <c r="CP25"/>
      <c r="CQ25"/>
      <c r="CR25"/>
      <c r="CS25"/>
      <c r="CT25"/>
      <c r="CU25"/>
      <c r="CV25"/>
      <c r="CW25"/>
      <c r="CX25"/>
      <c r="CY25"/>
      <c r="CZ25"/>
      <c r="DA25"/>
    </row>
    <row r="26" spans="1:111" x14ac:dyDescent="0.25">
      <c r="A26" s="42" t="s">
        <v>228</v>
      </c>
      <c r="B26" s="43">
        <v>0</v>
      </c>
      <c r="C26" s="43">
        <v>1</v>
      </c>
      <c r="D26" s="43">
        <v>1</v>
      </c>
      <c r="E26" s="43">
        <v>0</v>
      </c>
      <c r="F26" s="43">
        <v>1</v>
      </c>
      <c r="G26"/>
      <c r="K26" s="5" t="s">
        <v>113</v>
      </c>
      <c r="L26" s="61">
        <v>1</v>
      </c>
      <c r="M26" s="4">
        <v>2.620321107485854E-2</v>
      </c>
      <c r="N26" s="61">
        <v>32545.49</v>
      </c>
      <c r="O26" s="61">
        <v>3</v>
      </c>
      <c r="P26" s="4">
        <v>0.97379678892514165</v>
      </c>
      <c r="Q26" s="61">
        <v>1209496.56</v>
      </c>
      <c r="R26" s="61">
        <v>4</v>
      </c>
      <c r="S26" s="4">
        <v>1</v>
      </c>
      <c r="T26" s="61">
        <v>1242042.0499999998</v>
      </c>
      <c r="V26" s="5" t="s">
        <v>113</v>
      </c>
      <c r="W26" s="61">
        <v>3</v>
      </c>
      <c r="X26" s="61">
        <v>1</v>
      </c>
      <c r="Y26" s="61">
        <v>4</v>
      </c>
      <c r="AC26" s="5" t="s">
        <v>113</v>
      </c>
      <c r="AD26" s="61">
        <v>11320</v>
      </c>
      <c r="AG26" s="71" t="str">
        <f t="shared" si="0"/>
        <v>RANJITH/TS , 7794980652</v>
      </c>
      <c r="AH26" s="72">
        <f t="shared" si="1"/>
        <v>4</v>
      </c>
      <c r="AI26" s="72">
        <f t="shared" si="2"/>
        <v>3</v>
      </c>
      <c r="AJ26" s="72">
        <f t="shared" si="3"/>
        <v>1</v>
      </c>
      <c r="AK26" s="73">
        <f t="shared" si="4"/>
        <v>1242042.0499999998</v>
      </c>
      <c r="AL26" s="75">
        <v>0.85</v>
      </c>
      <c r="AM26" s="73">
        <f t="shared" si="9"/>
        <v>1055735.7424999997</v>
      </c>
      <c r="AN26" s="74">
        <f t="shared" si="5"/>
        <v>2.620321107485854E-2</v>
      </c>
      <c r="AO26" s="73">
        <f t="shared" si="6"/>
        <v>32545.49</v>
      </c>
      <c r="AP26" s="72">
        <f t="shared" si="7"/>
        <v>1</v>
      </c>
      <c r="AQ26" s="73">
        <f t="shared" si="8"/>
        <v>11320</v>
      </c>
      <c r="AT26"/>
      <c r="AU26"/>
      <c r="AV26"/>
      <c r="AW26"/>
      <c r="AX26"/>
      <c r="AY26"/>
      <c r="AZ26"/>
      <c r="BA26"/>
      <c r="BB26"/>
      <c r="BC26"/>
      <c r="BD26"/>
      <c r="BF26" s="5" t="s">
        <v>662</v>
      </c>
      <c r="BG26" s="61"/>
      <c r="BH26" s="61"/>
      <c r="BI26" s="61"/>
      <c r="BJ26" s="61"/>
      <c r="BK26" s="61"/>
      <c r="BL26"/>
      <c r="BM26" s="2" t="s">
        <v>56</v>
      </c>
      <c r="BN26" s="61">
        <v>45</v>
      </c>
      <c r="BO26" s="61">
        <v>21</v>
      </c>
      <c r="BP26" s="61">
        <v>66</v>
      </c>
      <c r="BQ26" s="61">
        <v>202</v>
      </c>
      <c r="BR26" s="61">
        <v>268</v>
      </c>
      <c r="BS26"/>
      <c r="BT26" s="5" t="s">
        <v>75</v>
      </c>
      <c r="BU26" s="61">
        <v>19</v>
      </c>
      <c r="BV26"/>
      <c r="BW26"/>
      <c r="BX26"/>
      <c r="BY26"/>
      <c r="BZ26"/>
      <c r="CA26" s="17" t="s">
        <v>664</v>
      </c>
      <c r="CB26" s="62"/>
      <c r="CC26" s="62">
        <v>4</v>
      </c>
      <c r="CD26" s="62">
        <v>2</v>
      </c>
      <c r="CE26" s="62">
        <v>6</v>
      </c>
      <c r="CF26" s="62">
        <v>6</v>
      </c>
      <c r="CG26"/>
      <c r="CH26"/>
      <c r="CI26"/>
      <c r="CJ26"/>
      <c r="CK26"/>
      <c r="CL26"/>
      <c r="CM26"/>
      <c r="CN26"/>
      <c r="CO26"/>
      <c r="CP26"/>
      <c r="CQ26"/>
      <c r="CR26"/>
      <c r="CS26"/>
      <c r="CT26"/>
      <c r="CU26"/>
      <c r="CV26"/>
      <c r="CW26"/>
      <c r="CX26"/>
      <c r="CY26"/>
      <c r="CZ26"/>
      <c r="DA26"/>
    </row>
    <row r="27" spans="1:111" x14ac:dyDescent="0.25">
      <c r="A27" s="2" t="s">
        <v>227</v>
      </c>
      <c r="B27" s="61"/>
      <c r="C27" s="61">
        <v>38953.85</v>
      </c>
      <c r="D27" s="61">
        <v>38953.85</v>
      </c>
      <c r="E27" s="61"/>
      <c r="F27" s="61">
        <v>38953.85</v>
      </c>
      <c r="G27"/>
      <c r="K27" s="5" t="s">
        <v>51</v>
      </c>
      <c r="L27" s="61">
        <v>2</v>
      </c>
      <c r="M27" s="4">
        <v>7.40322415679842E-2</v>
      </c>
      <c r="N27" s="61">
        <v>328720.14</v>
      </c>
      <c r="O27" s="61">
        <v>19</v>
      </c>
      <c r="P27" s="4">
        <v>0.92596775843201606</v>
      </c>
      <c r="Q27" s="61">
        <v>4111509.3200000012</v>
      </c>
      <c r="R27" s="61">
        <v>21</v>
      </c>
      <c r="S27" s="4">
        <v>1</v>
      </c>
      <c r="T27" s="61">
        <v>4440229.46</v>
      </c>
      <c r="V27" s="5" t="s">
        <v>51</v>
      </c>
      <c r="W27" s="61">
        <v>8</v>
      </c>
      <c r="X27" s="61">
        <v>13</v>
      </c>
      <c r="Y27" s="61">
        <v>21</v>
      </c>
      <c r="AC27" s="5" t="s">
        <v>51</v>
      </c>
      <c r="AD27" s="61">
        <v>36392.94</v>
      </c>
      <c r="AG27" s="71" t="str">
        <f t="shared" si="0"/>
        <v>SAGAR/WARANGAL , 7396297747</v>
      </c>
      <c r="AH27" s="72">
        <f t="shared" si="1"/>
        <v>21</v>
      </c>
      <c r="AI27" s="72">
        <f t="shared" si="2"/>
        <v>19</v>
      </c>
      <c r="AJ27" s="72">
        <f t="shared" si="3"/>
        <v>2</v>
      </c>
      <c r="AK27" s="73">
        <f t="shared" si="4"/>
        <v>4440229.46</v>
      </c>
      <c r="AL27" s="75">
        <v>0.85</v>
      </c>
      <c r="AM27" s="73">
        <f t="shared" si="9"/>
        <v>3774195.0409999997</v>
      </c>
      <c r="AN27" s="74">
        <f t="shared" si="5"/>
        <v>7.40322415679842E-2</v>
      </c>
      <c r="AO27" s="73">
        <f t="shared" si="6"/>
        <v>328720.14</v>
      </c>
      <c r="AP27" s="72">
        <f t="shared" si="7"/>
        <v>13</v>
      </c>
      <c r="AQ27" s="73">
        <f t="shared" si="8"/>
        <v>36392.94</v>
      </c>
      <c r="AT27"/>
      <c r="AU27"/>
      <c r="AV27"/>
      <c r="AW27"/>
      <c r="AX27"/>
      <c r="AY27"/>
      <c r="AZ27"/>
      <c r="BA27"/>
      <c r="BB27"/>
      <c r="BC27"/>
      <c r="BD27"/>
      <c r="BF27" s="2" t="s">
        <v>55</v>
      </c>
      <c r="BG27" s="61">
        <v>1</v>
      </c>
      <c r="BH27" s="61"/>
      <c r="BI27" s="61">
        <v>1</v>
      </c>
      <c r="BJ27" s="61">
        <v>4</v>
      </c>
      <c r="BK27" s="61">
        <v>5</v>
      </c>
      <c r="BL27"/>
      <c r="BM27" s="2" t="s">
        <v>53</v>
      </c>
      <c r="BN27" s="7">
        <v>0.14446304303598473</v>
      </c>
      <c r="BO27" s="7">
        <v>6.12509966136889E-2</v>
      </c>
      <c r="BP27" s="7">
        <v>0.20571403964967361</v>
      </c>
      <c r="BQ27" s="7">
        <v>0.79428596035032684</v>
      </c>
      <c r="BR27" s="7">
        <v>1</v>
      </c>
      <c r="BS27"/>
      <c r="BT27" s="5" t="s">
        <v>96</v>
      </c>
      <c r="BU27" s="61">
        <v>1</v>
      </c>
      <c r="BV27"/>
      <c r="BW27"/>
      <c r="BX27"/>
      <c r="BY27"/>
      <c r="BZ27"/>
      <c r="CA27" s="17" t="s">
        <v>1157</v>
      </c>
      <c r="CB27" s="62"/>
      <c r="CC27" s="62">
        <v>1</v>
      </c>
      <c r="CD27" s="62"/>
      <c r="CE27" s="62">
        <v>1</v>
      </c>
      <c r="CF27" s="62">
        <v>1</v>
      </c>
      <c r="CG27"/>
      <c r="CH27"/>
      <c r="CI27"/>
      <c r="CJ27"/>
      <c r="CK27"/>
      <c r="CL27"/>
      <c r="CM27"/>
      <c r="CN27"/>
      <c r="CO27"/>
      <c r="CP27"/>
      <c r="CQ27"/>
      <c r="CR27"/>
      <c r="CS27"/>
      <c r="CT27"/>
      <c r="CU27"/>
      <c r="CV27"/>
      <c r="CW27"/>
      <c r="CX27"/>
      <c r="CY27"/>
      <c r="CZ27"/>
      <c r="DA27"/>
    </row>
    <row r="28" spans="1:111" x14ac:dyDescent="0.25">
      <c r="A28" s="2" t="s">
        <v>46</v>
      </c>
      <c r="B28" s="61"/>
      <c r="C28" s="61">
        <v>4000</v>
      </c>
      <c r="D28" s="61">
        <v>4000</v>
      </c>
      <c r="E28" s="61"/>
      <c r="F28" s="61">
        <v>4000</v>
      </c>
      <c r="G28"/>
      <c r="K28" s="5" t="s">
        <v>2080</v>
      </c>
      <c r="L28" s="61">
        <v>3</v>
      </c>
      <c r="M28" s="4">
        <v>0.11365237762980332</v>
      </c>
      <c r="N28" s="61">
        <v>307507.82999999996</v>
      </c>
      <c r="O28" s="61">
        <v>8</v>
      </c>
      <c r="P28" s="4">
        <v>0.88634762237019682</v>
      </c>
      <c r="Q28" s="61">
        <v>2398179.7799999998</v>
      </c>
      <c r="R28" s="61">
        <v>11</v>
      </c>
      <c r="S28" s="4">
        <v>1</v>
      </c>
      <c r="T28" s="61">
        <v>2705687.6099999994</v>
      </c>
      <c r="V28" s="5" t="s">
        <v>2080</v>
      </c>
      <c r="W28" s="61">
        <v>3</v>
      </c>
      <c r="X28" s="61">
        <v>8</v>
      </c>
      <c r="Y28" s="61">
        <v>11</v>
      </c>
      <c r="AC28" s="5" t="s">
        <v>2080</v>
      </c>
      <c r="AD28" s="61">
        <v>41070</v>
      </c>
      <c r="AG28" s="71" t="str">
        <f t="shared" si="0"/>
        <v>SAITEJA/TS , 9398682012</v>
      </c>
      <c r="AH28" s="72">
        <f t="shared" si="1"/>
        <v>11</v>
      </c>
      <c r="AI28" s="72">
        <f t="shared" si="2"/>
        <v>8</v>
      </c>
      <c r="AJ28" s="72">
        <f t="shared" si="3"/>
        <v>3</v>
      </c>
      <c r="AK28" s="73">
        <f t="shared" si="4"/>
        <v>2705687.6099999994</v>
      </c>
      <c r="AL28" s="75">
        <v>0.85</v>
      </c>
      <c r="AM28" s="73">
        <f t="shared" si="9"/>
        <v>2299834.4684999995</v>
      </c>
      <c r="AN28" s="74">
        <f t="shared" si="5"/>
        <v>0.11365237762980332</v>
      </c>
      <c r="AO28" s="73">
        <f t="shared" si="6"/>
        <v>307507.82999999996</v>
      </c>
      <c r="AP28" s="72">
        <f t="shared" si="7"/>
        <v>8</v>
      </c>
      <c r="AQ28" s="73">
        <f t="shared" si="8"/>
        <v>41070</v>
      </c>
      <c r="AT28"/>
      <c r="AU28"/>
      <c r="AV28"/>
      <c r="AW28"/>
      <c r="AX28"/>
      <c r="AY28"/>
      <c r="AZ28"/>
      <c r="BA28"/>
      <c r="BB28"/>
      <c r="BC28"/>
      <c r="BD28"/>
      <c r="BF28" s="6" t="s">
        <v>52</v>
      </c>
      <c r="BG28" s="7">
        <v>0.17934052371636033</v>
      </c>
      <c r="BH28" s="7">
        <v>0</v>
      </c>
      <c r="BI28" s="7">
        <v>0.17934052371636033</v>
      </c>
      <c r="BJ28" s="7">
        <v>0.82065947628363956</v>
      </c>
      <c r="BK28" s="7">
        <v>1</v>
      </c>
      <c r="BL28"/>
      <c r="BM28" s="2" t="s">
        <v>58</v>
      </c>
      <c r="BN28" s="61">
        <v>8248502.1400000015</v>
      </c>
      <c r="BO28" s="61">
        <v>3497288.7600000002</v>
      </c>
      <c r="BP28" s="61">
        <v>11745790.9</v>
      </c>
      <c r="BQ28" s="61">
        <v>45351872.050000027</v>
      </c>
      <c r="BR28" s="61">
        <v>57097662.950000003</v>
      </c>
      <c r="BS28"/>
      <c r="BT28" s="5" t="s">
        <v>95</v>
      </c>
      <c r="BU28" s="61">
        <v>6</v>
      </c>
      <c r="BV28"/>
      <c r="BW28"/>
      <c r="BX28"/>
      <c r="BY28"/>
      <c r="BZ28"/>
      <c r="CA28" s="17" t="s">
        <v>113</v>
      </c>
      <c r="CB28" s="62">
        <v>1</v>
      </c>
      <c r="CC28" s="62">
        <v>1</v>
      </c>
      <c r="CD28" s="62">
        <v>2</v>
      </c>
      <c r="CE28" s="62">
        <v>3</v>
      </c>
      <c r="CF28" s="62">
        <v>4</v>
      </c>
      <c r="CG28"/>
      <c r="CH28"/>
      <c r="CI28"/>
      <c r="CJ28"/>
      <c r="CK28"/>
      <c r="CL28"/>
      <c r="CM28"/>
      <c r="CN28"/>
      <c r="CO28"/>
      <c r="CP28"/>
      <c r="CQ28"/>
      <c r="CR28"/>
      <c r="CS28"/>
      <c r="CT28"/>
      <c r="CU28"/>
      <c r="CV28"/>
      <c r="CW28"/>
      <c r="CX28"/>
      <c r="CY28"/>
      <c r="CZ28"/>
      <c r="DA28"/>
    </row>
    <row r="29" spans="1:111" x14ac:dyDescent="0.25">
      <c r="A29" s="5">
        <v>8</v>
      </c>
      <c r="B29" s="61"/>
      <c r="C29" s="61"/>
      <c r="D29" s="61"/>
      <c r="E29" s="61"/>
      <c r="F29" s="61"/>
      <c r="G29"/>
      <c r="K29" s="5" t="s">
        <v>86</v>
      </c>
      <c r="L29" s="61">
        <v>1</v>
      </c>
      <c r="M29" s="4">
        <v>5.0576666460702177E-2</v>
      </c>
      <c r="N29" s="61">
        <v>67979.23</v>
      </c>
      <c r="O29" s="61">
        <v>6</v>
      </c>
      <c r="P29" s="4">
        <v>0.94942333353929786</v>
      </c>
      <c r="Q29" s="61">
        <v>1276103.6200000001</v>
      </c>
      <c r="R29" s="61">
        <v>7</v>
      </c>
      <c r="S29" s="4">
        <v>1</v>
      </c>
      <c r="T29" s="61">
        <v>1344082.85</v>
      </c>
      <c r="V29" s="5" t="s">
        <v>86</v>
      </c>
      <c r="W29" s="61">
        <v>1</v>
      </c>
      <c r="X29" s="61">
        <v>6</v>
      </c>
      <c r="Y29" s="61">
        <v>7</v>
      </c>
      <c r="AC29" s="5" t="s">
        <v>86</v>
      </c>
      <c r="AD29" s="61">
        <v>8000</v>
      </c>
      <c r="AG29" s="71" t="str">
        <f t="shared" si="0"/>
        <v>SANTHOSH/KARIMNAGAR , 9963176593</v>
      </c>
      <c r="AH29" s="72">
        <f t="shared" si="1"/>
        <v>7</v>
      </c>
      <c r="AI29" s="72">
        <f t="shared" si="2"/>
        <v>6</v>
      </c>
      <c r="AJ29" s="72">
        <f t="shared" si="3"/>
        <v>1</v>
      </c>
      <c r="AK29" s="73">
        <f t="shared" si="4"/>
        <v>1344082.85</v>
      </c>
      <c r="AL29" s="75">
        <v>0.85</v>
      </c>
      <c r="AM29" s="73">
        <f t="shared" si="9"/>
        <v>1142470.4225000001</v>
      </c>
      <c r="AN29" s="74">
        <f t="shared" si="5"/>
        <v>5.0576666460702177E-2</v>
      </c>
      <c r="AO29" s="73">
        <f t="shared" si="6"/>
        <v>67979.23</v>
      </c>
      <c r="AP29" s="72">
        <f t="shared" si="7"/>
        <v>6</v>
      </c>
      <c r="AQ29" s="73">
        <f t="shared" si="8"/>
        <v>8000</v>
      </c>
      <c r="AT29"/>
      <c r="AU29"/>
      <c r="AV29"/>
      <c r="AW29"/>
      <c r="AX29"/>
      <c r="AY29"/>
      <c r="AZ29"/>
      <c r="BA29"/>
      <c r="BB29"/>
      <c r="BC29"/>
      <c r="BD29"/>
      <c r="BF29" s="2" t="s">
        <v>57</v>
      </c>
      <c r="BG29" s="61">
        <v>613940.44999999995</v>
      </c>
      <c r="BH29" s="61"/>
      <c r="BI29" s="61">
        <v>613940.44999999995</v>
      </c>
      <c r="BJ29" s="61">
        <v>2809382.05</v>
      </c>
      <c r="BK29" s="61">
        <v>3423322.5</v>
      </c>
      <c r="BL29"/>
      <c r="BM29" s="2" t="s">
        <v>60</v>
      </c>
      <c r="BN29" s="61">
        <v>2307734.4300000002</v>
      </c>
      <c r="BO29" s="61">
        <v>262627.07</v>
      </c>
      <c r="BP29" s="61">
        <v>2570361.5</v>
      </c>
      <c r="BQ29" s="61">
        <v>84784.57</v>
      </c>
      <c r="BR29" s="61">
        <v>2655146.0699999998</v>
      </c>
      <c r="BS29"/>
      <c r="BT29" s="5" t="s">
        <v>139</v>
      </c>
      <c r="BU29" s="61">
        <v>11</v>
      </c>
      <c r="BV29"/>
      <c r="BW29"/>
      <c r="BX29"/>
      <c r="BY29"/>
      <c r="BZ29"/>
      <c r="CA29" s="17" t="s">
        <v>51</v>
      </c>
      <c r="CB29" s="62">
        <v>2</v>
      </c>
      <c r="CC29" s="62">
        <v>13</v>
      </c>
      <c r="CD29" s="62">
        <v>6</v>
      </c>
      <c r="CE29" s="62">
        <v>19</v>
      </c>
      <c r="CF29" s="62">
        <v>21</v>
      </c>
      <c r="CG29"/>
      <c r="CH29"/>
      <c r="CI29"/>
      <c r="CJ29"/>
      <c r="CK29"/>
      <c r="CL29"/>
      <c r="CM29"/>
      <c r="CN29"/>
      <c r="CO29"/>
      <c r="CP29"/>
      <c r="CQ29"/>
      <c r="CR29"/>
      <c r="CS29"/>
      <c r="CT29"/>
      <c r="CU29"/>
      <c r="CV29"/>
      <c r="CW29"/>
      <c r="CX29"/>
      <c r="CY29"/>
      <c r="CZ29"/>
      <c r="DA29"/>
    </row>
    <row r="30" spans="1:111" x14ac:dyDescent="0.25">
      <c r="A30" s="2" t="s">
        <v>191</v>
      </c>
      <c r="B30" s="61"/>
      <c r="C30" s="61"/>
      <c r="D30" s="61"/>
      <c r="E30" s="61">
        <v>2</v>
      </c>
      <c r="F30" s="61">
        <v>2</v>
      </c>
      <c r="G30"/>
      <c r="K30" s="5" t="s">
        <v>102</v>
      </c>
      <c r="L30" s="61">
        <v>1</v>
      </c>
      <c r="M30" s="4">
        <v>0.32014578304147145</v>
      </c>
      <c r="N30" s="61">
        <v>628484.57999999996</v>
      </c>
      <c r="O30" s="61">
        <v>6</v>
      </c>
      <c r="P30" s="4">
        <v>0.67985421695852855</v>
      </c>
      <c r="Q30" s="61">
        <v>1334635.3900000001</v>
      </c>
      <c r="R30" s="61">
        <v>7</v>
      </c>
      <c r="S30" s="4">
        <v>1</v>
      </c>
      <c r="T30" s="61">
        <v>1963119.97</v>
      </c>
      <c r="V30" s="5" t="s">
        <v>102</v>
      </c>
      <c r="W30" s="61">
        <v>3</v>
      </c>
      <c r="X30" s="61">
        <v>4</v>
      </c>
      <c r="Y30" s="61">
        <v>7</v>
      </c>
      <c r="AC30" s="5" t="s">
        <v>102</v>
      </c>
      <c r="AD30" s="61">
        <v>300680</v>
      </c>
      <c r="AG30" s="71" t="str">
        <f t="shared" si="0"/>
        <v>SEKAR/TIRUPATI , 8500444601</v>
      </c>
      <c r="AH30" s="72">
        <f t="shared" si="1"/>
        <v>7</v>
      </c>
      <c r="AI30" s="72">
        <f t="shared" si="2"/>
        <v>6</v>
      </c>
      <c r="AJ30" s="72">
        <f t="shared" si="3"/>
        <v>1</v>
      </c>
      <c r="AK30" s="73">
        <f t="shared" si="4"/>
        <v>1963119.97</v>
      </c>
      <c r="AL30" s="75">
        <v>0.85</v>
      </c>
      <c r="AM30" s="73">
        <f t="shared" si="9"/>
        <v>1668651.9745</v>
      </c>
      <c r="AN30" s="74">
        <f t="shared" si="5"/>
        <v>0.32014578304147145</v>
      </c>
      <c r="AO30" s="73">
        <f t="shared" si="6"/>
        <v>628484.57999999996</v>
      </c>
      <c r="AP30" s="72">
        <f t="shared" si="7"/>
        <v>4</v>
      </c>
      <c r="AQ30" s="73">
        <f t="shared" si="8"/>
        <v>300680</v>
      </c>
      <c r="AT30"/>
      <c r="AU30"/>
      <c r="AV30"/>
      <c r="AW30"/>
      <c r="AX30"/>
      <c r="AY30"/>
      <c r="AZ30"/>
      <c r="BA30"/>
      <c r="BB30"/>
      <c r="BC30"/>
      <c r="BD30"/>
      <c r="BF30" s="2" t="s">
        <v>59</v>
      </c>
      <c r="BG30" s="61">
        <v>103200</v>
      </c>
      <c r="BH30" s="61"/>
      <c r="BI30" s="61">
        <v>103200</v>
      </c>
      <c r="BJ30" s="61">
        <v>0</v>
      </c>
      <c r="BK30" s="61">
        <v>103200</v>
      </c>
      <c r="BL30"/>
      <c r="BM30"/>
      <c r="BN30"/>
      <c r="BO30"/>
      <c r="BP30"/>
      <c r="BQ30"/>
      <c r="BR30"/>
      <c r="BT30" s="5" t="s">
        <v>2080</v>
      </c>
      <c r="BU30" s="61">
        <v>11</v>
      </c>
      <c r="BV30"/>
      <c r="BW30"/>
      <c r="BX30"/>
      <c r="BY30"/>
      <c r="BZ30"/>
      <c r="CA30" s="17" t="s">
        <v>2080</v>
      </c>
      <c r="CB30" s="62">
        <v>3</v>
      </c>
      <c r="CC30" s="62">
        <v>8</v>
      </c>
      <c r="CD30" s="62"/>
      <c r="CE30" s="62">
        <v>8</v>
      </c>
      <c r="CF30" s="62">
        <v>11</v>
      </c>
      <c r="CG30"/>
      <c r="CH30"/>
      <c r="CI30"/>
      <c r="CJ30"/>
      <c r="CK30"/>
      <c r="CL30"/>
      <c r="CM30"/>
      <c r="CN30"/>
      <c r="CO30"/>
      <c r="CP30"/>
      <c r="CQ30"/>
      <c r="CR30"/>
      <c r="CS30"/>
      <c r="CT30"/>
      <c r="CU30"/>
      <c r="CV30"/>
      <c r="CW30"/>
      <c r="CX30"/>
      <c r="CY30"/>
      <c r="CZ30"/>
      <c r="DA30"/>
    </row>
    <row r="31" spans="1:111" x14ac:dyDescent="0.25">
      <c r="A31" s="42" t="s">
        <v>228</v>
      </c>
      <c r="B31" s="43">
        <v>0</v>
      </c>
      <c r="C31" s="43">
        <v>0</v>
      </c>
      <c r="D31" s="43">
        <v>0</v>
      </c>
      <c r="E31" s="43">
        <v>1</v>
      </c>
      <c r="F31" s="43">
        <v>1</v>
      </c>
      <c r="G31"/>
      <c r="K31" s="5" t="s">
        <v>460</v>
      </c>
      <c r="L31" s="61">
        <v>2</v>
      </c>
      <c r="M31" s="4">
        <v>8.7111228065320276E-2</v>
      </c>
      <c r="N31" s="61">
        <v>458432.45999999996</v>
      </c>
      <c r="O31" s="61">
        <v>16</v>
      </c>
      <c r="P31" s="4">
        <v>0.9128887719346801</v>
      </c>
      <c r="Q31" s="61">
        <v>4804178.0000000009</v>
      </c>
      <c r="R31" s="61">
        <v>18</v>
      </c>
      <c r="S31" s="4">
        <v>1</v>
      </c>
      <c r="T31" s="61">
        <v>5262610.459999999</v>
      </c>
      <c r="V31" s="5" t="s">
        <v>460</v>
      </c>
      <c r="W31" s="61">
        <v>8</v>
      </c>
      <c r="X31" s="61">
        <v>10</v>
      </c>
      <c r="Y31" s="61">
        <v>18</v>
      </c>
      <c r="AC31" s="5" t="s">
        <v>460</v>
      </c>
      <c r="AD31" s="61">
        <v>42164.13</v>
      </c>
      <c r="AG31" s="71" t="str">
        <f t="shared" si="0"/>
        <v>SRIKANTH/ANANTHAPUR , 7569476738</v>
      </c>
      <c r="AH31" s="72">
        <f t="shared" si="1"/>
        <v>18</v>
      </c>
      <c r="AI31" s="72">
        <f t="shared" si="2"/>
        <v>16</v>
      </c>
      <c r="AJ31" s="72">
        <f t="shared" si="3"/>
        <v>2</v>
      </c>
      <c r="AK31" s="73">
        <f t="shared" si="4"/>
        <v>5262610.459999999</v>
      </c>
      <c r="AL31" s="75">
        <v>0.85</v>
      </c>
      <c r="AM31" s="73">
        <f t="shared" si="9"/>
        <v>4473218.8909999989</v>
      </c>
      <c r="AN31" s="74">
        <f t="shared" si="5"/>
        <v>8.7111228065320276E-2</v>
      </c>
      <c r="AO31" s="73">
        <f t="shared" si="6"/>
        <v>458432.45999999996</v>
      </c>
      <c r="AP31" s="72">
        <f t="shared" si="7"/>
        <v>10</v>
      </c>
      <c r="AQ31" s="73">
        <f t="shared" si="8"/>
        <v>42164.13</v>
      </c>
      <c r="AT31"/>
      <c r="AU31"/>
      <c r="AV31"/>
      <c r="AW31"/>
      <c r="AX31"/>
      <c r="AY31"/>
      <c r="AZ31"/>
      <c r="BA31"/>
      <c r="BB31"/>
      <c r="BC31"/>
      <c r="BD31"/>
      <c r="BF31" s="5" t="s">
        <v>91</v>
      </c>
      <c r="BG31" s="61"/>
      <c r="BH31" s="61"/>
      <c r="BI31" s="61"/>
      <c r="BJ31" s="61"/>
      <c r="BK31" s="61"/>
      <c r="BL31"/>
      <c r="BM31"/>
      <c r="BN31"/>
      <c r="BO31"/>
      <c r="BP31"/>
      <c r="BQ31"/>
      <c r="BR31"/>
      <c r="BT31" s="5" t="s">
        <v>262</v>
      </c>
      <c r="BU31" s="61">
        <v>3</v>
      </c>
      <c r="BV31"/>
      <c r="BW31"/>
      <c r="BX31"/>
      <c r="BY31"/>
      <c r="BZ31"/>
      <c r="CA31" s="17" t="s">
        <v>86</v>
      </c>
      <c r="CB31" s="62">
        <v>1</v>
      </c>
      <c r="CC31" s="62">
        <v>6</v>
      </c>
      <c r="CD31" s="62"/>
      <c r="CE31" s="62">
        <v>6</v>
      </c>
      <c r="CF31" s="62">
        <v>7</v>
      </c>
      <c r="CG31"/>
      <c r="CH31"/>
      <c r="CI31"/>
      <c r="CJ31"/>
      <c r="CK31"/>
      <c r="CL31"/>
      <c r="CM31"/>
      <c r="CN31"/>
      <c r="CO31"/>
      <c r="CP31"/>
      <c r="CQ31"/>
      <c r="CR31"/>
      <c r="CS31"/>
      <c r="CT31"/>
      <c r="CU31"/>
      <c r="CV31"/>
      <c r="CW31"/>
      <c r="CX31"/>
      <c r="CY31"/>
      <c r="CZ31"/>
      <c r="DA31"/>
    </row>
    <row r="32" spans="1:111" x14ac:dyDescent="0.25">
      <c r="A32" s="2" t="s">
        <v>227</v>
      </c>
      <c r="B32" s="61"/>
      <c r="C32" s="61"/>
      <c r="D32" s="61"/>
      <c r="E32" s="61">
        <v>774020.25</v>
      </c>
      <c r="F32" s="61">
        <v>774020.25</v>
      </c>
      <c r="G32"/>
      <c r="K32" s="5" t="s">
        <v>179</v>
      </c>
      <c r="L32" s="61">
        <v>3</v>
      </c>
      <c r="M32" s="4">
        <v>0.69089930022178958</v>
      </c>
      <c r="N32" s="61">
        <v>890850.47</v>
      </c>
      <c r="O32" s="61">
        <v>3</v>
      </c>
      <c r="P32" s="4">
        <v>0.30910069977821047</v>
      </c>
      <c r="Q32" s="61">
        <v>398556.63999999996</v>
      </c>
      <c r="R32" s="61">
        <v>6</v>
      </c>
      <c r="S32" s="4">
        <v>1</v>
      </c>
      <c r="T32" s="61">
        <v>1289407.1099999999</v>
      </c>
      <c r="V32" s="5" t="s">
        <v>179</v>
      </c>
      <c r="W32" s="61">
        <v>5</v>
      </c>
      <c r="X32" s="61">
        <v>1</v>
      </c>
      <c r="Y32" s="61">
        <v>6</v>
      </c>
      <c r="AC32" s="5" t="s">
        <v>179</v>
      </c>
      <c r="AD32" s="61">
        <v>221280</v>
      </c>
      <c r="AG32" s="71" t="str">
        <f t="shared" si="0"/>
        <v>SRIKANTH/NALGONDA , 9603185469</v>
      </c>
      <c r="AH32" s="72">
        <f t="shared" si="1"/>
        <v>6</v>
      </c>
      <c r="AI32" s="72">
        <f t="shared" si="2"/>
        <v>3</v>
      </c>
      <c r="AJ32" s="72">
        <f t="shared" si="3"/>
        <v>3</v>
      </c>
      <c r="AK32" s="73">
        <f t="shared" si="4"/>
        <v>1289407.1099999999</v>
      </c>
      <c r="AL32" s="75">
        <v>0.85</v>
      </c>
      <c r="AM32" s="73">
        <f t="shared" si="9"/>
        <v>1095996.0434999999</v>
      </c>
      <c r="AN32" s="74">
        <f t="shared" si="5"/>
        <v>0.69089930022178958</v>
      </c>
      <c r="AO32" s="73">
        <f t="shared" si="6"/>
        <v>890850.47</v>
      </c>
      <c r="AP32" s="72">
        <f t="shared" si="7"/>
        <v>1</v>
      </c>
      <c r="AQ32" s="73">
        <f t="shared" si="8"/>
        <v>221280</v>
      </c>
      <c r="AT32"/>
      <c r="AU32"/>
      <c r="AV32"/>
      <c r="AW32"/>
      <c r="AX32"/>
      <c r="AY32"/>
      <c r="AZ32"/>
      <c r="BA32"/>
      <c r="BB32"/>
      <c r="BC32"/>
      <c r="BD32"/>
      <c r="BF32" s="2" t="s">
        <v>55</v>
      </c>
      <c r="BG32" s="61">
        <v>26</v>
      </c>
      <c r="BH32" s="61">
        <v>8</v>
      </c>
      <c r="BI32" s="61">
        <v>34</v>
      </c>
      <c r="BJ32" s="61">
        <v>94</v>
      </c>
      <c r="BK32" s="61">
        <v>128</v>
      </c>
      <c r="BL32"/>
      <c r="BM32"/>
      <c r="BN32"/>
      <c r="BO32"/>
      <c r="BP32"/>
      <c r="BQ32"/>
      <c r="BR32"/>
      <c r="BT32" s="5" t="s">
        <v>1918</v>
      </c>
      <c r="BU32" s="61">
        <v>2</v>
      </c>
      <c r="BV32"/>
      <c r="BW32"/>
      <c r="BX32"/>
      <c r="BY32"/>
      <c r="BZ32"/>
      <c r="CA32" s="17" t="s">
        <v>102</v>
      </c>
      <c r="CB32" s="62">
        <v>1</v>
      </c>
      <c r="CC32" s="62">
        <v>4</v>
      </c>
      <c r="CD32" s="62">
        <v>2</v>
      </c>
      <c r="CE32" s="62">
        <v>6</v>
      </c>
      <c r="CF32" s="62">
        <v>7</v>
      </c>
      <c r="CG32"/>
      <c r="CH32"/>
      <c r="CI32"/>
      <c r="CJ32"/>
      <c r="CK32"/>
      <c r="CL32"/>
      <c r="CM32"/>
      <c r="CN32"/>
      <c r="CO32"/>
      <c r="CP32"/>
      <c r="CQ32"/>
      <c r="CR32"/>
      <c r="CS32"/>
      <c r="CT32"/>
      <c r="CU32"/>
      <c r="CV32"/>
      <c r="CW32"/>
      <c r="CX32"/>
      <c r="CY32"/>
      <c r="CZ32"/>
      <c r="DA32"/>
    </row>
    <row r="33" spans="1:105" x14ac:dyDescent="0.25">
      <c r="A33" s="2" t="s">
        <v>46</v>
      </c>
      <c r="B33" s="61"/>
      <c r="C33" s="61"/>
      <c r="D33" s="61"/>
      <c r="E33" s="61">
        <v>0</v>
      </c>
      <c r="F33" s="61">
        <v>0</v>
      </c>
      <c r="G33"/>
      <c r="K33" s="5" t="s">
        <v>94</v>
      </c>
      <c r="L33" s="61">
        <v>2</v>
      </c>
      <c r="M33" s="4">
        <v>0.20544646236983838</v>
      </c>
      <c r="N33" s="61">
        <v>157571</v>
      </c>
      <c r="O33" s="61">
        <v>3</v>
      </c>
      <c r="P33" s="4">
        <v>0.79455353763016145</v>
      </c>
      <c r="Q33" s="61">
        <v>609397.66999999993</v>
      </c>
      <c r="R33" s="61">
        <v>5</v>
      </c>
      <c r="S33" s="4">
        <v>1</v>
      </c>
      <c r="T33" s="61">
        <v>766968.67</v>
      </c>
      <c r="V33" s="5" t="s">
        <v>94</v>
      </c>
      <c r="W33" s="61">
        <v>5</v>
      </c>
      <c r="X33" s="61"/>
      <c r="Y33" s="61">
        <v>5</v>
      </c>
      <c r="AC33" s="5" t="s">
        <v>94</v>
      </c>
      <c r="AD33" s="61">
        <v>23000</v>
      </c>
      <c r="AG33" s="71" t="str">
        <f t="shared" si="0"/>
        <v>SRINIU/WEST , 9154934446</v>
      </c>
      <c r="AH33" s="72">
        <f t="shared" si="1"/>
        <v>5</v>
      </c>
      <c r="AI33" s="72">
        <f t="shared" si="2"/>
        <v>3</v>
      </c>
      <c r="AJ33" s="72">
        <f t="shared" si="3"/>
        <v>2</v>
      </c>
      <c r="AK33" s="73">
        <f t="shared" si="4"/>
        <v>766968.67</v>
      </c>
      <c r="AL33" s="75">
        <v>0.85</v>
      </c>
      <c r="AM33" s="73">
        <f t="shared" si="9"/>
        <v>651923.36950000003</v>
      </c>
      <c r="AN33" s="74">
        <f t="shared" si="5"/>
        <v>0.20544646236983838</v>
      </c>
      <c r="AO33" s="73">
        <f t="shared" si="6"/>
        <v>157571</v>
      </c>
      <c r="AP33" s="72">
        <f t="shared" si="7"/>
        <v>0</v>
      </c>
      <c r="AQ33" s="73">
        <f t="shared" si="8"/>
        <v>23000</v>
      </c>
      <c r="AT33"/>
      <c r="AU33"/>
      <c r="AV33"/>
      <c r="AW33"/>
      <c r="AX33"/>
      <c r="AY33"/>
      <c r="AZ33"/>
      <c r="BA33"/>
      <c r="BB33"/>
      <c r="BC33"/>
      <c r="BD33"/>
      <c r="BF33" s="6" t="s">
        <v>52</v>
      </c>
      <c r="BG33" s="7">
        <v>0.13895087928313285</v>
      </c>
      <c r="BH33" s="7">
        <v>3.1163928928348336E-2</v>
      </c>
      <c r="BI33" s="7">
        <v>0.1701148082114812</v>
      </c>
      <c r="BJ33" s="7">
        <v>0.82988519178851905</v>
      </c>
      <c r="BK33" s="7">
        <v>1</v>
      </c>
      <c r="BL33"/>
      <c r="BM33"/>
      <c r="BN33"/>
      <c r="BO33"/>
      <c r="BP33"/>
      <c r="BQ33"/>
      <c r="BR33"/>
      <c r="BT33" s="5" t="s">
        <v>259</v>
      </c>
      <c r="BU33" s="61">
        <v>4</v>
      </c>
      <c r="BV33"/>
      <c r="BW33"/>
      <c r="BX33"/>
      <c r="BY33"/>
      <c r="BZ33"/>
      <c r="CA33" s="17" t="s">
        <v>460</v>
      </c>
      <c r="CB33" s="62">
        <v>2</v>
      </c>
      <c r="CC33" s="62">
        <v>10</v>
      </c>
      <c r="CD33" s="62">
        <v>6</v>
      </c>
      <c r="CE33" s="62">
        <v>16</v>
      </c>
      <c r="CF33" s="62">
        <v>18</v>
      </c>
      <c r="CG33"/>
      <c r="CH33"/>
      <c r="CI33"/>
      <c r="CJ33"/>
      <c r="CK33"/>
      <c r="CL33"/>
      <c r="CM33"/>
      <c r="CN33"/>
      <c r="CO33"/>
      <c r="CP33"/>
      <c r="CQ33"/>
      <c r="CR33"/>
      <c r="CS33"/>
      <c r="CT33"/>
      <c r="CU33"/>
      <c r="CV33"/>
      <c r="CW33"/>
      <c r="CX33"/>
      <c r="CY33"/>
      <c r="CZ33"/>
      <c r="DA33"/>
    </row>
    <row r="34" spans="1:105" x14ac:dyDescent="0.25">
      <c r="A34" s="5">
        <v>11</v>
      </c>
      <c r="B34" s="61"/>
      <c r="C34" s="61"/>
      <c r="D34" s="61"/>
      <c r="E34" s="61"/>
      <c r="F34" s="61"/>
      <c r="G34"/>
      <c r="K34" s="5" t="s">
        <v>270</v>
      </c>
      <c r="L34" s="61">
        <v>2</v>
      </c>
      <c r="M34" s="4">
        <v>6.5090196995910454E-2</v>
      </c>
      <c r="N34" s="61">
        <v>119231.45999999999</v>
      </c>
      <c r="O34" s="61">
        <v>12</v>
      </c>
      <c r="P34" s="4">
        <v>0.93490980300408955</v>
      </c>
      <c r="Q34" s="61">
        <v>1712556.8200000003</v>
      </c>
      <c r="R34" s="61">
        <v>14</v>
      </c>
      <c r="S34" s="4">
        <v>1</v>
      </c>
      <c r="T34" s="61">
        <v>1831788.2800000003</v>
      </c>
      <c r="V34" s="5" t="s">
        <v>270</v>
      </c>
      <c r="W34" s="61">
        <v>7</v>
      </c>
      <c r="X34" s="61">
        <v>7</v>
      </c>
      <c r="Y34" s="61">
        <v>14</v>
      </c>
      <c r="AC34" s="5" t="s">
        <v>270</v>
      </c>
      <c r="AD34" s="61">
        <v>55540</v>
      </c>
      <c r="AG34" s="71" t="str">
        <f t="shared" si="0"/>
        <v>SRINIVAS/SURYAPET , 7989908024</v>
      </c>
      <c r="AH34" s="72">
        <f t="shared" si="1"/>
        <v>14</v>
      </c>
      <c r="AI34" s="72">
        <f t="shared" si="2"/>
        <v>12</v>
      </c>
      <c r="AJ34" s="72">
        <f t="shared" si="3"/>
        <v>2</v>
      </c>
      <c r="AK34" s="73">
        <f t="shared" si="4"/>
        <v>1831788.2800000003</v>
      </c>
      <c r="AL34" s="75">
        <v>0.85</v>
      </c>
      <c r="AM34" s="73">
        <f t="shared" si="9"/>
        <v>1557020.0380000002</v>
      </c>
      <c r="AN34" s="74">
        <f t="shared" si="5"/>
        <v>6.5090196995910454E-2</v>
      </c>
      <c r="AO34" s="73">
        <f t="shared" si="6"/>
        <v>119231.45999999999</v>
      </c>
      <c r="AP34" s="72">
        <f t="shared" si="7"/>
        <v>7</v>
      </c>
      <c r="AQ34" s="73">
        <f t="shared" si="8"/>
        <v>55540</v>
      </c>
      <c r="AT34"/>
      <c r="AU34"/>
      <c r="AV34"/>
      <c r="AW34"/>
      <c r="AX34"/>
      <c r="AY34"/>
      <c r="AZ34"/>
      <c r="BA34"/>
      <c r="BB34"/>
      <c r="BC34"/>
      <c r="BD34"/>
      <c r="BF34" s="2" t="s">
        <v>57</v>
      </c>
      <c r="BG34" s="61">
        <v>3653964.48</v>
      </c>
      <c r="BH34" s="61">
        <v>819511.83</v>
      </c>
      <c r="BI34" s="61">
        <v>4473476.3100000005</v>
      </c>
      <c r="BJ34" s="61">
        <v>21823330.869999997</v>
      </c>
      <c r="BK34" s="61">
        <v>26296807.179999992</v>
      </c>
      <c r="BL34"/>
      <c r="BM34"/>
      <c r="BN34"/>
      <c r="BO34"/>
      <c r="BP34"/>
      <c r="BQ34"/>
      <c r="BR34"/>
      <c r="BT34" s="5" t="s">
        <v>270</v>
      </c>
      <c r="BU34" s="61">
        <v>14</v>
      </c>
      <c r="BV34"/>
      <c r="BW34"/>
      <c r="BX34"/>
      <c r="BY34"/>
      <c r="BZ34"/>
      <c r="CA34" s="17" t="s">
        <v>179</v>
      </c>
      <c r="CB34" s="62">
        <v>3</v>
      </c>
      <c r="CC34" s="62">
        <v>1</v>
      </c>
      <c r="CD34" s="62">
        <v>2</v>
      </c>
      <c r="CE34" s="62">
        <v>3</v>
      </c>
      <c r="CF34" s="62">
        <v>6</v>
      </c>
      <c r="CG34"/>
      <c r="CH34"/>
      <c r="CI34"/>
      <c r="CJ34"/>
      <c r="CK34"/>
      <c r="CL34"/>
      <c r="CM34"/>
      <c r="CN34"/>
      <c r="CO34"/>
      <c r="CP34"/>
      <c r="CQ34"/>
      <c r="CR34"/>
      <c r="CS34"/>
      <c r="CT34"/>
      <c r="CU34"/>
      <c r="CV34"/>
      <c r="CW34"/>
      <c r="CX34"/>
      <c r="CY34"/>
      <c r="CZ34"/>
      <c r="DA34"/>
    </row>
    <row r="35" spans="1:105" x14ac:dyDescent="0.25">
      <c r="A35" s="2" t="s">
        <v>191</v>
      </c>
      <c r="B35" s="61">
        <v>4</v>
      </c>
      <c r="C35" s="61"/>
      <c r="D35" s="61">
        <v>4</v>
      </c>
      <c r="E35" s="61">
        <v>6</v>
      </c>
      <c r="F35" s="61">
        <v>10</v>
      </c>
      <c r="G35"/>
      <c r="K35" s="5" t="s">
        <v>253</v>
      </c>
      <c r="L35" s="61">
        <v>2</v>
      </c>
      <c r="M35" s="4">
        <v>0.26729631850859742</v>
      </c>
      <c r="N35" s="61">
        <v>243076.41999999998</v>
      </c>
      <c r="O35" s="61">
        <v>3</v>
      </c>
      <c r="P35" s="4">
        <v>0.73270368149140264</v>
      </c>
      <c r="Q35" s="61">
        <v>666312.91</v>
      </c>
      <c r="R35" s="61">
        <v>5</v>
      </c>
      <c r="S35" s="4">
        <v>1</v>
      </c>
      <c r="T35" s="61">
        <v>909389.33</v>
      </c>
      <c r="V35" s="5" t="s">
        <v>253</v>
      </c>
      <c r="W35" s="61">
        <v>3</v>
      </c>
      <c r="X35" s="61">
        <v>2</v>
      </c>
      <c r="Y35" s="61">
        <v>5</v>
      </c>
      <c r="AC35" s="5" t="s">
        <v>253</v>
      </c>
      <c r="AD35" s="61">
        <v>17100</v>
      </c>
      <c r="AG35" s="71" t="str">
        <f t="shared" si="0"/>
        <v>SRINU/GTR , 9704963641</v>
      </c>
      <c r="AH35" s="72">
        <f t="shared" si="1"/>
        <v>5</v>
      </c>
      <c r="AI35" s="72">
        <f t="shared" si="2"/>
        <v>3</v>
      </c>
      <c r="AJ35" s="72">
        <f t="shared" si="3"/>
        <v>2</v>
      </c>
      <c r="AK35" s="73">
        <f t="shared" si="4"/>
        <v>909389.33</v>
      </c>
      <c r="AL35" s="75">
        <v>0.85</v>
      </c>
      <c r="AM35" s="73">
        <f t="shared" si="9"/>
        <v>772980.9304999999</v>
      </c>
      <c r="AN35" s="74">
        <f t="shared" si="5"/>
        <v>0.26729631850859742</v>
      </c>
      <c r="AO35" s="73">
        <f t="shared" si="6"/>
        <v>243076.41999999998</v>
      </c>
      <c r="AP35" s="72">
        <f t="shared" si="7"/>
        <v>2</v>
      </c>
      <c r="AQ35" s="73">
        <f t="shared" si="8"/>
        <v>17100</v>
      </c>
      <c r="AT35"/>
      <c r="AU35"/>
      <c r="AV35"/>
      <c r="AW35"/>
      <c r="AX35"/>
      <c r="AY35"/>
      <c r="AZ35"/>
      <c r="BA35"/>
      <c r="BB35"/>
      <c r="BC35"/>
      <c r="BD35"/>
      <c r="BF35" s="2" t="s">
        <v>59</v>
      </c>
      <c r="BG35" s="61">
        <v>914657.79999999993</v>
      </c>
      <c r="BH35" s="61">
        <v>54192.94</v>
      </c>
      <c r="BI35" s="61">
        <v>968850.73999999987</v>
      </c>
      <c r="BJ35" s="61">
        <v>23500</v>
      </c>
      <c r="BK35" s="61">
        <v>992350.73999999987</v>
      </c>
      <c r="BL35"/>
      <c r="BM35"/>
      <c r="BN35"/>
      <c r="BO35"/>
      <c r="BP35"/>
      <c r="BQ35"/>
      <c r="BR35"/>
      <c r="BT35" s="5" t="s">
        <v>1916</v>
      </c>
      <c r="BU35" s="61">
        <v>2</v>
      </c>
      <c r="BV35"/>
      <c r="BW35"/>
      <c r="BX35"/>
      <c r="BY35"/>
      <c r="BZ35"/>
      <c r="CA35" s="17" t="s">
        <v>94</v>
      </c>
      <c r="CB35" s="62">
        <v>2</v>
      </c>
      <c r="CC35" s="62"/>
      <c r="CD35" s="62">
        <v>3</v>
      </c>
      <c r="CE35" s="62">
        <v>3</v>
      </c>
      <c r="CF35" s="62">
        <v>5</v>
      </c>
      <c r="CG35"/>
      <c r="CH35"/>
      <c r="CI35"/>
      <c r="CJ35"/>
      <c r="CK35"/>
      <c r="CL35"/>
      <c r="CM35"/>
      <c r="CN35"/>
      <c r="CO35"/>
      <c r="CP35"/>
      <c r="CQ35"/>
      <c r="CR35"/>
      <c r="CS35"/>
      <c r="CT35"/>
      <c r="CU35"/>
      <c r="CV35"/>
      <c r="CW35"/>
      <c r="CX35"/>
      <c r="CY35"/>
      <c r="CZ35"/>
      <c r="DA35"/>
    </row>
    <row r="36" spans="1:105" x14ac:dyDescent="0.25">
      <c r="A36" s="42" t="s">
        <v>228</v>
      </c>
      <c r="B36" s="43">
        <v>0.44613589323516706</v>
      </c>
      <c r="C36" s="43">
        <v>0</v>
      </c>
      <c r="D36" s="43">
        <v>0.44613589323516706</v>
      </c>
      <c r="E36" s="43">
        <v>0.55386410676483289</v>
      </c>
      <c r="F36" s="43">
        <v>1</v>
      </c>
      <c r="G36"/>
      <c r="K36" s="5" t="s">
        <v>461</v>
      </c>
      <c r="L36" s="61">
        <v>2</v>
      </c>
      <c r="M36" s="4">
        <v>8.2727110493792791E-2</v>
      </c>
      <c r="N36" s="61">
        <v>176879.51</v>
      </c>
      <c r="O36" s="61">
        <v>12</v>
      </c>
      <c r="P36" s="4">
        <v>0.91727288950620711</v>
      </c>
      <c r="Q36" s="61">
        <v>1961228.65</v>
      </c>
      <c r="R36" s="61">
        <v>14</v>
      </c>
      <c r="S36" s="4">
        <v>1</v>
      </c>
      <c r="T36" s="61">
        <v>2138108.16</v>
      </c>
      <c r="V36" s="5" t="s">
        <v>461</v>
      </c>
      <c r="W36" s="61">
        <v>2</v>
      </c>
      <c r="X36" s="61">
        <v>12</v>
      </c>
      <c r="Y36" s="61">
        <v>14</v>
      </c>
      <c r="AC36" s="5" t="s">
        <v>461</v>
      </c>
      <c r="AD36" s="61">
        <v>129840.15</v>
      </c>
      <c r="AG36" s="71" t="str">
        <f t="shared" si="0"/>
        <v>SUDHAKAR/VJW , 8179698034</v>
      </c>
      <c r="AH36" s="72">
        <f t="shared" si="1"/>
        <v>14</v>
      </c>
      <c r="AI36" s="72">
        <f t="shared" si="2"/>
        <v>12</v>
      </c>
      <c r="AJ36" s="72">
        <f t="shared" si="3"/>
        <v>2</v>
      </c>
      <c r="AK36" s="73">
        <f t="shared" si="4"/>
        <v>2138108.16</v>
      </c>
      <c r="AL36" s="75">
        <v>0.85</v>
      </c>
      <c r="AM36" s="73">
        <f t="shared" si="9"/>
        <v>1817391.936</v>
      </c>
      <c r="AN36" s="74">
        <f t="shared" si="5"/>
        <v>8.2727110493792791E-2</v>
      </c>
      <c r="AO36" s="73">
        <f t="shared" si="6"/>
        <v>176879.51</v>
      </c>
      <c r="AP36" s="72">
        <f t="shared" si="7"/>
        <v>12</v>
      </c>
      <c r="AQ36" s="73">
        <f t="shared" si="8"/>
        <v>129840.15</v>
      </c>
      <c r="AT36"/>
      <c r="AU36"/>
      <c r="AV36"/>
      <c r="AW36"/>
      <c r="AX36"/>
      <c r="AY36"/>
      <c r="AZ36"/>
      <c r="BA36"/>
      <c r="BB36"/>
      <c r="BC36"/>
      <c r="BD36"/>
      <c r="BF36" s="5" t="s">
        <v>258</v>
      </c>
      <c r="BG36" s="61"/>
      <c r="BH36" s="61"/>
      <c r="BI36" s="61"/>
      <c r="BJ36" s="61"/>
      <c r="BK36" s="61"/>
      <c r="BL36"/>
      <c r="BM36"/>
      <c r="BN36"/>
      <c r="BO36"/>
      <c r="BP36"/>
      <c r="BQ36"/>
      <c r="BR36"/>
      <c r="BT36" s="5" t="s">
        <v>461</v>
      </c>
      <c r="BU36" s="61">
        <v>14</v>
      </c>
      <c r="BV36"/>
      <c r="BW36"/>
      <c r="BX36"/>
      <c r="BY36"/>
      <c r="BZ36"/>
      <c r="CA36" s="17" t="s">
        <v>270</v>
      </c>
      <c r="CB36" s="62">
        <v>2</v>
      </c>
      <c r="CC36" s="62">
        <v>7</v>
      </c>
      <c r="CD36" s="62">
        <v>5</v>
      </c>
      <c r="CE36" s="62">
        <v>12</v>
      </c>
      <c r="CF36" s="62">
        <v>14</v>
      </c>
      <c r="CG36"/>
      <c r="CH36"/>
      <c r="CI36"/>
      <c r="CJ36"/>
      <c r="CK36"/>
      <c r="CL36"/>
      <c r="CM36"/>
      <c r="CN36"/>
      <c r="CO36"/>
      <c r="CP36"/>
      <c r="CQ36"/>
      <c r="CR36"/>
      <c r="CS36"/>
      <c r="CT36"/>
      <c r="CU36"/>
      <c r="CV36"/>
      <c r="CW36"/>
      <c r="CX36"/>
      <c r="CY36"/>
      <c r="CZ36"/>
      <c r="DA36"/>
    </row>
    <row r="37" spans="1:105" x14ac:dyDescent="0.25">
      <c r="A37" s="2" t="s">
        <v>227</v>
      </c>
      <c r="B37" s="61">
        <v>1297626.71</v>
      </c>
      <c r="C37" s="61"/>
      <c r="D37" s="61">
        <v>1297626.71</v>
      </c>
      <c r="E37" s="61">
        <v>1610963.9900000002</v>
      </c>
      <c r="F37" s="61">
        <v>2908590.7</v>
      </c>
      <c r="G37"/>
      <c r="K37" s="5" t="s">
        <v>2082</v>
      </c>
      <c r="L37" s="61"/>
      <c r="M37" s="4">
        <v>0</v>
      </c>
      <c r="N37" s="61"/>
      <c r="O37" s="61">
        <v>4</v>
      </c>
      <c r="P37" s="4">
        <v>1</v>
      </c>
      <c r="Q37" s="61">
        <v>1041203.88</v>
      </c>
      <c r="R37" s="61">
        <v>4</v>
      </c>
      <c r="S37" s="4">
        <v>1</v>
      </c>
      <c r="T37" s="61">
        <v>1041203.88</v>
      </c>
      <c r="V37" s="5" t="s">
        <v>2082</v>
      </c>
      <c r="W37" s="61"/>
      <c r="X37" s="61">
        <v>4</v>
      </c>
      <c r="Y37" s="61">
        <v>4</v>
      </c>
      <c r="AC37" s="5" t="s">
        <v>2082</v>
      </c>
      <c r="AD37" s="61">
        <v>15000</v>
      </c>
      <c r="AG37" s="71" t="str">
        <f t="shared" si="0"/>
        <v>SUMAN/PRODDATUR , 8008697833</v>
      </c>
      <c r="AH37" s="72">
        <f t="shared" si="1"/>
        <v>4</v>
      </c>
      <c r="AI37" s="72">
        <f t="shared" si="2"/>
        <v>4</v>
      </c>
      <c r="AJ37" s="72">
        <f t="shared" si="3"/>
        <v>0</v>
      </c>
      <c r="AK37" s="73">
        <f t="shared" si="4"/>
        <v>1041203.88</v>
      </c>
      <c r="AL37" s="75">
        <v>0.85</v>
      </c>
      <c r="AM37" s="73">
        <f t="shared" si="9"/>
        <v>885023.29799999995</v>
      </c>
      <c r="AN37" s="74">
        <f t="shared" si="5"/>
        <v>0</v>
      </c>
      <c r="AO37" s="73">
        <f t="shared" si="6"/>
        <v>0</v>
      </c>
      <c r="AP37" s="72">
        <f t="shared" si="7"/>
        <v>4</v>
      </c>
      <c r="AQ37" s="73">
        <f t="shared" si="8"/>
        <v>15000</v>
      </c>
      <c r="AT37"/>
      <c r="AU37"/>
      <c r="AV37"/>
      <c r="AW37"/>
      <c r="AX37"/>
      <c r="AY37"/>
      <c r="AZ37"/>
      <c r="BA37"/>
      <c r="BB37"/>
      <c r="BC37"/>
      <c r="BD37"/>
      <c r="BF37" s="2" t="s">
        <v>55</v>
      </c>
      <c r="BG37" s="61">
        <v>2</v>
      </c>
      <c r="BH37" s="61"/>
      <c r="BI37" s="61">
        <v>2</v>
      </c>
      <c r="BJ37" s="61">
        <v>12</v>
      </c>
      <c r="BK37" s="61">
        <v>14</v>
      </c>
      <c r="BL37"/>
      <c r="BM37"/>
      <c r="BN37"/>
      <c r="BO37"/>
      <c r="BP37"/>
      <c r="BQ37"/>
      <c r="BR37"/>
      <c r="BT37" s="5" t="s">
        <v>459</v>
      </c>
      <c r="BU37" s="61">
        <v>10</v>
      </c>
      <c r="BV37"/>
      <c r="BW37"/>
      <c r="BX37"/>
      <c r="BY37"/>
      <c r="BZ37"/>
      <c r="CA37" s="17" t="s">
        <v>253</v>
      </c>
      <c r="CB37" s="62">
        <v>2</v>
      </c>
      <c r="CC37" s="62">
        <v>2</v>
      </c>
      <c r="CD37" s="62">
        <v>1</v>
      </c>
      <c r="CE37" s="62">
        <v>3</v>
      </c>
      <c r="CF37" s="62">
        <v>5</v>
      </c>
      <c r="CG37"/>
      <c r="CH37"/>
      <c r="CI37"/>
      <c r="CJ37"/>
      <c r="CK37"/>
      <c r="CL37"/>
      <c r="CM37"/>
      <c r="CN37"/>
      <c r="CO37"/>
      <c r="CP37"/>
      <c r="CQ37"/>
      <c r="CR37"/>
      <c r="CS37"/>
      <c r="CT37"/>
      <c r="CU37"/>
      <c r="CV37"/>
      <c r="CW37"/>
      <c r="CX37"/>
      <c r="CY37"/>
      <c r="CZ37"/>
      <c r="DA37"/>
    </row>
    <row r="38" spans="1:105" x14ac:dyDescent="0.25">
      <c r="A38" s="2" t="s">
        <v>46</v>
      </c>
      <c r="B38" s="61">
        <v>360797.63</v>
      </c>
      <c r="C38" s="61"/>
      <c r="D38" s="61">
        <v>360797.63</v>
      </c>
      <c r="E38" s="61">
        <v>15000</v>
      </c>
      <c r="F38" s="61">
        <v>375797.63</v>
      </c>
      <c r="G38"/>
      <c r="K38" s="5" t="s">
        <v>111</v>
      </c>
      <c r="L38" s="61">
        <v>6</v>
      </c>
      <c r="M38" s="4">
        <v>0.33189563123347082</v>
      </c>
      <c r="N38" s="61">
        <v>1396454.35</v>
      </c>
      <c r="O38" s="61">
        <v>6</v>
      </c>
      <c r="P38" s="4">
        <v>0.66810436876652923</v>
      </c>
      <c r="Q38" s="61">
        <v>2811056.14</v>
      </c>
      <c r="R38" s="61">
        <v>12</v>
      </c>
      <c r="S38" s="4">
        <v>1</v>
      </c>
      <c r="T38" s="61">
        <v>4207510.49</v>
      </c>
      <c r="V38" s="5" t="s">
        <v>111</v>
      </c>
      <c r="W38" s="61">
        <v>12</v>
      </c>
      <c r="X38" s="61"/>
      <c r="Y38" s="61">
        <v>12</v>
      </c>
      <c r="AC38" s="5" t="s">
        <v>111</v>
      </c>
      <c r="AD38" s="61">
        <v>240027.40000000002</v>
      </c>
      <c r="AG38" s="71" t="str">
        <f t="shared" si="0"/>
        <v>SWAGATH/ADILABAD , 9666210999</v>
      </c>
      <c r="AH38" s="72">
        <f t="shared" si="1"/>
        <v>12</v>
      </c>
      <c r="AI38" s="72">
        <f t="shared" si="2"/>
        <v>6</v>
      </c>
      <c r="AJ38" s="72">
        <f t="shared" si="3"/>
        <v>6</v>
      </c>
      <c r="AK38" s="73">
        <f t="shared" si="4"/>
        <v>4207510.49</v>
      </c>
      <c r="AL38" s="75">
        <v>0.85</v>
      </c>
      <c r="AM38" s="73">
        <f t="shared" si="9"/>
        <v>3576383.9165000003</v>
      </c>
      <c r="AN38" s="74">
        <f t="shared" si="5"/>
        <v>0.33189563123347082</v>
      </c>
      <c r="AO38" s="73">
        <f t="shared" si="6"/>
        <v>1396454.35</v>
      </c>
      <c r="AP38" s="72">
        <f t="shared" si="7"/>
        <v>0</v>
      </c>
      <c r="AQ38" s="73">
        <f t="shared" si="8"/>
        <v>240027.40000000002</v>
      </c>
      <c r="AT38"/>
      <c r="AU38"/>
      <c r="AV38"/>
      <c r="AW38"/>
      <c r="AX38"/>
      <c r="AY38"/>
      <c r="AZ38"/>
      <c r="BA38"/>
      <c r="BB38"/>
      <c r="BC38"/>
      <c r="BD38"/>
      <c r="BF38" s="6" t="s">
        <v>52</v>
      </c>
      <c r="BG38" s="7">
        <v>8.2727110493792791E-2</v>
      </c>
      <c r="BH38" s="7">
        <v>0</v>
      </c>
      <c r="BI38" s="7">
        <v>8.2727110493792791E-2</v>
      </c>
      <c r="BJ38" s="7">
        <v>0.91727288950620711</v>
      </c>
      <c r="BK38" s="7">
        <v>1</v>
      </c>
      <c r="BL38"/>
      <c r="BM38"/>
      <c r="BN38"/>
      <c r="BO38"/>
      <c r="BP38"/>
      <c r="BQ38"/>
      <c r="BR38"/>
      <c r="BT38" s="5" t="s">
        <v>460</v>
      </c>
      <c r="BU38" s="61">
        <v>18</v>
      </c>
      <c r="BV38"/>
      <c r="BW38"/>
      <c r="BX38"/>
      <c r="BY38"/>
      <c r="BZ38"/>
      <c r="CA38" s="17" t="s">
        <v>461</v>
      </c>
      <c r="CB38" s="62">
        <v>2</v>
      </c>
      <c r="CC38" s="62">
        <v>12</v>
      </c>
      <c r="CD38" s="62"/>
      <c r="CE38" s="62">
        <v>12</v>
      </c>
      <c r="CF38" s="62">
        <v>14</v>
      </c>
      <c r="CG38"/>
      <c r="CH38"/>
      <c r="CI38"/>
      <c r="CJ38"/>
      <c r="CK38"/>
      <c r="CL38"/>
      <c r="CM38"/>
      <c r="CN38"/>
      <c r="CO38"/>
      <c r="CP38"/>
      <c r="CQ38"/>
      <c r="CR38"/>
      <c r="CS38"/>
      <c r="CT38"/>
      <c r="CU38"/>
      <c r="CV38"/>
      <c r="CW38"/>
      <c r="CX38"/>
      <c r="CY38"/>
      <c r="CZ38"/>
      <c r="DA38"/>
    </row>
    <row r="39" spans="1:105" x14ac:dyDescent="0.25">
      <c r="A39" s="5">
        <v>12</v>
      </c>
      <c r="B39" s="61"/>
      <c r="C39" s="61"/>
      <c r="D39" s="61"/>
      <c r="E39" s="61"/>
      <c r="F39" s="61"/>
      <c r="G39"/>
      <c r="K39" s="5" t="s">
        <v>259</v>
      </c>
      <c r="L39" s="61"/>
      <c r="M39" s="4">
        <v>0</v>
      </c>
      <c r="N39" s="61"/>
      <c r="O39" s="61">
        <v>4</v>
      </c>
      <c r="P39" s="4">
        <v>1</v>
      </c>
      <c r="Q39" s="61">
        <v>973838.66999999993</v>
      </c>
      <c r="R39" s="61">
        <v>4</v>
      </c>
      <c r="S39" s="4">
        <v>1</v>
      </c>
      <c r="T39" s="61">
        <v>973838.66999999993</v>
      </c>
      <c r="V39" s="5" t="s">
        <v>259</v>
      </c>
      <c r="W39" s="61">
        <v>1</v>
      </c>
      <c r="X39" s="61">
        <v>3</v>
      </c>
      <c r="Y39" s="61">
        <v>4</v>
      </c>
      <c r="AC39" s="5" t="s">
        <v>259</v>
      </c>
      <c r="AD39" s="61">
        <v>184.57</v>
      </c>
      <c r="AG39" s="71" t="str">
        <f t="shared" si="0"/>
        <v>TIRMURTHULU/TADEPALLIGUDEM , 9542330423</v>
      </c>
      <c r="AH39" s="72">
        <f t="shared" si="1"/>
        <v>4</v>
      </c>
      <c r="AI39" s="72">
        <f t="shared" si="2"/>
        <v>4</v>
      </c>
      <c r="AJ39" s="72">
        <f t="shared" si="3"/>
        <v>0</v>
      </c>
      <c r="AK39" s="73">
        <f t="shared" si="4"/>
        <v>973838.66999999993</v>
      </c>
      <c r="AL39" s="75">
        <v>0.85</v>
      </c>
      <c r="AM39" s="73">
        <f t="shared" si="9"/>
        <v>827762.86949999991</v>
      </c>
      <c r="AN39" s="74">
        <f t="shared" si="5"/>
        <v>0</v>
      </c>
      <c r="AO39" s="73">
        <f t="shared" si="6"/>
        <v>0</v>
      </c>
      <c r="AP39" s="72">
        <f t="shared" si="7"/>
        <v>3</v>
      </c>
      <c r="AQ39" s="73">
        <f t="shared" si="8"/>
        <v>184.57</v>
      </c>
      <c r="AT39"/>
      <c r="AU39"/>
      <c r="AV39"/>
      <c r="AW39"/>
      <c r="AX39"/>
      <c r="AY39"/>
      <c r="AZ39"/>
      <c r="BA39"/>
      <c r="BB39"/>
      <c r="BC39"/>
      <c r="BD39"/>
      <c r="BF39" s="2" t="s">
        <v>57</v>
      </c>
      <c r="BG39" s="61">
        <v>176879.51</v>
      </c>
      <c r="BH39" s="61"/>
      <c r="BI39" s="61">
        <v>176879.51</v>
      </c>
      <c r="BJ39" s="61">
        <v>1961228.65</v>
      </c>
      <c r="BK39" s="61">
        <v>2138108.16</v>
      </c>
      <c r="BL39"/>
      <c r="BM39"/>
      <c r="BN39"/>
      <c r="BO39"/>
      <c r="BP39"/>
      <c r="BQ39"/>
      <c r="BR39"/>
      <c r="BT39" s="5" t="s">
        <v>664</v>
      </c>
      <c r="BU39" s="61">
        <v>6</v>
      </c>
      <c r="BV39"/>
      <c r="BW39"/>
      <c r="BX39"/>
      <c r="BY39"/>
      <c r="BZ39"/>
      <c r="CA39" s="17" t="s">
        <v>2082</v>
      </c>
      <c r="CB39" s="62"/>
      <c r="CC39" s="62">
        <v>4</v>
      </c>
      <c r="CD39" s="62"/>
      <c r="CE39" s="62">
        <v>4</v>
      </c>
      <c r="CF39" s="62">
        <v>4</v>
      </c>
      <c r="CG39"/>
      <c r="CH39"/>
      <c r="CI39"/>
      <c r="CJ39"/>
      <c r="CK39"/>
      <c r="CL39"/>
      <c r="CM39"/>
      <c r="CN39"/>
      <c r="CO39"/>
      <c r="CP39"/>
      <c r="CQ39"/>
      <c r="CR39"/>
      <c r="CS39"/>
      <c r="CT39"/>
      <c r="CU39"/>
      <c r="CV39"/>
      <c r="CW39"/>
      <c r="CX39"/>
      <c r="CY39"/>
      <c r="CZ39"/>
      <c r="DA39"/>
    </row>
    <row r="40" spans="1:105" x14ac:dyDescent="0.25">
      <c r="A40" s="2" t="s">
        <v>191</v>
      </c>
      <c r="B40" s="61">
        <v>3</v>
      </c>
      <c r="C40" s="61"/>
      <c r="D40" s="61">
        <v>3</v>
      </c>
      <c r="E40" s="61">
        <v>12</v>
      </c>
      <c r="F40" s="61">
        <v>15</v>
      </c>
      <c r="G40"/>
      <c r="K40" s="5" t="s">
        <v>75</v>
      </c>
      <c r="L40" s="61">
        <v>9</v>
      </c>
      <c r="M40" s="4">
        <v>0.54197226934629561</v>
      </c>
      <c r="N40" s="61">
        <v>1946563.71</v>
      </c>
      <c r="O40" s="61">
        <v>10</v>
      </c>
      <c r="P40" s="4">
        <v>0.4580277306537045</v>
      </c>
      <c r="Q40" s="61">
        <v>1645066.0099999998</v>
      </c>
      <c r="R40" s="61">
        <v>19</v>
      </c>
      <c r="S40" s="4">
        <v>1</v>
      </c>
      <c r="T40" s="61">
        <v>3591629.7199999993</v>
      </c>
      <c r="V40" s="5" t="s">
        <v>75</v>
      </c>
      <c r="W40" s="61">
        <v>14</v>
      </c>
      <c r="X40" s="61">
        <v>5</v>
      </c>
      <c r="Y40" s="61">
        <v>19</v>
      </c>
      <c r="AC40" s="5" t="s">
        <v>75</v>
      </c>
      <c r="AD40" s="61">
        <v>506267.36000000004</v>
      </c>
      <c r="AG40" s="71" t="str">
        <f t="shared" si="0"/>
        <v>TULASI/NELLORE , 8897907043</v>
      </c>
      <c r="AH40" s="72">
        <f t="shared" si="1"/>
        <v>19</v>
      </c>
      <c r="AI40" s="72">
        <f t="shared" si="2"/>
        <v>10</v>
      </c>
      <c r="AJ40" s="72">
        <f t="shared" si="3"/>
        <v>9</v>
      </c>
      <c r="AK40" s="73">
        <f t="shared" si="4"/>
        <v>3591629.7199999993</v>
      </c>
      <c r="AL40" s="75">
        <v>0.85</v>
      </c>
      <c r="AM40" s="73">
        <f t="shared" si="9"/>
        <v>3052885.2619999992</v>
      </c>
      <c r="AN40" s="74">
        <f t="shared" si="5"/>
        <v>0.54197226934629561</v>
      </c>
      <c r="AO40" s="73">
        <f t="shared" si="6"/>
        <v>1946563.71</v>
      </c>
      <c r="AP40" s="72">
        <f t="shared" si="7"/>
        <v>5</v>
      </c>
      <c r="AQ40" s="73">
        <f t="shared" si="8"/>
        <v>506267.36000000004</v>
      </c>
      <c r="AT40"/>
      <c r="AU40"/>
      <c r="AV40"/>
      <c r="AW40"/>
      <c r="AX40"/>
      <c r="AY40"/>
      <c r="AZ40"/>
      <c r="BA40"/>
      <c r="BB40"/>
      <c r="BC40"/>
      <c r="BD40"/>
      <c r="BF40" s="2" t="s">
        <v>59</v>
      </c>
      <c r="BG40" s="61">
        <v>129840.15</v>
      </c>
      <c r="BH40" s="61"/>
      <c r="BI40" s="61">
        <v>129840.15</v>
      </c>
      <c r="BJ40" s="61">
        <v>0</v>
      </c>
      <c r="BK40" s="61">
        <v>129840.15</v>
      </c>
      <c r="BL40"/>
      <c r="BM40"/>
      <c r="BN40"/>
      <c r="BO40"/>
      <c r="BP40"/>
      <c r="BQ40"/>
      <c r="BR40"/>
      <c r="BT40" s="5" t="s">
        <v>2082</v>
      </c>
      <c r="BU40" s="61">
        <v>4</v>
      </c>
      <c r="BV40"/>
      <c r="BW40"/>
      <c r="BX40"/>
      <c r="BY40"/>
      <c r="BZ40"/>
      <c r="CA40" s="17" t="s">
        <v>111</v>
      </c>
      <c r="CB40" s="62">
        <v>6</v>
      </c>
      <c r="CC40" s="62"/>
      <c r="CD40" s="62">
        <v>6</v>
      </c>
      <c r="CE40" s="62">
        <v>6</v>
      </c>
      <c r="CF40" s="62">
        <v>12</v>
      </c>
      <c r="CG40"/>
      <c r="CH40"/>
      <c r="CI40"/>
      <c r="CJ40"/>
      <c r="CK40"/>
      <c r="CL40"/>
      <c r="CM40"/>
      <c r="CN40"/>
      <c r="CO40"/>
      <c r="CP40"/>
      <c r="CQ40"/>
      <c r="CR40"/>
      <c r="CS40"/>
      <c r="CT40"/>
      <c r="CU40"/>
      <c r="CV40"/>
      <c r="CW40"/>
      <c r="CX40"/>
      <c r="CY40"/>
      <c r="CZ40"/>
      <c r="DA40"/>
    </row>
    <row r="41" spans="1:105" x14ac:dyDescent="0.25">
      <c r="A41" s="42" t="s">
        <v>228</v>
      </c>
      <c r="B41" s="43">
        <v>0.157393446927268</v>
      </c>
      <c r="C41" s="43">
        <v>0</v>
      </c>
      <c r="D41" s="43">
        <v>0.157393446927268</v>
      </c>
      <c r="E41" s="43">
        <v>0.8426065530727318</v>
      </c>
      <c r="F41" s="43">
        <v>1</v>
      </c>
      <c r="G41"/>
      <c r="K41" s="5" t="s">
        <v>96</v>
      </c>
      <c r="L41" s="61"/>
      <c r="M41" s="4">
        <v>0</v>
      </c>
      <c r="N41" s="61"/>
      <c r="O41" s="61">
        <v>1</v>
      </c>
      <c r="P41" s="4">
        <v>1</v>
      </c>
      <c r="Q41" s="61">
        <v>827028.02</v>
      </c>
      <c r="R41" s="61">
        <v>1</v>
      </c>
      <c r="S41" s="4">
        <v>1</v>
      </c>
      <c r="T41" s="61">
        <v>827028.02</v>
      </c>
      <c r="V41" s="5" t="s">
        <v>96</v>
      </c>
      <c r="W41" s="61"/>
      <c r="X41" s="61">
        <v>1</v>
      </c>
      <c r="Y41" s="61">
        <v>1</v>
      </c>
      <c r="AC41" s="5" t="s">
        <v>96</v>
      </c>
      <c r="AD41" s="61">
        <v>0</v>
      </c>
      <c r="AG41" s="71" t="str">
        <f t="shared" si="0"/>
        <v>TUNI</v>
      </c>
      <c r="AH41" s="72">
        <f t="shared" si="1"/>
        <v>1</v>
      </c>
      <c r="AI41" s="72">
        <f t="shared" si="2"/>
        <v>1</v>
      </c>
      <c r="AJ41" s="72">
        <f t="shared" si="3"/>
        <v>0</v>
      </c>
      <c r="AK41" s="73">
        <f t="shared" si="4"/>
        <v>827028.02</v>
      </c>
      <c r="AL41" s="75">
        <v>0.85</v>
      </c>
      <c r="AM41" s="73">
        <f t="shared" si="9"/>
        <v>702973.81700000004</v>
      </c>
      <c r="AN41" s="74">
        <f t="shared" si="5"/>
        <v>0</v>
      </c>
      <c r="AO41" s="73">
        <f t="shared" si="6"/>
        <v>0</v>
      </c>
      <c r="AP41" s="72">
        <f t="shared" si="7"/>
        <v>1</v>
      </c>
      <c r="AQ41" s="73">
        <f t="shared" si="8"/>
        <v>0</v>
      </c>
      <c r="AT41"/>
      <c r="AU41"/>
      <c r="AV41"/>
      <c r="AW41"/>
      <c r="AX41"/>
      <c r="AY41"/>
      <c r="AZ41"/>
      <c r="BA41"/>
      <c r="BB41"/>
      <c r="BC41"/>
      <c r="BD41"/>
      <c r="BF41" s="2" t="s">
        <v>56</v>
      </c>
      <c r="BG41" s="61">
        <v>45</v>
      </c>
      <c r="BH41" s="61">
        <v>21</v>
      </c>
      <c r="BI41" s="61">
        <v>66</v>
      </c>
      <c r="BJ41" s="61">
        <v>202</v>
      </c>
      <c r="BK41" s="61">
        <v>268</v>
      </c>
      <c r="BL41"/>
      <c r="BM41"/>
      <c r="BN41"/>
      <c r="BO41"/>
      <c r="BP41"/>
      <c r="BQ41"/>
      <c r="BR41"/>
      <c r="BT41" s="5" t="s">
        <v>872</v>
      </c>
      <c r="BU41" s="61">
        <v>9</v>
      </c>
      <c r="BV41"/>
      <c r="BW41"/>
      <c r="BX41"/>
      <c r="BY41"/>
      <c r="BZ41"/>
      <c r="CA41" s="17" t="s">
        <v>259</v>
      </c>
      <c r="CB41" s="62"/>
      <c r="CC41" s="62">
        <v>3</v>
      </c>
      <c r="CD41" s="62">
        <v>1</v>
      </c>
      <c r="CE41" s="62">
        <v>4</v>
      </c>
      <c r="CF41" s="62">
        <v>4</v>
      </c>
      <c r="CG41"/>
      <c r="CH41"/>
      <c r="CI41"/>
      <c r="CJ41"/>
      <c r="CK41"/>
      <c r="CL41"/>
      <c r="CM41"/>
    </row>
    <row r="42" spans="1:105" x14ac:dyDescent="0.25">
      <c r="A42" s="2" t="s">
        <v>227</v>
      </c>
      <c r="B42" s="61">
        <v>687034.97</v>
      </c>
      <c r="C42" s="61"/>
      <c r="D42" s="61">
        <v>687034.97</v>
      </c>
      <c r="E42" s="61">
        <v>3678044.92</v>
      </c>
      <c r="F42" s="61">
        <v>4365079.8900000006</v>
      </c>
      <c r="G42"/>
      <c r="K42" s="5" t="s">
        <v>95</v>
      </c>
      <c r="L42" s="61">
        <v>2</v>
      </c>
      <c r="M42" s="4">
        <v>0.55079282048888223</v>
      </c>
      <c r="N42" s="61">
        <v>610030.01</v>
      </c>
      <c r="O42" s="61">
        <v>4</v>
      </c>
      <c r="P42" s="4">
        <v>0.44920717951111777</v>
      </c>
      <c r="Q42" s="61">
        <v>497518.94</v>
      </c>
      <c r="R42" s="61">
        <v>6</v>
      </c>
      <c r="S42" s="4">
        <v>1</v>
      </c>
      <c r="T42" s="61">
        <v>1107548.95</v>
      </c>
      <c r="V42" s="5" t="s">
        <v>95</v>
      </c>
      <c r="W42" s="61">
        <v>5</v>
      </c>
      <c r="X42" s="61">
        <v>1</v>
      </c>
      <c r="Y42" s="61">
        <v>6</v>
      </c>
      <c r="AC42" s="5" t="s">
        <v>95</v>
      </c>
      <c r="AD42" s="61">
        <v>81979.12</v>
      </c>
      <c r="AG42" s="71" t="str">
        <f t="shared" si="0"/>
        <v>UDAY/KAKINADA , 9032220101</v>
      </c>
      <c r="AH42" s="72">
        <f t="shared" si="1"/>
        <v>6</v>
      </c>
      <c r="AI42" s="72">
        <f t="shared" si="2"/>
        <v>4</v>
      </c>
      <c r="AJ42" s="72">
        <f t="shared" si="3"/>
        <v>2</v>
      </c>
      <c r="AK42" s="73">
        <f t="shared" si="4"/>
        <v>1107548.95</v>
      </c>
      <c r="AL42" s="75">
        <v>0.85</v>
      </c>
      <c r="AM42" s="73">
        <f t="shared" si="9"/>
        <v>941416.60749999993</v>
      </c>
      <c r="AN42" s="74">
        <f t="shared" si="5"/>
        <v>0.55079282048888223</v>
      </c>
      <c r="AO42" s="73">
        <f t="shared" si="6"/>
        <v>610030.01</v>
      </c>
      <c r="AP42" s="72">
        <f t="shared" si="7"/>
        <v>1</v>
      </c>
      <c r="AQ42" s="73">
        <f t="shared" si="8"/>
        <v>81979.12</v>
      </c>
      <c r="AT42"/>
      <c r="AU42"/>
      <c r="AV42"/>
      <c r="AW42"/>
      <c r="AX42"/>
      <c r="AY42"/>
      <c r="AZ42"/>
      <c r="BA42"/>
      <c r="BB42"/>
      <c r="BC42"/>
      <c r="BD42"/>
      <c r="BF42" s="2" t="s">
        <v>53</v>
      </c>
      <c r="BG42" s="7">
        <v>0.14446304303598478</v>
      </c>
      <c r="BH42" s="7">
        <v>6.1250996613688921E-2</v>
      </c>
      <c r="BI42" s="7">
        <v>0.20571403964967366</v>
      </c>
      <c r="BJ42" s="7">
        <v>0.79428596035032717</v>
      </c>
      <c r="BK42" s="7">
        <v>1</v>
      </c>
      <c r="BL42"/>
      <c r="BM42"/>
      <c r="BN42"/>
      <c r="BO42"/>
      <c r="BP42"/>
      <c r="BQ42"/>
      <c r="BR42"/>
      <c r="BT42" s="5" t="s">
        <v>626</v>
      </c>
      <c r="BU42" s="61">
        <v>5</v>
      </c>
      <c r="BV42"/>
      <c r="BW42"/>
      <c r="BX42"/>
      <c r="BY42"/>
      <c r="BZ42"/>
      <c r="CA42" s="17" t="s">
        <v>75</v>
      </c>
      <c r="CB42" s="62">
        <v>9</v>
      </c>
      <c r="CC42" s="62">
        <v>5</v>
      </c>
      <c r="CD42" s="62">
        <v>5</v>
      </c>
      <c r="CE42" s="62">
        <v>10</v>
      </c>
      <c r="CF42" s="62">
        <v>19</v>
      </c>
      <c r="CG42"/>
      <c r="CH42"/>
      <c r="CI42"/>
      <c r="CJ42"/>
      <c r="CK42"/>
      <c r="CL42"/>
      <c r="CM42"/>
    </row>
    <row r="43" spans="1:105" x14ac:dyDescent="0.25">
      <c r="A43" s="2" t="s">
        <v>46</v>
      </c>
      <c r="B43" s="61">
        <v>116839.12</v>
      </c>
      <c r="C43" s="61"/>
      <c r="D43" s="61">
        <v>116839.12</v>
      </c>
      <c r="E43" s="61">
        <v>0</v>
      </c>
      <c r="F43" s="61">
        <v>116839.12</v>
      </c>
      <c r="G43"/>
      <c r="K43" s="5" t="s">
        <v>262</v>
      </c>
      <c r="L43" s="61"/>
      <c r="M43" s="4">
        <v>0</v>
      </c>
      <c r="N43" s="61"/>
      <c r="O43" s="61">
        <v>3</v>
      </c>
      <c r="P43" s="4">
        <v>1</v>
      </c>
      <c r="Q43" s="61">
        <v>148490.30000000002</v>
      </c>
      <c r="R43" s="61">
        <v>3</v>
      </c>
      <c r="S43" s="4">
        <v>1</v>
      </c>
      <c r="T43" s="61">
        <v>148490.30000000002</v>
      </c>
      <c r="V43" s="5" t="s">
        <v>262</v>
      </c>
      <c r="W43" s="61"/>
      <c r="X43" s="61">
        <v>3</v>
      </c>
      <c r="Y43" s="61">
        <v>3</v>
      </c>
      <c r="AC43" s="5" t="s">
        <v>262</v>
      </c>
      <c r="AD43" s="61">
        <v>0</v>
      </c>
      <c r="AG43" s="71" t="str">
        <f t="shared" si="0"/>
        <v>VALLI/ADONI , 9963854572</v>
      </c>
      <c r="AH43" s="72">
        <f t="shared" si="1"/>
        <v>3</v>
      </c>
      <c r="AI43" s="72">
        <f t="shared" si="2"/>
        <v>3</v>
      </c>
      <c r="AJ43" s="72">
        <f t="shared" si="3"/>
        <v>0</v>
      </c>
      <c r="AK43" s="73">
        <f t="shared" si="4"/>
        <v>148490.30000000002</v>
      </c>
      <c r="AL43" s="75">
        <v>0.85</v>
      </c>
      <c r="AM43" s="73">
        <f t="shared" si="9"/>
        <v>126216.755</v>
      </c>
      <c r="AN43" s="74">
        <f t="shared" si="5"/>
        <v>0</v>
      </c>
      <c r="AO43" s="73">
        <f t="shared" si="6"/>
        <v>0</v>
      </c>
      <c r="AP43" s="72">
        <f t="shared" si="7"/>
        <v>3</v>
      </c>
      <c r="AQ43" s="73">
        <f t="shared" si="8"/>
        <v>0</v>
      </c>
      <c r="AT43"/>
      <c r="AU43"/>
      <c r="AV43"/>
      <c r="AW43"/>
      <c r="AX43"/>
      <c r="AY43"/>
      <c r="AZ43"/>
      <c r="BA43"/>
      <c r="BB43"/>
      <c r="BC43"/>
      <c r="BD43"/>
      <c r="BF43" s="2" t="s">
        <v>58</v>
      </c>
      <c r="BG43" s="61">
        <v>8248502.1400000025</v>
      </c>
      <c r="BH43" s="61">
        <v>3497288.7600000007</v>
      </c>
      <c r="BI43" s="61">
        <v>11745790.9</v>
      </c>
      <c r="BJ43" s="61">
        <v>45351872.050000034</v>
      </c>
      <c r="BK43" s="61">
        <v>57097662.949999988</v>
      </c>
      <c r="BL43"/>
      <c r="BM43"/>
      <c r="BN43"/>
      <c r="BO43"/>
      <c r="BP43"/>
      <c r="BQ43"/>
      <c r="BR43"/>
      <c r="BT43" s="5" t="s">
        <v>1158</v>
      </c>
      <c r="BU43" s="61">
        <v>5</v>
      </c>
      <c r="BV43"/>
      <c r="BW43"/>
      <c r="BX43"/>
      <c r="BY43"/>
      <c r="BZ43"/>
      <c r="CA43" s="17" t="s">
        <v>96</v>
      </c>
      <c r="CB43" s="62"/>
      <c r="CC43" s="62">
        <v>1</v>
      </c>
      <c r="CD43" s="62"/>
      <c r="CE43" s="62">
        <v>1</v>
      </c>
      <c r="CF43" s="62">
        <v>1</v>
      </c>
      <c r="CG43"/>
      <c r="CH43"/>
      <c r="CI43"/>
      <c r="CJ43"/>
      <c r="CK43"/>
      <c r="CL43"/>
      <c r="CM43"/>
    </row>
    <row r="44" spans="1:105" x14ac:dyDescent="0.25">
      <c r="A44" s="5">
        <v>14</v>
      </c>
      <c r="B44" s="61"/>
      <c r="C44" s="61"/>
      <c r="D44" s="61"/>
      <c r="E44" s="61"/>
      <c r="F44" s="61"/>
      <c r="G44"/>
      <c r="K44" s="5" t="s">
        <v>139</v>
      </c>
      <c r="L44" s="61">
        <v>4</v>
      </c>
      <c r="M44" s="4">
        <v>0.22211749516589605</v>
      </c>
      <c r="N44" s="61">
        <v>415556.17000000004</v>
      </c>
      <c r="O44" s="61">
        <v>7</v>
      </c>
      <c r="P44" s="4">
        <v>0.77788250483410404</v>
      </c>
      <c r="Q44" s="61">
        <v>1455328.29</v>
      </c>
      <c r="R44" s="61">
        <v>11</v>
      </c>
      <c r="S44" s="4">
        <v>1</v>
      </c>
      <c r="T44" s="61">
        <v>1870884.46</v>
      </c>
      <c r="V44" s="5" t="s">
        <v>139</v>
      </c>
      <c r="W44" s="61">
        <v>9</v>
      </c>
      <c r="X44" s="61">
        <v>2</v>
      </c>
      <c r="Y44" s="61">
        <v>11</v>
      </c>
      <c r="AC44" s="5" t="s">
        <v>139</v>
      </c>
      <c r="AD44" s="61">
        <v>79560</v>
      </c>
      <c r="AG44" s="71" t="str">
        <f t="shared" si="0"/>
        <v>VAMSI/KDP , 9573098703</v>
      </c>
      <c r="AH44" s="72">
        <f t="shared" si="1"/>
        <v>11</v>
      </c>
      <c r="AI44" s="72">
        <f t="shared" si="2"/>
        <v>7</v>
      </c>
      <c r="AJ44" s="72">
        <f t="shared" si="3"/>
        <v>4</v>
      </c>
      <c r="AK44" s="73">
        <f t="shared" si="4"/>
        <v>1870884.46</v>
      </c>
      <c r="AL44" s="75">
        <v>0.85</v>
      </c>
      <c r="AM44" s="73">
        <f t="shared" si="9"/>
        <v>1590251.791</v>
      </c>
      <c r="AN44" s="74">
        <f t="shared" si="5"/>
        <v>0.22211749516589605</v>
      </c>
      <c r="AO44" s="73">
        <f t="shared" si="6"/>
        <v>415556.17000000004</v>
      </c>
      <c r="AP44" s="72">
        <f t="shared" si="7"/>
        <v>2</v>
      </c>
      <c r="AQ44" s="73">
        <f t="shared" si="8"/>
        <v>79560</v>
      </c>
      <c r="AT44"/>
      <c r="AU44"/>
      <c r="AV44"/>
      <c r="AW44"/>
      <c r="AX44"/>
      <c r="AY44"/>
      <c r="AZ44"/>
      <c r="BA44"/>
      <c r="BB44"/>
      <c r="BC44"/>
      <c r="BD44"/>
      <c r="BF44" s="2" t="s">
        <v>60</v>
      </c>
      <c r="BG44" s="61">
        <v>2307734.4300000002</v>
      </c>
      <c r="BH44" s="61">
        <v>262627.07</v>
      </c>
      <c r="BI44" s="61">
        <v>2570361.5</v>
      </c>
      <c r="BJ44" s="61">
        <v>84784.57</v>
      </c>
      <c r="BK44" s="61">
        <v>2655146.0699999998</v>
      </c>
      <c r="BL44"/>
      <c r="BM44"/>
      <c r="BN44"/>
      <c r="BO44"/>
      <c r="BP44"/>
      <c r="BQ44"/>
      <c r="BR44"/>
      <c r="BT44" s="5" t="s">
        <v>1159</v>
      </c>
      <c r="BU44" s="61">
        <v>2</v>
      </c>
      <c r="BV44"/>
      <c r="BW44"/>
      <c r="BX44"/>
      <c r="BY44"/>
      <c r="BZ44"/>
      <c r="CA44" s="17" t="s">
        <v>95</v>
      </c>
      <c r="CB44" s="62">
        <v>2</v>
      </c>
      <c r="CC44" s="62">
        <v>1</v>
      </c>
      <c r="CD44" s="62">
        <v>3</v>
      </c>
      <c r="CE44" s="62">
        <v>4</v>
      </c>
      <c r="CF44" s="62">
        <v>6</v>
      </c>
      <c r="CG44"/>
      <c r="CH44"/>
      <c r="CI44"/>
      <c r="CJ44"/>
      <c r="CK44"/>
      <c r="CL44"/>
      <c r="CM44"/>
    </row>
    <row r="45" spans="1:105" x14ac:dyDescent="0.25">
      <c r="A45" s="2" t="s">
        <v>191</v>
      </c>
      <c r="B45" s="61"/>
      <c r="C45" s="61"/>
      <c r="D45" s="61"/>
      <c r="E45" s="61">
        <v>4</v>
      </c>
      <c r="F45" s="61">
        <v>4</v>
      </c>
      <c r="G45"/>
      <c r="K45" s="5" t="s">
        <v>1159</v>
      </c>
      <c r="L45" s="61"/>
      <c r="M45" s="4">
        <v>0</v>
      </c>
      <c r="N45" s="61"/>
      <c r="O45" s="61">
        <v>2</v>
      </c>
      <c r="P45" s="4">
        <v>1</v>
      </c>
      <c r="Q45" s="61">
        <v>222960.58000000002</v>
      </c>
      <c r="R45" s="61">
        <v>2</v>
      </c>
      <c r="S45" s="4">
        <v>1</v>
      </c>
      <c r="T45" s="61">
        <v>222960.58000000002</v>
      </c>
      <c r="V45" s="5" t="s">
        <v>1159</v>
      </c>
      <c r="W45" s="61">
        <v>2</v>
      </c>
      <c r="X45" s="61"/>
      <c r="Y45" s="61">
        <v>2</v>
      </c>
      <c r="AC45" s="5" t="s">
        <v>1159</v>
      </c>
      <c r="AD45" s="61">
        <v>0</v>
      </c>
      <c r="AG45" s="71" t="str">
        <f t="shared" si="0"/>
        <v>VIJAYBABU/GTR , 9885269778</v>
      </c>
      <c r="AH45" s="72">
        <f t="shared" si="1"/>
        <v>2</v>
      </c>
      <c r="AI45" s="72">
        <f t="shared" si="2"/>
        <v>2</v>
      </c>
      <c r="AJ45" s="72">
        <f t="shared" si="3"/>
        <v>0</v>
      </c>
      <c r="AK45" s="73">
        <f t="shared" si="4"/>
        <v>222960.58000000002</v>
      </c>
      <c r="AL45" s="75">
        <v>0.85</v>
      </c>
      <c r="AM45" s="73">
        <f t="shared" si="9"/>
        <v>189516.49300000002</v>
      </c>
      <c r="AN45" s="74">
        <f t="shared" si="5"/>
        <v>0</v>
      </c>
      <c r="AO45" s="73">
        <f t="shared" si="6"/>
        <v>0</v>
      </c>
      <c r="AP45" s="72">
        <f t="shared" si="7"/>
        <v>0</v>
      </c>
      <c r="AQ45" s="73">
        <f t="shared" si="8"/>
        <v>0</v>
      </c>
      <c r="AT45"/>
      <c r="AU45"/>
      <c r="AV45"/>
      <c r="AW45"/>
      <c r="AX45"/>
      <c r="AY45"/>
      <c r="AZ45"/>
      <c r="BA45"/>
      <c r="BB45"/>
      <c r="BC45"/>
      <c r="BD45"/>
      <c r="BF45"/>
      <c r="BG45"/>
      <c r="BH45"/>
      <c r="BI45"/>
      <c r="BJ45"/>
      <c r="BK45"/>
      <c r="BT45" s="5" t="s">
        <v>2079</v>
      </c>
      <c r="BU45" s="61">
        <v>1</v>
      </c>
      <c r="BV45"/>
      <c r="BW45"/>
      <c r="BX45"/>
      <c r="BY45"/>
      <c r="BZ45"/>
      <c r="CA45" s="17" t="s">
        <v>262</v>
      </c>
      <c r="CB45" s="62"/>
      <c r="CC45" s="62">
        <v>3</v>
      </c>
      <c r="CD45" s="62"/>
      <c r="CE45" s="62">
        <v>3</v>
      </c>
      <c r="CF45" s="62">
        <v>3</v>
      </c>
      <c r="CG45"/>
      <c r="CH45"/>
      <c r="CI45"/>
      <c r="CJ45"/>
      <c r="CK45"/>
      <c r="CL45"/>
      <c r="CM45"/>
    </row>
    <row r="46" spans="1:105" x14ac:dyDescent="0.25">
      <c r="A46" s="42" t="s">
        <v>228</v>
      </c>
      <c r="B46" s="43">
        <v>0</v>
      </c>
      <c r="C46" s="43">
        <v>0</v>
      </c>
      <c r="D46" s="43">
        <v>0</v>
      </c>
      <c r="E46" s="43">
        <v>1</v>
      </c>
      <c r="F46" s="43">
        <v>1</v>
      </c>
      <c r="G46"/>
      <c r="K46" s="2" t="s">
        <v>45</v>
      </c>
      <c r="L46" s="61">
        <v>66</v>
      </c>
      <c r="M46" s="4">
        <v>0.20571403964967364</v>
      </c>
      <c r="N46" s="61">
        <v>11745790.900000002</v>
      </c>
      <c r="O46" s="61">
        <v>202</v>
      </c>
      <c r="P46" s="4">
        <v>0.7942859603503265</v>
      </c>
      <c r="Q46" s="61">
        <v>45351872.050000012</v>
      </c>
      <c r="R46" s="61">
        <v>268</v>
      </c>
      <c r="S46" s="4">
        <v>1</v>
      </c>
      <c r="T46" s="61">
        <v>57097662.950000003</v>
      </c>
      <c r="V46" s="2" t="s">
        <v>45</v>
      </c>
      <c r="W46" s="61">
        <v>149</v>
      </c>
      <c r="X46" s="61">
        <v>119</v>
      </c>
      <c r="Y46" s="61">
        <v>268</v>
      </c>
      <c r="AC46" s="2" t="s">
        <v>45</v>
      </c>
      <c r="AD46" s="61">
        <v>2655146.0700000003</v>
      </c>
      <c r="AG46" s="76" t="str">
        <f t="shared" ref="AG46" si="10">K46</f>
        <v>Grand Total</v>
      </c>
      <c r="AH46" s="77">
        <f t="shared" ref="AH46" si="11">R46</f>
        <v>268</v>
      </c>
      <c r="AI46" s="77">
        <f t="shared" ref="AI46" si="12">O46</f>
        <v>202</v>
      </c>
      <c r="AJ46" s="77">
        <f t="shared" ref="AJ46" si="13">L46</f>
        <v>66</v>
      </c>
      <c r="AK46" s="78">
        <f t="shared" ref="AK46" si="14">T46</f>
        <v>57097662.950000003</v>
      </c>
      <c r="AL46" s="80">
        <v>0.85</v>
      </c>
      <c r="AM46" s="78">
        <f t="shared" ref="AM46" si="15">AK46*AL46</f>
        <v>48533013.5075</v>
      </c>
      <c r="AN46" s="79">
        <f t="shared" ref="AN46" si="16">M46</f>
        <v>0.20571403964967364</v>
      </c>
      <c r="AO46" s="78">
        <f t="shared" ref="AO46" si="17">N46</f>
        <v>11745790.900000002</v>
      </c>
      <c r="AP46" s="77">
        <f t="shared" ref="AP46" si="18">X46</f>
        <v>119</v>
      </c>
      <c r="AQ46" s="78">
        <f t="shared" ref="AQ46" si="19">AD46</f>
        <v>2655146.0700000003</v>
      </c>
      <c r="AT46"/>
      <c r="AU46"/>
      <c r="AV46"/>
      <c r="AW46"/>
      <c r="AX46"/>
      <c r="AY46"/>
      <c r="AZ46"/>
      <c r="BA46"/>
      <c r="BB46"/>
      <c r="BC46"/>
      <c r="BD46"/>
      <c r="BF46"/>
      <c r="BG46"/>
      <c r="BH46"/>
      <c r="BI46"/>
      <c r="BJ46"/>
      <c r="BK46"/>
      <c r="BT46" s="2" t="s">
        <v>45</v>
      </c>
      <c r="BU46" s="61">
        <v>268</v>
      </c>
      <c r="BV46"/>
      <c r="BW46"/>
      <c r="BX46"/>
      <c r="BY46"/>
      <c r="BZ46"/>
      <c r="CA46" s="17" t="s">
        <v>139</v>
      </c>
      <c r="CB46" s="62">
        <v>4</v>
      </c>
      <c r="CC46" s="62">
        <v>2</v>
      </c>
      <c r="CD46" s="62">
        <v>5</v>
      </c>
      <c r="CE46" s="62">
        <v>7</v>
      </c>
      <c r="CF46" s="62">
        <v>11</v>
      </c>
      <c r="CG46"/>
      <c r="CH46"/>
      <c r="CI46"/>
      <c r="CJ46"/>
      <c r="CK46"/>
      <c r="CL46"/>
      <c r="CM46"/>
    </row>
    <row r="47" spans="1:105" x14ac:dyDescent="0.25">
      <c r="A47" s="2" t="s">
        <v>227</v>
      </c>
      <c r="B47" s="61"/>
      <c r="C47" s="61"/>
      <c r="D47" s="61"/>
      <c r="E47" s="61">
        <v>223883.87999999998</v>
      </c>
      <c r="F47" s="61">
        <v>223883.87999999998</v>
      </c>
      <c r="G47"/>
      <c r="K47"/>
      <c r="L47"/>
      <c r="M47"/>
      <c r="N47"/>
      <c r="O47"/>
      <c r="P47"/>
      <c r="Q47"/>
      <c r="R47"/>
      <c r="S47"/>
      <c r="T47"/>
      <c r="V47"/>
      <c r="W47"/>
      <c r="X47"/>
      <c r="Y47"/>
      <c r="Z47" s="19"/>
      <c r="AA47"/>
      <c r="AC47"/>
      <c r="AD47"/>
      <c r="BF47"/>
      <c r="BG47"/>
      <c r="BH47"/>
      <c r="BI47"/>
      <c r="BJ47"/>
      <c r="BK47"/>
      <c r="BT47"/>
      <c r="BU47"/>
      <c r="BV47"/>
      <c r="BW47"/>
      <c r="BX47"/>
      <c r="BY47"/>
      <c r="BZ47"/>
      <c r="CA47" s="17" t="s">
        <v>1159</v>
      </c>
      <c r="CB47" s="62"/>
      <c r="CC47" s="62"/>
      <c r="CD47" s="62">
        <v>2</v>
      </c>
      <c r="CE47" s="62">
        <v>2</v>
      </c>
      <c r="CF47" s="62">
        <v>2</v>
      </c>
      <c r="CG47"/>
      <c r="CH47"/>
      <c r="CI47"/>
      <c r="CJ47"/>
      <c r="CK47"/>
      <c r="CL47"/>
      <c r="CM47"/>
    </row>
    <row r="48" spans="1:105" x14ac:dyDescent="0.25">
      <c r="A48" s="2" t="s">
        <v>46</v>
      </c>
      <c r="B48" s="61"/>
      <c r="C48" s="61"/>
      <c r="D48" s="61"/>
      <c r="E48" s="61">
        <v>0</v>
      </c>
      <c r="F48" s="61">
        <v>0</v>
      </c>
      <c r="G48"/>
      <c r="K48"/>
      <c r="L48"/>
      <c r="M48"/>
      <c r="N48"/>
      <c r="O48"/>
      <c r="P48"/>
      <c r="Q48"/>
      <c r="R48"/>
      <c r="S48"/>
      <c r="T48"/>
      <c r="V48"/>
      <c r="W48"/>
      <c r="X48"/>
      <c r="Y48"/>
      <c r="Z48" s="19"/>
      <c r="AA48"/>
      <c r="AC48"/>
      <c r="AD48"/>
      <c r="BF48"/>
      <c r="BG48"/>
      <c r="BH48"/>
      <c r="BI48"/>
      <c r="BJ48"/>
      <c r="BK48"/>
      <c r="BT48"/>
      <c r="BU48"/>
      <c r="BV48"/>
      <c r="BW48"/>
      <c r="BX48"/>
      <c r="BY48"/>
      <c r="BZ48"/>
      <c r="CA48" s="17" t="s">
        <v>45</v>
      </c>
      <c r="CB48" s="62">
        <v>66</v>
      </c>
      <c r="CC48" s="62">
        <v>119</v>
      </c>
      <c r="CD48" s="62">
        <v>83</v>
      </c>
      <c r="CE48" s="62">
        <v>202</v>
      </c>
      <c r="CF48" s="62">
        <v>268</v>
      </c>
      <c r="CG48"/>
      <c r="CH48"/>
      <c r="CI48"/>
      <c r="CJ48"/>
      <c r="CK48"/>
      <c r="CL48"/>
      <c r="CM48"/>
    </row>
    <row r="49" spans="1:91" x14ac:dyDescent="0.25">
      <c r="A49" s="5">
        <v>15</v>
      </c>
      <c r="B49" s="61"/>
      <c r="C49" s="61"/>
      <c r="D49" s="61"/>
      <c r="E49" s="61"/>
      <c r="F49" s="61"/>
      <c r="G49"/>
      <c r="K49"/>
      <c r="L49"/>
      <c r="M49"/>
      <c r="N49"/>
      <c r="O49"/>
      <c r="P49"/>
      <c r="Q49"/>
      <c r="R49"/>
      <c r="S49"/>
      <c r="T49"/>
      <c r="V49"/>
      <c r="W49"/>
      <c r="X49"/>
      <c r="Y49"/>
      <c r="Z49" s="19"/>
      <c r="AA49"/>
      <c r="AC49"/>
      <c r="AD49"/>
      <c r="BF49"/>
      <c r="BG49"/>
      <c r="BH49"/>
      <c r="BI49"/>
      <c r="BJ49"/>
      <c r="BK49"/>
      <c r="BT49"/>
      <c r="BU49"/>
      <c r="BV49"/>
      <c r="BW49"/>
      <c r="BX49"/>
      <c r="BY49"/>
      <c r="BZ49"/>
      <c r="CA49"/>
      <c r="CB49"/>
      <c r="CC49"/>
      <c r="CD49"/>
      <c r="CE49"/>
      <c r="CF49"/>
      <c r="CG49"/>
      <c r="CH49"/>
      <c r="CI49"/>
      <c r="CJ49"/>
      <c r="CK49"/>
      <c r="CL49"/>
      <c r="CM49"/>
    </row>
    <row r="50" spans="1:91" x14ac:dyDescent="0.25">
      <c r="A50" s="2" t="s">
        <v>191</v>
      </c>
      <c r="B50" s="61"/>
      <c r="C50" s="61">
        <v>1</v>
      </c>
      <c r="D50" s="61">
        <v>1</v>
      </c>
      <c r="E50" s="61">
        <v>1</v>
      </c>
      <c r="F50" s="61">
        <v>2</v>
      </c>
      <c r="G50"/>
      <c r="K50"/>
      <c r="L50"/>
      <c r="M50"/>
      <c r="N50"/>
      <c r="O50"/>
      <c r="P50"/>
      <c r="Q50"/>
      <c r="R50"/>
      <c r="S50"/>
      <c r="T50"/>
      <c r="V50"/>
      <c r="W50"/>
      <c r="X50"/>
      <c r="Y50"/>
      <c r="Z50" s="19"/>
      <c r="AA50"/>
      <c r="AC50"/>
      <c r="AD50"/>
      <c r="BF50"/>
      <c r="BG50"/>
      <c r="BH50"/>
      <c r="BI50"/>
      <c r="BJ50"/>
      <c r="BK50"/>
      <c r="BT50"/>
      <c r="BU50"/>
      <c r="BV50"/>
      <c r="BW50"/>
      <c r="BX50"/>
      <c r="BY50"/>
      <c r="BZ50"/>
      <c r="CA50"/>
      <c r="CB50"/>
      <c r="CC50"/>
      <c r="CD50"/>
      <c r="CE50"/>
      <c r="CF50"/>
      <c r="CG50"/>
      <c r="CH50"/>
      <c r="CI50"/>
      <c r="CJ50"/>
      <c r="CK50"/>
      <c r="CL50"/>
      <c r="CM50"/>
    </row>
    <row r="51" spans="1:91" x14ac:dyDescent="0.25">
      <c r="A51" s="42" t="s">
        <v>228</v>
      </c>
      <c r="B51" s="43">
        <v>0</v>
      </c>
      <c r="C51" s="43">
        <v>0.24240112054070173</v>
      </c>
      <c r="D51" s="43">
        <v>0.24240112054070173</v>
      </c>
      <c r="E51" s="43">
        <v>0.75759887945929816</v>
      </c>
      <c r="F51" s="43">
        <v>1</v>
      </c>
      <c r="G51"/>
      <c r="K51"/>
      <c r="L51"/>
      <c r="M51"/>
      <c r="N51"/>
      <c r="O51"/>
      <c r="P51"/>
      <c r="Q51"/>
      <c r="R51"/>
      <c r="S51"/>
      <c r="T51"/>
      <c r="V51"/>
      <c r="W51"/>
      <c r="X51"/>
      <c r="Y51"/>
      <c r="Z51" s="19"/>
      <c r="AA51"/>
      <c r="AC51"/>
      <c r="AD51"/>
      <c r="BF51"/>
      <c r="BG51"/>
      <c r="BH51"/>
      <c r="BI51"/>
      <c r="BJ51"/>
      <c r="BK51"/>
      <c r="BT51"/>
      <c r="BU51"/>
      <c r="BV51"/>
      <c r="BW51"/>
      <c r="BX51"/>
      <c r="BY51"/>
      <c r="BZ51"/>
      <c r="CA51"/>
      <c r="CB51"/>
      <c r="CC51"/>
      <c r="CD51"/>
      <c r="CE51"/>
      <c r="CF51"/>
      <c r="CG51"/>
      <c r="CH51"/>
      <c r="CI51"/>
      <c r="CJ51"/>
      <c r="CK51"/>
      <c r="CL51"/>
      <c r="CM51"/>
    </row>
    <row r="52" spans="1:91" x14ac:dyDescent="0.25">
      <c r="A52" s="2" t="s">
        <v>227</v>
      </c>
      <c r="B52" s="61"/>
      <c r="C52" s="61">
        <v>170844.94</v>
      </c>
      <c r="D52" s="61">
        <v>170844.94</v>
      </c>
      <c r="E52" s="61">
        <v>533957.66</v>
      </c>
      <c r="F52" s="61">
        <v>704802.60000000009</v>
      </c>
      <c r="G52"/>
      <c r="K52"/>
      <c r="L52"/>
      <c r="M52"/>
      <c r="N52"/>
      <c r="O52"/>
      <c r="P52"/>
      <c r="Q52"/>
      <c r="R52"/>
      <c r="S52"/>
      <c r="T52"/>
      <c r="V52"/>
      <c r="W52"/>
      <c r="X52"/>
      <c r="Y52"/>
      <c r="Z52" s="19"/>
      <c r="AA52"/>
      <c r="AC52"/>
      <c r="AD52"/>
      <c r="BF52"/>
      <c r="BG52"/>
      <c r="BH52"/>
      <c r="BI52"/>
      <c r="BJ52"/>
      <c r="BK52"/>
      <c r="BT52"/>
      <c r="BU52"/>
      <c r="BV52"/>
      <c r="BW52"/>
      <c r="BX52"/>
      <c r="BY52"/>
      <c r="BZ52"/>
      <c r="CA52"/>
      <c r="CB52"/>
      <c r="CC52"/>
      <c r="CD52"/>
      <c r="CE52"/>
      <c r="CF52"/>
      <c r="CG52"/>
      <c r="CH52"/>
      <c r="CI52"/>
      <c r="CJ52"/>
      <c r="CK52"/>
      <c r="CL52"/>
      <c r="CM52"/>
    </row>
    <row r="53" spans="1:91" x14ac:dyDescent="0.25">
      <c r="A53" s="2" t="s">
        <v>46</v>
      </c>
      <c r="B53" s="61"/>
      <c r="C53" s="61">
        <v>2550</v>
      </c>
      <c r="D53" s="61">
        <v>2550</v>
      </c>
      <c r="E53" s="61">
        <v>0</v>
      </c>
      <c r="F53" s="61">
        <v>2550</v>
      </c>
      <c r="K53"/>
      <c r="L53"/>
      <c r="M53"/>
      <c r="N53"/>
      <c r="O53"/>
      <c r="P53"/>
      <c r="Q53"/>
      <c r="R53"/>
      <c r="S53"/>
      <c r="T53"/>
      <c r="V53"/>
      <c r="W53"/>
      <c r="X53"/>
      <c r="Y53"/>
      <c r="Z53" s="19"/>
      <c r="AA53"/>
      <c r="AC53"/>
      <c r="AD53"/>
      <c r="BF53"/>
      <c r="BG53"/>
      <c r="BH53"/>
      <c r="BI53"/>
      <c r="BJ53"/>
      <c r="BK53"/>
      <c r="BT53"/>
      <c r="BU53"/>
      <c r="BV53"/>
      <c r="BW53"/>
      <c r="BX53"/>
      <c r="BY53"/>
      <c r="BZ53"/>
      <c r="CA53"/>
      <c r="CB53"/>
      <c r="CC53"/>
      <c r="CD53"/>
      <c r="CE53"/>
      <c r="CF53"/>
      <c r="CG53"/>
      <c r="CH53"/>
      <c r="CI53"/>
      <c r="CJ53"/>
      <c r="CK53"/>
      <c r="CL53"/>
      <c r="CM53"/>
    </row>
    <row r="54" spans="1:91" x14ac:dyDescent="0.25">
      <c r="A54" s="5">
        <v>16</v>
      </c>
      <c r="B54" s="61"/>
      <c r="C54" s="61"/>
      <c r="D54" s="61"/>
      <c r="E54" s="61"/>
      <c r="F54" s="61"/>
      <c r="K54"/>
      <c r="L54"/>
      <c r="M54"/>
      <c r="N54"/>
      <c r="O54"/>
      <c r="P54"/>
      <c r="Q54"/>
      <c r="R54"/>
      <c r="S54"/>
      <c r="T54"/>
      <c r="V54"/>
      <c r="W54"/>
      <c r="X54"/>
      <c r="Y54"/>
      <c r="Z54" s="19"/>
      <c r="AA54"/>
      <c r="AC54"/>
      <c r="AD54"/>
      <c r="BF54"/>
      <c r="BG54"/>
      <c r="BH54"/>
      <c r="BI54"/>
      <c r="BJ54"/>
      <c r="BK54"/>
      <c r="BT54"/>
      <c r="BU54"/>
      <c r="BV54"/>
      <c r="BW54"/>
      <c r="BX54"/>
      <c r="BY54"/>
      <c r="BZ54"/>
      <c r="CA54"/>
      <c r="CB54"/>
      <c r="CC54"/>
      <c r="CD54"/>
      <c r="CE54"/>
      <c r="CF54"/>
      <c r="CG54"/>
      <c r="CH54"/>
      <c r="CI54"/>
      <c r="CJ54"/>
      <c r="CK54"/>
      <c r="CL54"/>
      <c r="CM54"/>
    </row>
    <row r="55" spans="1:91" x14ac:dyDescent="0.25">
      <c r="A55" s="2" t="s">
        <v>191</v>
      </c>
      <c r="B55" s="61">
        <v>4</v>
      </c>
      <c r="C55" s="61">
        <v>3</v>
      </c>
      <c r="D55" s="61">
        <v>7</v>
      </c>
      <c r="E55" s="61">
        <v>16</v>
      </c>
      <c r="F55" s="61">
        <v>23</v>
      </c>
      <c r="K55"/>
      <c r="L55"/>
      <c r="M55"/>
      <c r="N55"/>
      <c r="O55"/>
      <c r="P55"/>
      <c r="Q55"/>
      <c r="R55"/>
      <c r="S55"/>
      <c r="T55"/>
      <c r="V55"/>
      <c r="W55"/>
      <c r="X55"/>
      <c r="Y55"/>
      <c r="Z55" s="19"/>
      <c r="AA55"/>
      <c r="AC55"/>
      <c r="AD55"/>
      <c r="BF55"/>
      <c r="BG55"/>
      <c r="BH55"/>
      <c r="BI55"/>
      <c r="BJ55"/>
      <c r="BK55"/>
      <c r="BT55"/>
      <c r="BU55"/>
      <c r="BV55"/>
      <c r="BW55"/>
      <c r="BX55"/>
      <c r="BY55"/>
      <c r="BZ55"/>
      <c r="CA55"/>
      <c r="CB55"/>
      <c r="CC55"/>
      <c r="CD55"/>
      <c r="CE55"/>
      <c r="CF55"/>
      <c r="CG55"/>
      <c r="CH55"/>
      <c r="CI55"/>
      <c r="CJ55"/>
      <c r="CK55"/>
      <c r="CL55"/>
      <c r="CM55"/>
    </row>
    <row r="56" spans="1:91" x14ac:dyDescent="0.25">
      <c r="A56" s="42" t="s">
        <v>228</v>
      </c>
      <c r="B56" s="43">
        <v>0.1198032567565754</v>
      </c>
      <c r="C56" s="43">
        <v>0.1594751371667481</v>
      </c>
      <c r="D56" s="43">
        <v>0.27927839392332354</v>
      </c>
      <c r="E56" s="43">
        <v>0.72072160607667635</v>
      </c>
      <c r="F56" s="43">
        <v>1</v>
      </c>
      <c r="K56"/>
      <c r="L56"/>
      <c r="M56"/>
      <c r="N56"/>
      <c r="O56"/>
      <c r="P56"/>
      <c r="Q56"/>
      <c r="R56"/>
      <c r="S56"/>
      <c r="T56"/>
      <c r="V56"/>
      <c r="W56"/>
      <c r="X56"/>
      <c r="Y56"/>
      <c r="Z56" s="19"/>
      <c r="AA56"/>
      <c r="AC56"/>
      <c r="AD56"/>
      <c r="BF56"/>
      <c r="BG56"/>
      <c r="BH56"/>
      <c r="BI56"/>
      <c r="BJ56"/>
      <c r="BK56"/>
      <c r="BT56"/>
      <c r="BU56"/>
      <c r="BV56"/>
      <c r="BW56"/>
      <c r="BX56"/>
      <c r="BY56"/>
      <c r="BZ56"/>
      <c r="CA56"/>
      <c r="CB56"/>
      <c r="CC56"/>
      <c r="CD56"/>
      <c r="CE56"/>
      <c r="CF56"/>
      <c r="CG56"/>
      <c r="CH56"/>
      <c r="CI56"/>
      <c r="CJ56"/>
      <c r="CK56"/>
      <c r="CL56"/>
      <c r="CM56"/>
    </row>
    <row r="57" spans="1:91" x14ac:dyDescent="0.25">
      <c r="A57" s="2" t="s">
        <v>227</v>
      </c>
      <c r="B57" s="61">
        <v>431293.87</v>
      </c>
      <c r="C57" s="61">
        <v>574113.35</v>
      </c>
      <c r="D57" s="61">
        <v>1005407.2200000001</v>
      </c>
      <c r="E57" s="61">
        <v>2594610.69</v>
      </c>
      <c r="F57" s="61">
        <v>3600017.9100000006</v>
      </c>
      <c r="K57"/>
      <c r="L57"/>
      <c r="M57"/>
      <c r="N57"/>
      <c r="O57"/>
      <c r="P57"/>
      <c r="Q57"/>
      <c r="R57"/>
      <c r="S57"/>
      <c r="T57"/>
      <c r="V57"/>
      <c r="W57"/>
      <c r="X57"/>
      <c r="Y57"/>
      <c r="Z57" s="19"/>
      <c r="AA57"/>
      <c r="AC57"/>
      <c r="AD57"/>
      <c r="BF57"/>
      <c r="BG57"/>
      <c r="BH57"/>
      <c r="BI57"/>
      <c r="BJ57"/>
      <c r="BK57"/>
      <c r="BT57"/>
      <c r="BU57"/>
      <c r="BV57"/>
      <c r="BW57"/>
      <c r="BX57"/>
      <c r="BY57"/>
      <c r="BZ57"/>
      <c r="CA57"/>
      <c r="CB57"/>
      <c r="CC57"/>
      <c r="CD57"/>
      <c r="CE57"/>
      <c r="CF57"/>
      <c r="CG57"/>
      <c r="CH57"/>
      <c r="CI57"/>
      <c r="CJ57"/>
      <c r="CK57"/>
      <c r="CL57"/>
      <c r="CM57"/>
    </row>
    <row r="58" spans="1:91" x14ac:dyDescent="0.25">
      <c r="A58" s="2" t="s">
        <v>46</v>
      </c>
      <c r="B58" s="61">
        <v>158072.58000000002</v>
      </c>
      <c r="C58" s="61">
        <v>46600</v>
      </c>
      <c r="D58" s="61">
        <v>204672.58000000002</v>
      </c>
      <c r="E58" s="61">
        <v>0</v>
      </c>
      <c r="F58" s="61">
        <v>204672.58000000002</v>
      </c>
      <c r="K58"/>
      <c r="L58"/>
      <c r="M58"/>
      <c r="N58"/>
      <c r="O58"/>
      <c r="P58"/>
      <c r="Q58"/>
      <c r="R58"/>
      <c r="S58"/>
      <c r="T58"/>
      <c r="V58"/>
      <c r="W58"/>
      <c r="X58"/>
      <c r="Y58"/>
      <c r="Z58" s="19"/>
      <c r="AA58"/>
      <c r="AC58"/>
      <c r="AD58"/>
      <c r="BF58"/>
      <c r="BG58"/>
      <c r="BH58"/>
      <c r="BI58"/>
      <c r="BJ58"/>
      <c r="BK58"/>
      <c r="BT58"/>
      <c r="BU58"/>
      <c r="BV58"/>
      <c r="BW58"/>
      <c r="BX58"/>
      <c r="BY58"/>
      <c r="BZ58"/>
      <c r="CA58"/>
      <c r="CB58"/>
      <c r="CC58"/>
      <c r="CD58"/>
      <c r="CE58"/>
      <c r="CF58"/>
      <c r="CG58"/>
      <c r="CH58"/>
      <c r="CI58"/>
      <c r="CJ58"/>
      <c r="CK58"/>
      <c r="CL58"/>
      <c r="CM58"/>
    </row>
    <row r="59" spans="1:91" x14ac:dyDescent="0.25">
      <c r="A59" s="5">
        <v>18</v>
      </c>
      <c r="B59" s="61"/>
      <c r="C59" s="61"/>
      <c r="D59" s="61"/>
      <c r="E59" s="61"/>
      <c r="F59" s="61"/>
      <c r="K59"/>
      <c r="L59"/>
      <c r="M59"/>
      <c r="N59"/>
      <c r="O59"/>
      <c r="P59"/>
      <c r="Q59"/>
      <c r="R59"/>
      <c r="S59"/>
      <c r="T59"/>
      <c r="V59"/>
      <c r="W59"/>
      <c r="X59"/>
      <c r="Y59"/>
      <c r="Z59" s="19"/>
      <c r="AA59"/>
      <c r="AC59"/>
      <c r="AD59"/>
      <c r="BF59"/>
      <c r="BG59"/>
      <c r="BH59"/>
      <c r="BI59"/>
      <c r="BJ59"/>
      <c r="BK59"/>
      <c r="BT59"/>
      <c r="BU59"/>
      <c r="BV59"/>
      <c r="BW59"/>
      <c r="BX59"/>
      <c r="BY59"/>
      <c r="BZ59"/>
      <c r="CA59"/>
      <c r="CB59"/>
      <c r="CC59"/>
      <c r="CD59"/>
      <c r="CE59"/>
      <c r="CF59"/>
      <c r="CG59"/>
      <c r="CH59"/>
      <c r="CI59"/>
      <c r="CJ59"/>
      <c r="CK59"/>
      <c r="CL59"/>
      <c r="CM59"/>
    </row>
    <row r="60" spans="1:91" x14ac:dyDescent="0.25">
      <c r="A60" s="2" t="s">
        <v>191</v>
      </c>
      <c r="B60" s="61">
        <v>2</v>
      </c>
      <c r="C60" s="61"/>
      <c r="D60" s="61">
        <v>2</v>
      </c>
      <c r="E60" s="61">
        <v>44</v>
      </c>
      <c r="F60" s="61">
        <v>46</v>
      </c>
      <c r="K60"/>
      <c r="L60"/>
      <c r="M60"/>
      <c r="N60"/>
      <c r="O60"/>
      <c r="P60"/>
      <c r="Q60"/>
      <c r="R60"/>
      <c r="S60"/>
      <c r="T60"/>
      <c r="V60"/>
      <c r="W60"/>
      <c r="X60"/>
      <c r="Y60"/>
      <c r="Z60" s="19"/>
      <c r="AA60"/>
      <c r="AC60"/>
      <c r="AD60"/>
      <c r="BF60"/>
      <c r="BG60"/>
      <c r="BH60"/>
      <c r="BI60"/>
      <c r="BJ60"/>
      <c r="BK60"/>
      <c r="BT60"/>
      <c r="BU60"/>
      <c r="BV60"/>
      <c r="BW60"/>
      <c r="BX60"/>
      <c r="BY60"/>
      <c r="BZ60"/>
      <c r="CA60"/>
      <c r="CB60"/>
      <c r="CC60"/>
      <c r="CD60"/>
      <c r="CE60"/>
      <c r="CF60"/>
      <c r="CG60"/>
      <c r="CH60"/>
      <c r="CI60"/>
      <c r="CJ60"/>
      <c r="CK60"/>
      <c r="CL60"/>
      <c r="CM60"/>
    </row>
    <row r="61" spans="1:91" x14ac:dyDescent="0.25">
      <c r="A61" s="42" t="s">
        <v>228</v>
      </c>
      <c r="B61" s="43">
        <v>4.8288349354660878E-2</v>
      </c>
      <c r="C61" s="43">
        <v>0</v>
      </c>
      <c r="D61" s="43">
        <v>4.8288349354660878E-2</v>
      </c>
      <c r="E61" s="43">
        <v>0.95171165064533925</v>
      </c>
      <c r="F61" s="43">
        <v>1</v>
      </c>
      <c r="K61"/>
      <c r="L61"/>
      <c r="M61"/>
      <c r="N61"/>
      <c r="O61"/>
      <c r="P61"/>
      <c r="Q61"/>
      <c r="R61"/>
      <c r="S61"/>
      <c r="T61"/>
      <c r="V61"/>
      <c r="W61"/>
      <c r="X61"/>
      <c r="Y61"/>
      <c r="Z61" s="19"/>
      <c r="AA61"/>
      <c r="AC61"/>
      <c r="AD61"/>
      <c r="BF61"/>
      <c r="BG61"/>
      <c r="BH61"/>
      <c r="BI61"/>
      <c r="BJ61"/>
      <c r="BK61"/>
      <c r="BT61"/>
      <c r="BU61"/>
      <c r="BV61"/>
      <c r="BW61"/>
      <c r="BX61"/>
      <c r="BY61"/>
      <c r="BZ61"/>
      <c r="CA61"/>
      <c r="CB61"/>
      <c r="CC61"/>
      <c r="CD61"/>
      <c r="CE61"/>
      <c r="CF61"/>
      <c r="CG61"/>
      <c r="CH61"/>
      <c r="CI61"/>
      <c r="CJ61"/>
      <c r="CK61"/>
      <c r="CL61"/>
      <c r="CM61"/>
    </row>
    <row r="62" spans="1:91" x14ac:dyDescent="0.25">
      <c r="A62" s="2" t="s">
        <v>227</v>
      </c>
      <c r="B62" s="61">
        <v>743010.42</v>
      </c>
      <c r="C62" s="61"/>
      <c r="D62" s="61">
        <v>743010.42</v>
      </c>
      <c r="E62" s="61">
        <v>14643939.639999999</v>
      </c>
      <c r="F62" s="61">
        <v>15386950.059999997</v>
      </c>
      <c r="K62"/>
      <c r="L62"/>
      <c r="M62"/>
      <c r="N62"/>
      <c r="O62"/>
      <c r="P62"/>
      <c r="Q62"/>
      <c r="R62"/>
      <c r="S62"/>
      <c r="T62"/>
      <c r="V62"/>
      <c r="W62"/>
      <c r="X62"/>
      <c r="Y62"/>
      <c r="Z62" s="19"/>
      <c r="AA62"/>
      <c r="AC62"/>
      <c r="AD62"/>
      <c r="BF62"/>
      <c r="BG62"/>
      <c r="BH62"/>
      <c r="BI62"/>
      <c r="BJ62"/>
      <c r="BK62"/>
      <c r="BT62"/>
      <c r="BU62"/>
      <c r="BV62"/>
      <c r="BW62"/>
      <c r="BX62"/>
      <c r="BY62"/>
      <c r="BZ62"/>
      <c r="CA62"/>
      <c r="CB62"/>
      <c r="CC62"/>
      <c r="CD62"/>
      <c r="CE62"/>
      <c r="CF62"/>
      <c r="CG62"/>
      <c r="CH62"/>
      <c r="CI62"/>
      <c r="CJ62"/>
      <c r="CK62"/>
      <c r="CL62"/>
      <c r="CM62"/>
    </row>
    <row r="63" spans="1:91" x14ac:dyDescent="0.25">
      <c r="A63" s="2" t="s">
        <v>46</v>
      </c>
      <c r="B63" s="61">
        <v>142937.72999999998</v>
      </c>
      <c r="C63" s="61"/>
      <c r="D63" s="61">
        <v>142937.72999999998</v>
      </c>
      <c r="E63" s="61">
        <v>62600</v>
      </c>
      <c r="F63" s="61">
        <v>205537.72999999998</v>
      </c>
      <c r="K63"/>
      <c r="L63"/>
      <c r="M63"/>
      <c r="N63"/>
      <c r="O63"/>
      <c r="P63"/>
      <c r="Q63"/>
      <c r="R63"/>
      <c r="S63"/>
      <c r="T63"/>
      <c r="V63"/>
      <c r="W63"/>
      <c r="X63"/>
      <c r="Y63"/>
      <c r="Z63" s="19"/>
      <c r="AA63"/>
      <c r="AC63"/>
      <c r="AD63"/>
      <c r="BF63"/>
      <c r="BG63"/>
      <c r="BH63"/>
      <c r="BI63"/>
      <c r="BJ63"/>
      <c r="BK63"/>
      <c r="BT63"/>
      <c r="BU63"/>
      <c r="BV63"/>
      <c r="BW63"/>
      <c r="BX63"/>
      <c r="BY63"/>
      <c r="BZ63"/>
      <c r="CA63"/>
      <c r="CB63"/>
      <c r="CC63"/>
      <c r="CD63"/>
      <c r="CE63"/>
      <c r="CF63"/>
      <c r="CG63"/>
      <c r="CH63"/>
      <c r="CI63"/>
      <c r="CJ63"/>
      <c r="CK63"/>
      <c r="CL63"/>
      <c r="CM63"/>
    </row>
    <row r="64" spans="1:91" x14ac:dyDescent="0.25">
      <c r="A64" s="5">
        <v>20</v>
      </c>
      <c r="B64" s="61"/>
      <c r="C64" s="61"/>
      <c r="D64" s="61"/>
      <c r="E64" s="61"/>
      <c r="F64" s="61"/>
      <c r="K64"/>
      <c r="L64"/>
      <c r="M64"/>
      <c r="N64"/>
      <c r="O64"/>
      <c r="P64"/>
      <c r="Q64"/>
      <c r="R64"/>
      <c r="S64"/>
      <c r="T64"/>
      <c r="V64"/>
      <c r="W64"/>
      <c r="X64"/>
      <c r="Y64"/>
      <c r="Z64" s="19"/>
      <c r="AA64"/>
      <c r="AC64"/>
      <c r="AD64"/>
      <c r="BF64"/>
      <c r="BG64"/>
      <c r="BH64"/>
      <c r="BI64"/>
      <c r="BJ64"/>
      <c r="BK64"/>
      <c r="BT64"/>
      <c r="BU64"/>
      <c r="BV64"/>
      <c r="BW64"/>
      <c r="BX64"/>
      <c r="BY64"/>
      <c r="BZ64"/>
      <c r="CA64"/>
      <c r="CB64"/>
      <c r="CC64"/>
      <c r="CD64"/>
      <c r="CE64"/>
      <c r="CF64"/>
      <c r="CG64"/>
      <c r="CH64"/>
      <c r="CI64"/>
      <c r="CJ64"/>
      <c r="CK64"/>
      <c r="CL64"/>
      <c r="CM64"/>
    </row>
    <row r="65" spans="1:91" x14ac:dyDescent="0.25">
      <c r="A65" s="2" t="s">
        <v>191</v>
      </c>
      <c r="B65" s="61">
        <v>7</v>
      </c>
      <c r="C65" s="61">
        <v>2</v>
      </c>
      <c r="D65" s="61">
        <v>9</v>
      </c>
      <c r="E65" s="61">
        <v>28</v>
      </c>
      <c r="F65" s="61">
        <v>37</v>
      </c>
      <c r="K65"/>
      <c r="L65"/>
      <c r="M65"/>
      <c r="N65"/>
      <c r="O65"/>
      <c r="P65"/>
      <c r="Q65"/>
      <c r="R65"/>
      <c r="S65"/>
      <c r="T65"/>
      <c r="V65"/>
      <c r="W65"/>
      <c r="X65"/>
      <c r="Y65"/>
      <c r="Z65" s="19"/>
      <c r="AA65"/>
      <c r="AC65"/>
      <c r="AD65"/>
      <c r="BF65"/>
      <c r="BG65"/>
      <c r="BH65"/>
      <c r="BI65"/>
      <c r="BJ65"/>
      <c r="BK65"/>
      <c r="BT65"/>
      <c r="BU65"/>
      <c r="BV65"/>
      <c r="BW65"/>
      <c r="BX65"/>
      <c r="BY65"/>
      <c r="BZ65"/>
      <c r="CA65"/>
      <c r="CB65"/>
      <c r="CC65"/>
      <c r="CD65"/>
      <c r="CE65"/>
      <c r="CF65"/>
      <c r="CG65"/>
      <c r="CH65"/>
      <c r="CI65"/>
      <c r="CJ65"/>
      <c r="CK65"/>
      <c r="CL65"/>
      <c r="CM65"/>
    </row>
    <row r="66" spans="1:91" x14ac:dyDescent="0.25">
      <c r="A66" s="42" t="s">
        <v>228</v>
      </c>
      <c r="B66" s="43">
        <v>0.1118351426810696</v>
      </c>
      <c r="C66" s="43">
        <v>1.6666377977121949E-2</v>
      </c>
      <c r="D66" s="43">
        <v>0.12850152065819156</v>
      </c>
      <c r="E66" s="43">
        <v>0.87149847934180857</v>
      </c>
      <c r="F66" s="43">
        <v>1</v>
      </c>
      <c r="K66"/>
      <c r="L66"/>
      <c r="M66"/>
      <c r="N66"/>
      <c r="O66"/>
      <c r="P66"/>
      <c r="Q66"/>
      <c r="R66"/>
      <c r="S66"/>
      <c r="T66"/>
      <c r="V66"/>
      <c r="W66"/>
      <c r="X66"/>
      <c r="Y66"/>
      <c r="Z66" s="19"/>
      <c r="AA66"/>
      <c r="AC66"/>
      <c r="AD66"/>
      <c r="BF66"/>
      <c r="BG66"/>
      <c r="BH66"/>
      <c r="BI66"/>
      <c r="BJ66"/>
      <c r="BK66"/>
      <c r="BT66"/>
      <c r="BU66"/>
      <c r="BV66"/>
      <c r="BW66"/>
      <c r="BX66"/>
      <c r="BY66"/>
      <c r="BZ66"/>
      <c r="CA66"/>
      <c r="CB66"/>
      <c r="CC66"/>
      <c r="CD66"/>
      <c r="CE66"/>
      <c r="CF66"/>
      <c r="CG66"/>
      <c r="CH66"/>
      <c r="CI66"/>
      <c r="CJ66"/>
      <c r="CK66"/>
      <c r="CL66"/>
      <c r="CM66"/>
    </row>
    <row r="67" spans="1:91" x14ac:dyDescent="0.25">
      <c r="A67" s="2" t="s">
        <v>227</v>
      </c>
      <c r="B67" s="61">
        <v>659723.4</v>
      </c>
      <c r="C67" s="61">
        <v>98316.14</v>
      </c>
      <c r="D67" s="61">
        <v>758039.54</v>
      </c>
      <c r="E67" s="61">
        <v>5141031.040000001</v>
      </c>
      <c r="F67" s="61">
        <v>5899070.5800000001</v>
      </c>
      <c r="G67"/>
      <c r="K67"/>
      <c r="L67"/>
      <c r="M67"/>
      <c r="N67"/>
      <c r="O67"/>
      <c r="P67"/>
      <c r="Q67"/>
      <c r="R67"/>
      <c r="S67"/>
      <c r="T67"/>
      <c r="V67"/>
      <c r="W67"/>
      <c r="X67"/>
      <c r="Y67"/>
      <c r="Z67" s="19"/>
      <c r="AA67"/>
      <c r="AC67"/>
      <c r="AD67"/>
      <c r="BF67"/>
      <c r="BG67"/>
      <c r="BH67"/>
      <c r="BI67"/>
      <c r="BJ67"/>
      <c r="BK67"/>
      <c r="BT67"/>
      <c r="BU67"/>
      <c r="BV67"/>
      <c r="BW67"/>
      <c r="BX67"/>
      <c r="BY67"/>
      <c r="BZ67"/>
      <c r="CA67"/>
      <c r="CB67"/>
      <c r="CC67"/>
      <c r="CD67"/>
      <c r="CE67"/>
      <c r="CF67"/>
      <c r="CG67"/>
      <c r="CH67"/>
      <c r="CI67"/>
      <c r="CJ67"/>
      <c r="CK67"/>
      <c r="CL67"/>
      <c r="CM67"/>
    </row>
    <row r="68" spans="1:91" x14ac:dyDescent="0.25">
      <c r="A68" s="2" t="s">
        <v>46</v>
      </c>
      <c r="B68" s="61">
        <v>192977.9</v>
      </c>
      <c r="C68" s="61">
        <v>11050</v>
      </c>
      <c r="D68" s="61">
        <v>204027.9</v>
      </c>
      <c r="E68" s="61">
        <v>3500</v>
      </c>
      <c r="F68" s="61">
        <v>207527.9</v>
      </c>
      <c r="G68"/>
      <c r="K68"/>
      <c r="L68"/>
      <c r="M68"/>
      <c r="N68"/>
      <c r="O68"/>
      <c r="P68"/>
      <c r="Q68"/>
      <c r="R68"/>
      <c r="S68"/>
      <c r="T68"/>
      <c r="V68"/>
      <c r="W68"/>
      <c r="X68"/>
      <c r="Y68"/>
      <c r="Z68" s="19"/>
      <c r="AA68"/>
      <c r="AC68"/>
      <c r="AD68"/>
      <c r="BT68"/>
      <c r="BU68"/>
      <c r="BV68"/>
      <c r="BW68"/>
      <c r="BX68"/>
      <c r="BY68"/>
      <c r="CA68"/>
      <c r="CB68"/>
      <c r="CC68"/>
      <c r="CD68"/>
      <c r="CE68"/>
    </row>
    <row r="69" spans="1:91" x14ac:dyDescent="0.25">
      <c r="A69" s="5">
        <v>21</v>
      </c>
      <c r="B69" s="61"/>
      <c r="C69" s="61"/>
      <c r="D69" s="61"/>
      <c r="E69" s="61"/>
      <c r="F69" s="61"/>
      <c r="G69"/>
      <c r="K69"/>
      <c r="L69"/>
      <c r="M69"/>
      <c r="N69"/>
      <c r="O69"/>
      <c r="P69"/>
      <c r="Q69"/>
      <c r="R69"/>
      <c r="S69"/>
      <c r="T69"/>
      <c r="V69"/>
      <c r="W69"/>
      <c r="X69"/>
      <c r="Y69"/>
      <c r="Z69" s="19"/>
      <c r="AA69"/>
      <c r="AC69"/>
      <c r="AD69"/>
      <c r="BT69"/>
      <c r="BU69"/>
      <c r="BV69"/>
      <c r="BW69"/>
      <c r="BX69"/>
      <c r="BY69"/>
      <c r="CA69"/>
      <c r="CB69"/>
      <c r="CC69"/>
      <c r="CD69"/>
      <c r="CE69"/>
    </row>
    <row r="70" spans="1:91" x14ac:dyDescent="0.25">
      <c r="A70" s="2" t="s">
        <v>191</v>
      </c>
      <c r="B70" s="61">
        <v>12</v>
      </c>
      <c r="C70" s="61">
        <v>5</v>
      </c>
      <c r="D70" s="61">
        <v>17</v>
      </c>
      <c r="E70" s="61">
        <v>67</v>
      </c>
      <c r="F70" s="61">
        <v>84</v>
      </c>
      <c r="G70"/>
      <c r="BT70"/>
      <c r="BU70"/>
      <c r="BV70"/>
      <c r="BW70"/>
      <c r="BX70"/>
      <c r="BY70"/>
      <c r="CA70"/>
      <c r="CB70"/>
      <c r="CC70"/>
      <c r="CD70"/>
      <c r="CE70"/>
    </row>
    <row r="71" spans="1:91" x14ac:dyDescent="0.25">
      <c r="A71" s="42" t="s">
        <v>228</v>
      </c>
      <c r="B71" s="43">
        <v>0.15673328736447356</v>
      </c>
      <c r="C71" s="43">
        <v>3.2612499424967661E-2</v>
      </c>
      <c r="D71" s="43">
        <v>0.18934578678944125</v>
      </c>
      <c r="E71" s="43">
        <v>0.81065421321055886</v>
      </c>
      <c r="F71" s="43">
        <v>1</v>
      </c>
      <c r="G71"/>
      <c r="BT71"/>
      <c r="BU71"/>
      <c r="CA71"/>
      <c r="CB71"/>
      <c r="CC71"/>
      <c r="CD71"/>
      <c r="CE71"/>
    </row>
    <row r="72" spans="1:91" x14ac:dyDescent="0.25">
      <c r="A72" s="2" t="s">
        <v>227</v>
      </c>
      <c r="B72" s="61">
        <v>2230598.1</v>
      </c>
      <c r="C72" s="61">
        <v>464134.83999999997</v>
      </c>
      <c r="D72" s="61">
        <v>2694732.9400000004</v>
      </c>
      <c r="E72" s="61">
        <v>11537075.360000001</v>
      </c>
      <c r="F72" s="61">
        <v>14231808.300000001</v>
      </c>
      <c r="G72"/>
      <c r="BT72"/>
      <c r="BU72"/>
      <c r="CA72"/>
      <c r="CB72"/>
      <c r="CC72"/>
      <c r="CD72"/>
      <c r="CE72"/>
    </row>
    <row r="73" spans="1:91" x14ac:dyDescent="0.25">
      <c r="A73" s="2" t="s">
        <v>46</v>
      </c>
      <c r="B73" s="61">
        <v>505475.45</v>
      </c>
      <c r="C73" s="61">
        <v>31370</v>
      </c>
      <c r="D73" s="61">
        <v>536845.44999999995</v>
      </c>
      <c r="E73" s="61">
        <v>0</v>
      </c>
      <c r="F73" s="61">
        <v>536845.44999999995</v>
      </c>
      <c r="G73"/>
      <c r="BT73"/>
      <c r="BU73"/>
      <c r="CA73"/>
      <c r="CB73"/>
      <c r="CC73"/>
      <c r="CD73"/>
      <c r="CE73"/>
    </row>
    <row r="74" spans="1:91" x14ac:dyDescent="0.25">
      <c r="A74" s="5">
        <v>23</v>
      </c>
      <c r="B74" s="61"/>
      <c r="C74" s="61"/>
      <c r="D74" s="61"/>
      <c r="E74" s="61"/>
      <c r="F74" s="61"/>
      <c r="G74"/>
      <c r="BT74"/>
      <c r="BU74"/>
      <c r="CA74"/>
      <c r="CB74"/>
      <c r="CC74"/>
      <c r="CD74"/>
      <c r="CE74"/>
    </row>
    <row r="75" spans="1:91" x14ac:dyDescent="0.25">
      <c r="A75" s="2" t="s">
        <v>191</v>
      </c>
      <c r="B75" s="61"/>
      <c r="C75" s="61"/>
      <c r="D75" s="61"/>
      <c r="E75" s="61">
        <v>1</v>
      </c>
      <c r="F75" s="61">
        <v>1</v>
      </c>
      <c r="G75"/>
      <c r="BT75"/>
      <c r="BU75"/>
      <c r="CA75"/>
      <c r="CB75"/>
      <c r="CC75"/>
      <c r="CD75"/>
      <c r="CE75"/>
    </row>
    <row r="76" spans="1:91" x14ac:dyDescent="0.25">
      <c r="A76" s="42" t="s">
        <v>228</v>
      </c>
      <c r="B76" s="43">
        <v>0</v>
      </c>
      <c r="C76" s="43">
        <v>0</v>
      </c>
      <c r="D76" s="43">
        <v>0</v>
      </c>
      <c r="E76" s="43">
        <v>1</v>
      </c>
      <c r="F76" s="43">
        <v>1</v>
      </c>
      <c r="G76"/>
      <c r="BT76"/>
      <c r="BU76"/>
      <c r="CA76"/>
      <c r="CB76"/>
      <c r="CC76"/>
      <c r="CD76"/>
      <c r="CE76"/>
    </row>
    <row r="77" spans="1:91" x14ac:dyDescent="0.25">
      <c r="A77" s="2" t="s">
        <v>227</v>
      </c>
      <c r="B77" s="61"/>
      <c r="C77" s="61"/>
      <c r="D77" s="61"/>
      <c r="E77" s="61">
        <v>331241.84000000003</v>
      </c>
      <c r="F77" s="61">
        <v>331241.84000000003</v>
      </c>
      <c r="G77"/>
      <c r="BT77"/>
      <c r="BU77"/>
      <c r="CA77"/>
      <c r="CB77"/>
      <c r="CC77"/>
      <c r="CD77"/>
      <c r="CE77"/>
    </row>
    <row r="78" spans="1:91" x14ac:dyDescent="0.25">
      <c r="A78" s="2" t="s">
        <v>46</v>
      </c>
      <c r="B78" s="61"/>
      <c r="C78" s="61"/>
      <c r="D78" s="61"/>
      <c r="E78" s="61">
        <v>0</v>
      </c>
      <c r="F78" s="61">
        <v>0</v>
      </c>
      <c r="G78"/>
      <c r="BT78"/>
      <c r="BU78"/>
      <c r="CA78"/>
      <c r="CB78"/>
      <c r="CC78"/>
      <c r="CD78"/>
      <c r="CE78"/>
    </row>
    <row r="79" spans="1:91" x14ac:dyDescent="0.25">
      <c r="A79" s="5">
        <v>24</v>
      </c>
      <c r="B79" s="61"/>
      <c r="C79" s="61"/>
      <c r="D79" s="61"/>
      <c r="E79" s="61"/>
      <c r="F79" s="61"/>
      <c r="G79"/>
      <c r="BT79"/>
      <c r="BU79"/>
      <c r="CA79"/>
      <c r="CB79"/>
      <c r="CC79"/>
      <c r="CD79"/>
      <c r="CE79"/>
    </row>
    <row r="80" spans="1:91" x14ac:dyDescent="0.25">
      <c r="A80" s="2" t="s">
        <v>191</v>
      </c>
      <c r="B80" s="61"/>
      <c r="C80" s="61"/>
      <c r="D80" s="61"/>
      <c r="E80" s="61">
        <v>1</v>
      </c>
      <c r="F80" s="61">
        <v>1</v>
      </c>
      <c r="G80"/>
      <c r="BT80"/>
      <c r="BU80"/>
      <c r="CA80"/>
      <c r="CB80"/>
      <c r="CC80"/>
      <c r="CD80"/>
      <c r="CE80"/>
    </row>
    <row r="81" spans="1:83" x14ac:dyDescent="0.25">
      <c r="A81" s="42" t="s">
        <v>228</v>
      </c>
      <c r="B81" s="43">
        <v>0</v>
      </c>
      <c r="C81" s="43">
        <v>0</v>
      </c>
      <c r="D81" s="43">
        <v>0</v>
      </c>
      <c r="E81" s="43">
        <v>1</v>
      </c>
      <c r="F81" s="43">
        <v>1</v>
      </c>
      <c r="G81"/>
      <c r="BT81"/>
      <c r="BU81"/>
      <c r="CA81"/>
      <c r="CB81"/>
      <c r="CC81"/>
      <c r="CD81"/>
      <c r="CE81"/>
    </row>
    <row r="82" spans="1:83" x14ac:dyDescent="0.25">
      <c r="A82" s="2" t="s">
        <v>227</v>
      </c>
      <c r="B82" s="61"/>
      <c r="C82" s="61"/>
      <c r="D82" s="61"/>
      <c r="E82" s="61">
        <v>102187.92</v>
      </c>
      <c r="F82" s="61">
        <v>102187.92</v>
      </c>
      <c r="G82"/>
      <c r="BT82"/>
      <c r="BU82"/>
      <c r="CA82"/>
      <c r="CB82"/>
      <c r="CC82"/>
      <c r="CD82"/>
      <c r="CE82"/>
    </row>
    <row r="83" spans="1:83" x14ac:dyDescent="0.25">
      <c r="A83" s="2" t="s">
        <v>46</v>
      </c>
      <c r="B83" s="61"/>
      <c r="C83" s="61"/>
      <c r="D83" s="61"/>
      <c r="E83" s="61">
        <v>0</v>
      </c>
      <c r="F83" s="61">
        <v>0</v>
      </c>
      <c r="G83"/>
      <c r="BT83"/>
      <c r="BU83"/>
      <c r="CA83"/>
      <c r="CB83"/>
      <c r="CC83"/>
      <c r="CD83"/>
      <c r="CE83"/>
    </row>
    <row r="84" spans="1:83" x14ac:dyDescent="0.25">
      <c r="A84" s="5">
        <v>25</v>
      </c>
      <c r="B84" s="61"/>
      <c r="C84" s="61"/>
      <c r="D84" s="61"/>
      <c r="E84" s="61"/>
      <c r="F84" s="61"/>
      <c r="G84"/>
      <c r="BT84"/>
      <c r="BU84"/>
      <c r="CA84"/>
      <c r="CB84"/>
      <c r="CC84"/>
      <c r="CD84"/>
      <c r="CE84"/>
    </row>
    <row r="85" spans="1:83" x14ac:dyDescent="0.25">
      <c r="A85" s="2" t="s">
        <v>191</v>
      </c>
      <c r="B85" s="61">
        <v>1</v>
      </c>
      <c r="C85" s="61"/>
      <c r="D85" s="61">
        <v>1</v>
      </c>
      <c r="E85" s="61">
        <v>13</v>
      </c>
      <c r="F85" s="61">
        <v>14</v>
      </c>
      <c r="G85"/>
      <c r="BT85"/>
      <c r="BU85"/>
      <c r="CA85"/>
      <c r="CB85"/>
      <c r="CC85"/>
      <c r="CD85"/>
      <c r="CE85"/>
    </row>
    <row r="86" spans="1:83" x14ac:dyDescent="0.25">
      <c r="A86" s="42" t="s">
        <v>228</v>
      </c>
      <c r="B86" s="43">
        <v>2.314275321894569E-2</v>
      </c>
      <c r="C86" s="43">
        <v>0</v>
      </c>
      <c r="D86" s="43">
        <v>2.314275321894569E-2</v>
      </c>
      <c r="E86" s="43">
        <v>0.97685724678105434</v>
      </c>
      <c r="F86" s="43">
        <v>1</v>
      </c>
      <c r="G86"/>
      <c r="BT86"/>
      <c r="BU86"/>
      <c r="CA86"/>
      <c r="CB86"/>
      <c r="CC86"/>
      <c r="CD86"/>
      <c r="CE86"/>
    </row>
    <row r="87" spans="1:83" x14ac:dyDescent="0.25">
      <c r="A87" s="2" t="s">
        <v>227</v>
      </c>
      <c r="B87" s="61">
        <v>72179.360000000001</v>
      </c>
      <c r="C87" s="61"/>
      <c r="D87" s="61">
        <v>72179.360000000001</v>
      </c>
      <c r="E87" s="61">
        <v>3046695.88</v>
      </c>
      <c r="F87" s="61">
        <v>3118875.2399999998</v>
      </c>
      <c r="G87"/>
      <c r="BT87"/>
      <c r="BU87"/>
      <c r="CA87"/>
      <c r="CB87"/>
      <c r="CC87"/>
      <c r="CD87"/>
      <c r="CE87"/>
    </row>
    <row r="88" spans="1:83" x14ac:dyDescent="0.25">
      <c r="A88" s="2" t="s">
        <v>46</v>
      </c>
      <c r="B88" s="61">
        <v>23000</v>
      </c>
      <c r="C88" s="61"/>
      <c r="D88" s="61">
        <v>23000</v>
      </c>
      <c r="E88" s="61">
        <v>0</v>
      </c>
      <c r="F88" s="61">
        <v>23000</v>
      </c>
      <c r="G88"/>
      <c r="BT88"/>
      <c r="BU88"/>
      <c r="CA88"/>
      <c r="CB88"/>
      <c r="CC88"/>
      <c r="CD88"/>
      <c r="CE88"/>
    </row>
    <row r="89" spans="1:83" x14ac:dyDescent="0.25">
      <c r="A89" s="2" t="s">
        <v>231</v>
      </c>
      <c r="B89" s="61">
        <v>45</v>
      </c>
      <c r="C89" s="61">
        <v>21</v>
      </c>
      <c r="D89" s="61">
        <v>66</v>
      </c>
      <c r="E89" s="61">
        <v>202</v>
      </c>
      <c r="F89" s="61">
        <v>268</v>
      </c>
      <c r="BT89"/>
      <c r="BU89"/>
      <c r="CA89"/>
      <c r="CB89"/>
      <c r="CC89"/>
      <c r="CD89"/>
      <c r="CE89"/>
    </row>
    <row r="90" spans="1:83" x14ac:dyDescent="0.25">
      <c r="A90" s="2" t="s">
        <v>230</v>
      </c>
      <c r="B90" s="43">
        <v>0.14446304303598473</v>
      </c>
      <c r="C90" s="43">
        <v>6.12509966136889E-2</v>
      </c>
      <c r="D90" s="43">
        <v>0.20571403964967355</v>
      </c>
      <c r="E90" s="43">
        <v>0.7942859603503265</v>
      </c>
      <c r="F90" s="43">
        <v>1</v>
      </c>
      <c r="BT90"/>
      <c r="BU90"/>
      <c r="CA90"/>
      <c r="CB90"/>
      <c r="CC90"/>
      <c r="CD90"/>
      <c r="CE90"/>
    </row>
    <row r="91" spans="1:83" x14ac:dyDescent="0.25">
      <c r="A91" s="2" t="s">
        <v>229</v>
      </c>
      <c r="B91" s="61">
        <v>8248502.1400000025</v>
      </c>
      <c r="C91" s="61">
        <v>3497288.7600000007</v>
      </c>
      <c r="D91" s="61">
        <v>11745790.899999999</v>
      </c>
      <c r="E91" s="61">
        <v>45351872.050000012</v>
      </c>
      <c r="F91" s="61">
        <v>57097662.95000001</v>
      </c>
      <c r="BT91"/>
      <c r="BU91"/>
      <c r="CA91"/>
      <c r="CB91"/>
      <c r="CC91"/>
      <c r="CD91"/>
      <c r="CE91"/>
    </row>
    <row r="92" spans="1:83" x14ac:dyDescent="0.25">
      <c r="A92" s="2" t="s">
        <v>244</v>
      </c>
      <c r="B92" s="61">
        <v>2307734.4300000002</v>
      </c>
      <c r="C92" s="61">
        <v>262627.07</v>
      </c>
      <c r="D92" s="61">
        <v>2570361.5</v>
      </c>
      <c r="E92" s="61">
        <v>84784.57</v>
      </c>
      <c r="F92" s="61">
        <v>2655146.0700000003</v>
      </c>
      <c r="BT92"/>
      <c r="BU92"/>
      <c r="CA92"/>
      <c r="CB92"/>
      <c r="CC92"/>
      <c r="CD92"/>
      <c r="CE92"/>
    </row>
    <row r="93" spans="1:83" x14ac:dyDescent="0.25">
      <c r="BT93"/>
      <c r="BU93"/>
      <c r="CA93"/>
      <c r="CB93"/>
      <c r="CC93"/>
      <c r="CD93"/>
      <c r="CE93"/>
    </row>
    <row r="94" spans="1:83" x14ac:dyDescent="0.25">
      <c r="BT94"/>
      <c r="BU94"/>
      <c r="CA94"/>
      <c r="CB94"/>
      <c r="CC94"/>
      <c r="CD94"/>
      <c r="CE94"/>
    </row>
    <row r="95" spans="1:83" x14ac:dyDescent="0.25">
      <c r="BT95"/>
      <c r="BU95"/>
      <c r="CA95"/>
      <c r="CB95"/>
      <c r="CC95"/>
      <c r="CD95"/>
      <c r="CE95"/>
    </row>
    <row r="96" spans="1:83" x14ac:dyDescent="0.25">
      <c r="BT96"/>
      <c r="BU96"/>
      <c r="CA96"/>
      <c r="CB96"/>
      <c r="CC96"/>
      <c r="CD96"/>
      <c r="CE96"/>
    </row>
    <row r="97" spans="1:83" x14ac:dyDescent="0.25">
      <c r="BT97"/>
      <c r="BU97"/>
      <c r="CA97"/>
      <c r="CB97"/>
      <c r="CC97"/>
      <c r="CD97"/>
      <c r="CE97"/>
    </row>
    <row r="98" spans="1:83" x14ac:dyDescent="0.25">
      <c r="BT98"/>
      <c r="BU98"/>
      <c r="CA98"/>
      <c r="CB98"/>
      <c r="CC98"/>
      <c r="CD98"/>
      <c r="CE98"/>
    </row>
    <row r="99" spans="1:83" x14ac:dyDescent="0.25">
      <c r="BT99"/>
      <c r="BU99"/>
      <c r="CA99"/>
      <c r="CB99"/>
      <c r="CC99"/>
      <c r="CD99"/>
      <c r="CE99"/>
    </row>
    <row r="100" spans="1:83" x14ac:dyDescent="0.25">
      <c r="BT100"/>
      <c r="BU100"/>
      <c r="CA100"/>
      <c r="CB100"/>
      <c r="CC100"/>
      <c r="CD100"/>
      <c r="CE100"/>
    </row>
    <row r="101" spans="1:83" x14ac:dyDescent="0.25">
      <c r="BT101"/>
      <c r="BU101"/>
      <c r="CA101"/>
      <c r="CB101"/>
      <c r="CC101"/>
      <c r="CD101"/>
      <c r="CE101"/>
    </row>
    <row r="102" spans="1:83" x14ac:dyDescent="0.25">
      <c r="A102"/>
      <c r="B102"/>
      <c r="C102"/>
      <c r="D102"/>
      <c r="E102"/>
      <c r="F102"/>
      <c r="BT102"/>
      <c r="BU102"/>
      <c r="CA102"/>
      <c r="CB102"/>
      <c r="CC102"/>
      <c r="CD102"/>
      <c r="CE102"/>
    </row>
    <row r="103" spans="1:83" x14ac:dyDescent="0.25">
      <c r="A103"/>
      <c r="B103"/>
      <c r="C103"/>
      <c r="D103"/>
      <c r="E103"/>
      <c r="F103"/>
      <c r="BT103"/>
      <c r="BU103"/>
      <c r="CA103"/>
      <c r="CB103"/>
      <c r="CC103"/>
      <c r="CD103"/>
      <c r="CE103"/>
    </row>
    <row r="104" spans="1:83" x14ac:dyDescent="0.25">
      <c r="A104"/>
      <c r="B104"/>
      <c r="C104"/>
      <c r="D104"/>
      <c r="E104"/>
      <c r="F104"/>
      <c r="BT104"/>
      <c r="BU104"/>
      <c r="CA104"/>
      <c r="CB104"/>
      <c r="CC104"/>
      <c r="CD104"/>
      <c r="CE104"/>
    </row>
    <row r="105" spans="1:83" x14ac:dyDescent="0.25">
      <c r="A105"/>
      <c r="B105"/>
      <c r="C105"/>
      <c r="D105"/>
      <c r="E105"/>
      <c r="F105"/>
      <c r="BT105"/>
      <c r="BU105"/>
      <c r="CA105"/>
      <c r="CB105"/>
      <c r="CC105"/>
      <c r="CD105"/>
      <c r="CE105"/>
    </row>
    <row r="106" spans="1:83" x14ac:dyDescent="0.25">
      <c r="A106"/>
      <c r="B106"/>
      <c r="C106"/>
      <c r="D106"/>
      <c r="E106"/>
      <c r="F106"/>
      <c r="BT106"/>
      <c r="BU106"/>
      <c r="CA106"/>
      <c r="CB106"/>
      <c r="CC106"/>
      <c r="CD106"/>
      <c r="CE106"/>
    </row>
    <row r="107" spans="1:83" x14ac:dyDescent="0.25">
      <c r="A107"/>
      <c r="B107"/>
      <c r="C107"/>
      <c r="D107"/>
      <c r="E107"/>
      <c r="F107"/>
      <c r="BT107"/>
      <c r="BU107"/>
      <c r="CA107"/>
      <c r="CB107"/>
      <c r="CC107"/>
      <c r="CD107"/>
      <c r="CE107"/>
    </row>
    <row r="108" spans="1:83" x14ac:dyDescent="0.25">
      <c r="A108"/>
      <c r="B108"/>
      <c r="C108"/>
      <c r="D108"/>
      <c r="E108"/>
      <c r="F108"/>
      <c r="BT108"/>
      <c r="BU108"/>
      <c r="CA108"/>
      <c r="CB108"/>
      <c r="CC108"/>
      <c r="CD108"/>
      <c r="CE108"/>
    </row>
    <row r="109" spans="1:83" x14ac:dyDescent="0.25">
      <c r="A109"/>
      <c r="B109"/>
      <c r="C109"/>
      <c r="D109"/>
      <c r="E109"/>
      <c r="F109"/>
      <c r="BT109"/>
      <c r="BU109"/>
      <c r="CA109"/>
      <c r="CB109"/>
      <c r="CC109"/>
      <c r="CD109"/>
      <c r="CE109"/>
    </row>
    <row r="110" spans="1:83" x14ac:dyDescent="0.25">
      <c r="A110"/>
      <c r="B110"/>
      <c r="C110"/>
      <c r="D110"/>
      <c r="E110"/>
      <c r="F110"/>
      <c r="BT110"/>
      <c r="BU110"/>
      <c r="CA110"/>
      <c r="CB110"/>
      <c r="CC110"/>
      <c r="CD110"/>
      <c r="CE110"/>
    </row>
    <row r="111" spans="1:83" x14ac:dyDescent="0.25">
      <c r="A111"/>
      <c r="B111"/>
      <c r="C111"/>
      <c r="D111"/>
      <c r="E111"/>
      <c r="F111"/>
      <c r="BT111"/>
      <c r="BU111"/>
      <c r="CA111"/>
      <c r="CB111"/>
      <c r="CC111"/>
      <c r="CD111"/>
      <c r="CE111"/>
    </row>
    <row r="112" spans="1:83" x14ac:dyDescent="0.25">
      <c r="BT112"/>
      <c r="BU112"/>
      <c r="CA112"/>
      <c r="CB112"/>
      <c r="CC112"/>
      <c r="CD112"/>
      <c r="CE112"/>
    </row>
    <row r="113" spans="1:83" x14ac:dyDescent="0.25">
      <c r="A113" s="3" t="s">
        <v>14</v>
      </c>
      <c r="B113" s="2" t="s">
        <v>90</v>
      </c>
      <c r="BT113"/>
      <c r="BU113"/>
      <c r="CA113"/>
      <c r="CB113"/>
      <c r="CC113"/>
      <c r="CD113"/>
      <c r="CE113"/>
    </row>
    <row r="114" spans="1:83" x14ac:dyDescent="0.25">
      <c r="BT114"/>
      <c r="BU114"/>
      <c r="CA114"/>
      <c r="CB114"/>
      <c r="CC114"/>
      <c r="CD114"/>
      <c r="CE114"/>
    </row>
    <row r="115" spans="1:83" x14ac:dyDescent="0.25">
      <c r="A115" s="3" t="s">
        <v>44</v>
      </c>
      <c r="B115" s="2" t="s">
        <v>191</v>
      </c>
      <c r="C115"/>
      <c r="D115"/>
      <c r="E115"/>
      <c r="F115"/>
      <c r="G115"/>
      <c r="H115"/>
      <c r="BT115"/>
      <c r="BU115"/>
      <c r="CA115"/>
      <c r="CB115"/>
      <c r="CC115"/>
      <c r="CD115"/>
      <c r="CE115"/>
    </row>
    <row r="116" spans="1:83" x14ac:dyDescent="0.25">
      <c r="A116" s="2">
        <v>1</v>
      </c>
      <c r="B116" s="61">
        <v>4</v>
      </c>
      <c r="C116"/>
      <c r="D116"/>
      <c r="E116"/>
      <c r="F116"/>
      <c r="G116"/>
      <c r="H116"/>
      <c r="BT116"/>
      <c r="BU116"/>
      <c r="CA116"/>
      <c r="CB116"/>
      <c r="CC116"/>
      <c r="CD116"/>
      <c r="CE116"/>
    </row>
    <row r="117" spans="1:83" x14ac:dyDescent="0.25">
      <c r="A117" s="2">
        <v>2</v>
      </c>
      <c r="B117" s="61">
        <v>17</v>
      </c>
      <c r="C117"/>
      <c r="D117"/>
      <c r="E117"/>
      <c r="F117"/>
      <c r="G117"/>
      <c r="H117"/>
      <c r="BT117"/>
      <c r="BU117"/>
      <c r="CA117"/>
      <c r="CB117"/>
      <c r="CC117"/>
      <c r="CD117"/>
      <c r="CE117"/>
    </row>
    <row r="118" spans="1:83" x14ac:dyDescent="0.25">
      <c r="A118" s="2">
        <v>3</v>
      </c>
      <c r="B118" s="61">
        <v>3</v>
      </c>
      <c r="C118"/>
      <c r="D118"/>
      <c r="E118"/>
      <c r="F118"/>
      <c r="G118"/>
      <c r="H118"/>
      <c r="BT118"/>
      <c r="BU118"/>
      <c r="CA118"/>
      <c r="CB118"/>
      <c r="CC118"/>
      <c r="CD118"/>
      <c r="CE118"/>
    </row>
    <row r="119" spans="1:83" x14ac:dyDescent="0.25">
      <c r="A119" s="2">
        <v>5</v>
      </c>
      <c r="B119" s="61">
        <v>4</v>
      </c>
      <c r="C119"/>
      <c r="D119"/>
      <c r="E119"/>
      <c r="F119"/>
      <c r="G119"/>
      <c r="H119"/>
      <c r="BT119"/>
      <c r="BU119"/>
      <c r="CA119"/>
      <c r="CB119"/>
      <c r="CC119"/>
      <c r="CD119"/>
      <c r="CE119"/>
    </row>
    <row r="120" spans="1:83" x14ac:dyDescent="0.25">
      <c r="A120" s="2">
        <v>7</v>
      </c>
      <c r="B120" s="61">
        <v>1</v>
      </c>
      <c r="C120"/>
      <c r="D120"/>
      <c r="E120"/>
      <c r="F120"/>
      <c r="G120"/>
      <c r="H120"/>
      <c r="BT120"/>
      <c r="BU120"/>
      <c r="CA120"/>
      <c r="CB120"/>
      <c r="CC120"/>
      <c r="CD120"/>
      <c r="CE120"/>
    </row>
    <row r="121" spans="1:83" x14ac:dyDescent="0.25">
      <c r="A121" s="2">
        <v>8</v>
      </c>
      <c r="B121" s="61">
        <v>2</v>
      </c>
      <c r="C121"/>
      <c r="D121"/>
      <c r="E121"/>
      <c r="F121"/>
      <c r="G121"/>
      <c r="H121"/>
      <c r="BT121"/>
      <c r="BU121"/>
      <c r="CA121"/>
      <c r="CB121"/>
      <c r="CC121"/>
      <c r="CD121"/>
      <c r="CE121"/>
    </row>
    <row r="122" spans="1:83" x14ac:dyDescent="0.25">
      <c r="A122" s="2">
        <v>11</v>
      </c>
      <c r="B122" s="61">
        <v>10</v>
      </c>
      <c r="C122"/>
      <c r="D122"/>
      <c r="E122"/>
      <c r="F122"/>
      <c r="G122"/>
      <c r="H122"/>
      <c r="BT122"/>
      <c r="BU122"/>
      <c r="CA122"/>
      <c r="CB122"/>
      <c r="CC122"/>
      <c r="CD122"/>
      <c r="CE122"/>
    </row>
    <row r="123" spans="1:83" x14ac:dyDescent="0.25">
      <c r="A123" s="2">
        <v>12</v>
      </c>
      <c r="B123" s="61">
        <v>15</v>
      </c>
      <c r="C123"/>
      <c r="D123"/>
      <c r="E123"/>
      <c r="F123"/>
      <c r="G123"/>
      <c r="H123"/>
      <c r="BT123"/>
      <c r="BU123"/>
      <c r="CA123"/>
      <c r="CB123"/>
      <c r="CC123"/>
      <c r="CD123"/>
      <c r="CE123"/>
    </row>
    <row r="124" spans="1:83" x14ac:dyDescent="0.25">
      <c r="A124" s="2">
        <v>14</v>
      </c>
      <c r="B124" s="61">
        <v>4</v>
      </c>
      <c r="C124"/>
      <c r="D124"/>
      <c r="E124"/>
      <c r="F124"/>
      <c r="G124"/>
      <c r="H124"/>
      <c r="BT124"/>
      <c r="BU124"/>
      <c r="CA124"/>
      <c r="CB124"/>
      <c r="CC124"/>
      <c r="CD124"/>
      <c r="CE124"/>
    </row>
    <row r="125" spans="1:83" x14ac:dyDescent="0.25">
      <c r="A125" s="2">
        <v>15</v>
      </c>
      <c r="B125" s="61">
        <v>2</v>
      </c>
      <c r="C125"/>
      <c r="D125"/>
      <c r="E125"/>
      <c r="F125"/>
      <c r="G125"/>
      <c r="H125"/>
      <c r="BT125"/>
      <c r="BU125"/>
      <c r="CA125"/>
      <c r="CB125"/>
      <c r="CC125"/>
      <c r="CD125"/>
      <c r="CE125"/>
    </row>
    <row r="126" spans="1:83" x14ac:dyDescent="0.25">
      <c r="A126" s="2">
        <v>16</v>
      </c>
      <c r="B126" s="61">
        <v>23</v>
      </c>
      <c r="C126"/>
      <c r="D126"/>
      <c r="E126"/>
      <c r="F126"/>
      <c r="G126"/>
      <c r="H126"/>
      <c r="BT126"/>
      <c r="BU126"/>
      <c r="CA126"/>
      <c r="CB126"/>
      <c r="CC126"/>
      <c r="CD126"/>
      <c r="CE126"/>
    </row>
    <row r="127" spans="1:83" x14ac:dyDescent="0.25">
      <c r="A127" s="2">
        <v>18</v>
      </c>
      <c r="B127" s="61">
        <v>46</v>
      </c>
      <c r="C127"/>
      <c r="D127"/>
      <c r="E127"/>
      <c r="F127"/>
      <c r="G127"/>
      <c r="H127"/>
      <c r="BT127"/>
      <c r="BU127"/>
      <c r="CA127"/>
      <c r="CB127"/>
      <c r="CC127"/>
      <c r="CD127"/>
      <c r="CE127"/>
    </row>
    <row r="128" spans="1:83" x14ac:dyDescent="0.25">
      <c r="A128" s="2">
        <v>20</v>
      </c>
      <c r="B128" s="61">
        <v>37</v>
      </c>
      <c r="C128"/>
      <c r="D128"/>
      <c r="E128"/>
      <c r="F128"/>
      <c r="G128"/>
      <c r="H128"/>
      <c r="BT128"/>
      <c r="BU128"/>
      <c r="CA128"/>
      <c r="CB128"/>
      <c r="CC128"/>
      <c r="CD128"/>
      <c r="CE128"/>
    </row>
    <row r="129" spans="1:83" x14ac:dyDescent="0.25">
      <c r="A129" s="2">
        <v>21</v>
      </c>
      <c r="B129" s="61">
        <v>84</v>
      </c>
      <c r="C129"/>
      <c r="D129"/>
      <c r="E129"/>
      <c r="F129"/>
      <c r="G129"/>
      <c r="H129"/>
      <c r="BT129"/>
      <c r="BU129"/>
      <c r="CA129"/>
      <c r="CB129"/>
      <c r="CC129"/>
      <c r="CD129"/>
      <c r="CE129"/>
    </row>
    <row r="130" spans="1:83" x14ac:dyDescent="0.25">
      <c r="A130" s="2">
        <v>23</v>
      </c>
      <c r="B130" s="61">
        <v>1</v>
      </c>
      <c r="C130"/>
      <c r="D130"/>
      <c r="E130"/>
      <c r="F130"/>
      <c r="G130"/>
      <c r="H130"/>
      <c r="BT130"/>
      <c r="BU130"/>
      <c r="CA130"/>
      <c r="CB130"/>
      <c r="CC130"/>
      <c r="CD130"/>
      <c r="CE130"/>
    </row>
    <row r="131" spans="1:83" x14ac:dyDescent="0.25">
      <c r="A131" s="2">
        <v>24</v>
      </c>
      <c r="B131" s="61">
        <v>1</v>
      </c>
      <c r="C131"/>
      <c r="D131"/>
      <c r="E131"/>
      <c r="F131"/>
      <c r="G131"/>
      <c r="H131"/>
      <c r="BT131"/>
      <c r="BU131"/>
      <c r="CA131"/>
      <c r="CB131"/>
      <c r="CC131"/>
      <c r="CD131"/>
      <c r="CE131"/>
    </row>
    <row r="132" spans="1:83" x14ac:dyDescent="0.25">
      <c r="A132" s="2">
        <v>25</v>
      </c>
      <c r="B132" s="61">
        <v>14</v>
      </c>
      <c r="C132"/>
      <c r="D132"/>
      <c r="E132"/>
      <c r="F132"/>
      <c r="G132"/>
      <c r="H132"/>
      <c r="BT132"/>
      <c r="BU132"/>
      <c r="CA132"/>
      <c r="CB132"/>
      <c r="CC132"/>
      <c r="CD132"/>
      <c r="CE132"/>
    </row>
    <row r="133" spans="1:83" x14ac:dyDescent="0.25">
      <c r="A133" s="2" t="s">
        <v>45</v>
      </c>
      <c r="B133" s="61">
        <v>268</v>
      </c>
      <c r="C133"/>
      <c r="D133"/>
      <c r="E133"/>
      <c r="F133"/>
      <c r="G133"/>
      <c r="H133"/>
      <c r="BT133"/>
      <c r="BU133"/>
      <c r="CA133"/>
      <c r="CB133"/>
      <c r="CC133"/>
      <c r="CD133"/>
      <c r="CE133"/>
    </row>
    <row r="134" spans="1:83" x14ac:dyDescent="0.25">
      <c r="A134"/>
      <c r="B134"/>
      <c r="C134"/>
      <c r="D134"/>
      <c r="E134"/>
      <c r="F134"/>
      <c r="G134"/>
      <c r="H134"/>
      <c r="BT134"/>
      <c r="BU134"/>
      <c r="CA134"/>
      <c r="CB134"/>
      <c r="CC134"/>
      <c r="CD134"/>
      <c r="CE134"/>
    </row>
    <row r="135" spans="1:83" x14ac:dyDescent="0.25">
      <c r="B135" s="3" t="s">
        <v>54</v>
      </c>
      <c r="G135"/>
      <c r="H135"/>
      <c r="BT135"/>
      <c r="BU135"/>
      <c r="CA135"/>
      <c r="CB135"/>
      <c r="CC135"/>
      <c r="CD135"/>
      <c r="CE135"/>
    </row>
    <row r="136" spans="1:83" x14ac:dyDescent="0.25">
      <c r="B136" s="2" t="s">
        <v>49</v>
      </c>
      <c r="D136" s="2" t="s">
        <v>448</v>
      </c>
      <c r="E136" s="2" t="s">
        <v>41</v>
      </c>
      <c r="F136" s="2" t="s">
        <v>45</v>
      </c>
      <c r="G136"/>
      <c r="H136"/>
      <c r="BT136"/>
      <c r="BU136"/>
      <c r="CA136"/>
      <c r="CB136"/>
      <c r="CC136"/>
      <c r="CD136"/>
      <c r="CE136"/>
    </row>
    <row r="137" spans="1:83" x14ac:dyDescent="0.25">
      <c r="A137" s="3" t="s">
        <v>44</v>
      </c>
      <c r="B137" s="2" t="s">
        <v>12</v>
      </c>
      <c r="C137" s="2" t="s">
        <v>13</v>
      </c>
      <c r="G137"/>
      <c r="H137"/>
      <c r="BT137"/>
      <c r="BU137"/>
      <c r="CA137"/>
      <c r="CB137"/>
      <c r="CC137"/>
      <c r="CD137"/>
      <c r="CE137"/>
    </row>
    <row r="138" spans="1:83" x14ac:dyDescent="0.25">
      <c r="A138" s="2" t="s">
        <v>2111</v>
      </c>
      <c r="B138" s="61"/>
      <c r="C138" s="61"/>
      <c r="D138" s="61"/>
      <c r="E138" s="61"/>
      <c r="F138" s="61"/>
      <c r="G138"/>
      <c r="H138"/>
      <c r="BT138"/>
      <c r="BU138"/>
      <c r="CA138"/>
      <c r="CB138"/>
      <c r="CC138"/>
      <c r="CD138"/>
      <c r="CE138"/>
    </row>
    <row r="139" spans="1:83" x14ac:dyDescent="0.25">
      <c r="A139" s="2" t="s">
        <v>55</v>
      </c>
      <c r="B139" s="61">
        <v>41</v>
      </c>
      <c r="C139" s="61">
        <v>19</v>
      </c>
      <c r="D139" s="61">
        <v>60</v>
      </c>
      <c r="E139" s="61">
        <v>178</v>
      </c>
      <c r="F139" s="61">
        <v>238</v>
      </c>
      <c r="G139"/>
      <c r="H139"/>
      <c r="BT139"/>
      <c r="BU139"/>
      <c r="CA139"/>
      <c r="CB139"/>
      <c r="CC139"/>
      <c r="CD139"/>
      <c r="CE139"/>
    </row>
    <row r="140" spans="1:83" x14ac:dyDescent="0.25">
      <c r="A140" s="6" t="s">
        <v>52</v>
      </c>
      <c r="B140" s="7">
        <v>0.15363531731165853</v>
      </c>
      <c r="C140" s="7">
        <v>6.5062046669864954E-2</v>
      </c>
      <c r="D140" s="7">
        <v>0.21869736398152348</v>
      </c>
      <c r="E140" s="7">
        <v>0.78130263601847616</v>
      </c>
      <c r="F140" s="7">
        <v>1</v>
      </c>
      <c r="G140"/>
      <c r="H140"/>
      <c r="BT140"/>
      <c r="BU140"/>
      <c r="CA140"/>
      <c r="CB140"/>
      <c r="CC140"/>
      <c r="CD140"/>
      <c r="CE140"/>
    </row>
    <row r="141" spans="1:83" x14ac:dyDescent="0.25">
      <c r="A141" s="2" t="s">
        <v>57</v>
      </c>
      <c r="B141" s="61">
        <v>7947582.370000002</v>
      </c>
      <c r="C141" s="61">
        <v>3365671.2800000007</v>
      </c>
      <c r="D141" s="61">
        <v>11313253.650000002</v>
      </c>
      <c r="E141" s="61">
        <v>40416924.730000004</v>
      </c>
      <c r="F141" s="61">
        <v>51730178.380000025</v>
      </c>
      <c r="G141"/>
      <c r="H141"/>
      <c r="BT141"/>
      <c r="BU141"/>
      <c r="CA141"/>
      <c r="CB141"/>
      <c r="CC141"/>
      <c r="CD141"/>
      <c r="CE141"/>
    </row>
    <row r="142" spans="1:83" x14ac:dyDescent="0.25">
      <c r="A142" s="2" t="s">
        <v>59</v>
      </c>
      <c r="B142" s="61">
        <v>2156934.2800000003</v>
      </c>
      <c r="C142" s="61">
        <v>246427.07</v>
      </c>
      <c r="D142" s="61">
        <v>2403361.35</v>
      </c>
      <c r="E142" s="61">
        <v>77184.570000000007</v>
      </c>
      <c r="F142" s="61">
        <v>2480545.92</v>
      </c>
      <c r="G142"/>
      <c r="H142"/>
      <c r="BT142"/>
      <c r="BU142"/>
      <c r="CA142"/>
      <c r="CB142"/>
      <c r="CC142"/>
      <c r="CD142"/>
      <c r="CE142"/>
    </row>
    <row r="143" spans="1:83" x14ac:dyDescent="0.25">
      <c r="A143" s="2" t="s">
        <v>2110</v>
      </c>
      <c r="B143" s="61"/>
      <c r="C143" s="61"/>
      <c r="D143" s="61"/>
      <c r="E143" s="61"/>
      <c r="F143" s="61"/>
      <c r="G143"/>
      <c r="H143"/>
      <c r="BT143"/>
      <c r="BU143"/>
      <c r="CA143"/>
      <c r="CB143"/>
      <c r="CC143"/>
      <c r="CD143"/>
      <c r="CE143"/>
    </row>
    <row r="144" spans="1:83" x14ac:dyDescent="0.25">
      <c r="A144" s="2" t="s">
        <v>55</v>
      </c>
      <c r="B144" s="61">
        <v>4</v>
      </c>
      <c r="C144" s="61">
        <v>2</v>
      </c>
      <c r="D144" s="61">
        <v>6</v>
      </c>
      <c r="E144" s="61">
        <v>24</v>
      </c>
      <c r="F144" s="61">
        <v>30</v>
      </c>
      <c r="G144"/>
      <c r="H144"/>
      <c r="BT144"/>
      <c r="BU144"/>
      <c r="CA144"/>
      <c r="CB144"/>
      <c r="CC144"/>
      <c r="CD144"/>
      <c r="CE144"/>
    </row>
    <row r="145" spans="1:83" x14ac:dyDescent="0.25">
      <c r="A145" s="6" t="s">
        <v>52</v>
      </c>
      <c r="B145" s="7">
        <v>5.6063462516856365E-2</v>
      </c>
      <c r="C145" s="7">
        <v>2.4521259126786824E-2</v>
      </c>
      <c r="D145" s="7">
        <v>8.0584721643643192E-2</v>
      </c>
      <c r="E145" s="7">
        <v>0.91941527835635661</v>
      </c>
      <c r="F145" s="7">
        <v>1</v>
      </c>
      <c r="G145"/>
      <c r="H145"/>
      <c r="BT145"/>
      <c r="BU145"/>
      <c r="CA145"/>
      <c r="CB145"/>
      <c r="CC145"/>
      <c r="CD145"/>
      <c r="CE145"/>
    </row>
    <row r="146" spans="1:83" x14ac:dyDescent="0.25">
      <c r="A146" s="2" t="s">
        <v>57</v>
      </c>
      <c r="B146" s="61">
        <v>300919.76999999996</v>
      </c>
      <c r="C146" s="61">
        <v>131617.47999999998</v>
      </c>
      <c r="D146" s="61">
        <v>432537.25</v>
      </c>
      <c r="E146" s="61">
        <v>4934947.32</v>
      </c>
      <c r="F146" s="61">
        <v>5367484.5700000012</v>
      </c>
      <c r="G146"/>
      <c r="H146"/>
      <c r="BT146"/>
      <c r="BU146"/>
      <c r="CA146"/>
      <c r="CB146"/>
      <c r="CC146"/>
      <c r="CD146"/>
      <c r="CE146"/>
    </row>
    <row r="147" spans="1:83" x14ac:dyDescent="0.25">
      <c r="A147" s="2" t="s">
        <v>59</v>
      </c>
      <c r="B147" s="61">
        <v>150800.15</v>
      </c>
      <c r="C147" s="61">
        <v>16200</v>
      </c>
      <c r="D147" s="61">
        <v>167000.15</v>
      </c>
      <c r="E147" s="61">
        <v>7600</v>
      </c>
      <c r="F147" s="61">
        <v>174600.15</v>
      </c>
      <c r="G147"/>
      <c r="H147"/>
      <c r="BT147"/>
      <c r="BU147"/>
      <c r="CA147"/>
      <c r="CB147"/>
      <c r="CC147"/>
      <c r="CD147"/>
      <c r="CE147"/>
    </row>
    <row r="148" spans="1:83" x14ac:dyDescent="0.25">
      <c r="A148" s="2" t="s">
        <v>56</v>
      </c>
      <c r="B148" s="61">
        <v>45</v>
      </c>
      <c r="C148" s="61">
        <v>21</v>
      </c>
      <c r="D148" s="61">
        <v>66</v>
      </c>
      <c r="E148" s="61">
        <v>202</v>
      </c>
      <c r="F148" s="61">
        <v>268</v>
      </c>
      <c r="G148"/>
      <c r="H148"/>
      <c r="BT148"/>
      <c r="BU148"/>
      <c r="CA148"/>
      <c r="CB148"/>
      <c r="CC148"/>
      <c r="CD148"/>
      <c r="CE148"/>
    </row>
    <row r="149" spans="1:83" x14ac:dyDescent="0.25">
      <c r="A149" s="2" t="s">
        <v>53</v>
      </c>
      <c r="B149" s="7">
        <v>0.1444630430359847</v>
      </c>
      <c r="C149" s="7">
        <v>6.1250996613688879E-2</v>
      </c>
      <c r="D149" s="7">
        <v>0.20571403964967355</v>
      </c>
      <c r="E149" s="7">
        <v>0.79428596035032595</v>
      </c>
      <c r="F149" s="7">
        <v>1</v>
      </c>
      <c r="G149"/>
      <c r="H149"/>
      <c r="BT149"/>
      <c r="BU149"/>
      <c r="CA149"/>
      <c r="CB149"/>
      <c r="CC149"/>
      <c r="CD149"/>
      <c r="CE149"/>
    </row>
    <row r="150" spans="1:83" x14ac:dyDescent="0.25">
      <c r="A150" s="2" t="s">
        <v>58</v>
      </c>
      <c r="B150" s="61">
        <v>8248502.1400000025</v>
      </c>
      <c r="C150" s="61">
        <v>3497288.7600000007</v>
      </c>
      <c r="D150" s="61">
        <v>11745790.900000002</v>
      </c>
      <c r="E150" s="61">
        <v>45351872.049999997</v>
      </c>
      <c r="F150" s="61">
        <v>57097662.950000025</v>
      </c>
      <c r="G150"/>
      <c r="H150"/>
      <c r="BT150"/>
      <c r="BU150"/>
      <c r="CA150"/>
      <c r="CB150"/>
      <c r="CC150"/>
      <c r="CD150"/>
      <c r="CE150"/>
    </row>
    <row r="151" spans="1:83" x14ac:dyDescent="0.25">
      <c r="A151" s="2" t="s">
        <v>60</v>
      </c>
      <c r="B151" s="61">
        <v>2307734.4300000002</v>
      </c>
      <c r="C151" s="61">
        <v>262627.07</v>
      </c>
      <c r="D151" s="61">
        <v>2570361.5</v>
      </c>
      <c r="E151" s="61">
        <v>84784.57</v>
      </c>
      <c r="F151" s="61">
        <v>2655146.0699999998</v>
      </c>
      <c r="G151"/>
      <c r="H151"/>
      <c r="BT151"/>
      <c r="BU151"/>
      <c r="CA151"/>
      <c r="CB151"/>
      <c r="CC151"/>
      <c r="CD151"/>
      <c r="CE151"/>
    </row>
    <row r="152" spans="1:83" x14ac:dyDescent="0.25">
      <c r="A152"/>
      <c r="B152"/>
      <c r="C152"/>
      <c r="D152"/>
      <c r="E152"/>
      <c r="F152"/>
      <c r="G152"/>
      <c r="H152"/>
      <c r="BT152"/>
      <c r="BU152"/>
      <c r="CA152"/>
      <c r="CB152"/>
      <c r="CC152"/>
      <c r="CD152"/>
      <c r="CE152"/>
    </row>
    <row r="153" spans="1:83" x14ac:dyDescent="0.25">
      <c r="A153"/>
      <c r="B153"/>
      <c r="C153"/>
      <c r="D153"/>
      <c r="E153"/>
      <c r="F153"/>
      <c r="G153"/>
      <c r="H153"/>
      <c r="BT153"/>
      <c r="BU153"/>
      <c r="CA153"/>
      <c r="CB153"/>
      <c r="CC153"/>
      <c r="CD153"/>
      <c r="CE153"/>
    </row>
    <row r="154" spans="1:83" x14ac:dyDescent="0.25">
      <c r="A154"/>
      <c r="B154"/>
      <c r="C154"/>
      <c r="D154"/>
      <c r="E154"/>
      <c r="F154"/>
      <c r="G154"/>
      <c r="H154"/>
      <c r="BT154"/>
      <c r="BU154"/>
      <c r="CA154"/>
      <c r="CB154"/>
      <c r="CC154"/>
      <c r="CD154"/>
      <c r="CE154"/>
    </row>
    <row r="155" spans="1:83" x14ac:dyDescent="0.25">
      <c r="A155"/>
      <c r="B155"/>
      <c r="C155"/>
      <c r="D155"/>
      <c r="E155"/>
      <c r="F155"/>
      <c r="G155"/>
      <c r="H155"/>
      <c r="BT155"/>
      <c r="BU155"/>
    </row>
    <row r="156" spans="1:83" x14ac:dyDescent="0.25">
      <c r="A156"/>
      <c r="B156"/>
      <c r="C156"/>
      <c r="D156"/>
      <c r="E156"/>
      <c r="F156"/>
      <c r="G156"/>
      <c r="H156"/>
      <c r="BT156"/>
      <c r="BU156"/>
    </row>
    <row r="157" spans="1:83" x14ac:dyDescent="0.25">
      <c r="A157"/>
      <c r="B157"/>
      <c r="C157"/>
      <c r="D157"/>
      <c r="E157"/>
      <c r="F157"/>
      <c r="G157"/>
      <c r="H157"/>
      <c r="BT157"/>
      <c r="BU157"/>
    </row>
    <row r="158" spans="1:83" x14ac:dyDescent="0.25">
      <c r="A158"/>
      <c r="B158"/>
      <c r="C158"/>
      <c r="D158"/>
      <c r="E158"/>
      <c r="F158"/>
      <c r="G158"/>
      <c r="H158"/>
      <c r="BT158"/>
      <c r="BU158"/>
    </row>
    <row r="159" spans="1:83" x14ac:dyDescent="0.25">
      <c r="A159"/>
      <c r="B159"/>
      <c r="C159"/>
      <c r="D159"/>
      <c r="E159"/>
      <c r="F159"/>
      <c r="G159"/>
      <c r="H159"/>
      <c r="BT159"/>
      <c r="BU159"/>
    </row>
    <row r="160" spans="1:83" x14ac:dyDescent="0.25">
      <c r="A160"/>
      <c r="B160"/>
      <c r="C160"/>
      <c r="D160"/>
      <c r="E160"/>
      <c r="F160"/>
      <c r="G160"/>
      <c r="H160"/>
      <c r="BT160"/>
      <c r="BU160"/>
    </row>
    <row r="161" spans="1:73" x14ac:dyDescent="0.25">
      <c r="A161"/>
      <c r="B161"/>
      <c r="C161"/>
      <c r="D161"/>
      <c r="E161"/>
      <c r="F161"/>
      <c r="G161"/>
      <c r="H161"/>
      <c r="BT161"/>
      <c r="BU161"/>
    </row>
    <row r="162" spans="1:73" x14ac:dyDescent="0.25">
      <c r="A162"/>
      <c r="B162"/>
      <c r="C162"/>
      <c r="D162"/>
      <c r="E162"/>
      <c r="F162"/>
      <c r="G162"/>
      <c r="H162"/>
      <c r="BT162"/>
      <c r="BU162"/>
    </row>
    <row r="163" spans="1:73" x14ac:dyDescent="0.25">
      <c r="A163"/>
      <c r="B163"/>
      <c r="C163"/>
      <c r="D163"/>
      <c r="E163"/>
      <c r="F163"/>
      <c r="G163"/>
      <c r="H163"/>
      <c r="BT163"/>
      <c r="BU163"/>
    </row>
    <row r="164" spans="1:73" x14ac:dyDescent="0.25">
      <c r="A164"/>
      <c r="B164"/>
      <c r="C164"/>
      <c r="D164"/>
      <c r="E164"/>
      <c r="F164"/>
      <c r="G164"/>
      <c r="H164"/>
      <c r="BT164"/>
      <c r="BU164"/>
    </row>
    <row r="165" spans="1:73" x14ac:dyDescent="0.25">
      <c r="A165"/>
      <c r="B165"/>
      <c r="C165"/>
      <c r="D165"/>
      <c r="E165"/>
      <c r="F165"/>
      <c r="G165"/>
      <c r="H165"/>
      <c r="BT165"/>
      <c r="BU165"/>
    </row>
    <row r="166" spans="1:73" x14ac:dyDescent="0.25">
      <c r="A166"/>
      <c r="B166"/>
      <c r="C166"/>
      <c r="D166"/>
      <c r="E166"/>
      <c r="F166"/>
      <c r="G166"/>
      <c r="H166"/>
      <c r="BT166"/>
      <c r="BU166"/>
    </row>
    <row r="167" spans="1:73" x14ac:dyDescent="0.25">
      <c r="A167"/>
      <c r="B167"/>
      <c r="C167"/>
      <c r="D167"/>
      <c r="E167"/>
      <c r="F167"/>
      <c r="G167"/>
      <c r="H167"/>
      <c r="BT167"/>
      <c r="BU167"/>
    </row>
    <row r="168" spans="1:73" x14ac:dyDescent="0.25">
      <c r="A168"/>
      <c r="B168"/>
      <c r="C168"/>
      <c r="D168"/>
      <c r="E168"/>
      <c r="F168"/>
      <c r="G168"/>
      <c r="H168"/>
      <c r="BT168"/>
      <c r="BU168"/>
    </row>
    <row r="169" spans="1:73" x14ac:dyDescent="0.25">
      <c r="A169"/>
      <c r="B169"/>
      <c r="C169"/>
      <c r="D169"/>
      <c r="E169"/>
      <c r="F169"/>
      <c r="G169"/>
      <c r="H169"/>
      <c r="BT169"/>
      <c r="BU169"/>
    </row>
    <row r="170" spans="1:73" x14ac:dyDescent="0.25">
      <c r="A170"/>
      <c r="B170"/>
      <c r="C170"/>
      <c r="D170"/>
      <c r="E170"/>
      <c r="F170"/>
      <c r="G170"/>
      <c r="H170"/>
      <c r="BT170"/>
      <c r="BU170"/>
    </row>
    <row r="171" spans="1:73" x14ac:dyDescent="0.25">
      <c r="A171"/>
      <c r="B171"/>
      <c r="C171"/>
      <c r="D171"/>
      <c r="E171"/>
      <c r="F171"/>
      <c r="G171"/>
      <c r="H171"/>
      <c r="BT171"/>
      <c r="BU171"/>
    </row>
    <row r="172" spans="1:73" x14ac:dyDescent="0.25">
      <c r="A172"/>
      <c r="B172"/>
      <c r="C172"/>
      <c r="D172"/>
      <c r="E172"/>
      <c r="F172"/>
      <c r="G172"/>
      <c r="H172"/>
      <c r="BT172"/>
      <c r="BU172"/>
    </row>
    <row r="173" spans="1:73" x14ac:dyDescent="0.25">
      <c r="A173"/>
      <c r="B173"/>
      <c r="C173"/>
      <c r="D173"/>
      <c r="E173"/>
      <c r="F173"/>
      <c r="G173"/>
      <c r="H173"/>
      <c r="BT173"/>
      <c r="BU173"/>
    </row>
    <row r="174" spans="1:73" x14ac:dyDescent="0.25">
      <c r="A174"/>
      <c r="B174"/>
      <c r="C174"/>
      <c r="D174"/>
      <c r="E174"/>
      <c r="F174"/>
      <c r="G174"/>
      <c r="H174"/>
      <c r="BT174"/>
      <c r="BU174"/>
    </row>
    <row r="175" spans="1:73" x14ac:dyDescent="0.25">
      <c r="A175"/>
      <c r="B175"/>
      <c r="C175"/>
      <c r="D175"/>
      <c r="E175"/>
      <c r="F175"/>
      <c r="G175"/>
      <c r="H175"/>
      <c r="BT175"/>
      <c r="BU175"/>
    </row>
    <row r="176" spans="1:73" x14ac:dyDescent="0.25">
      <c r="A176"/>
      <c r="B176"/>
      <c r="C176"/>
      <c r="D176"/>
      <c r="E176"/>
      <c r="F176"/>
      <c r="G176"/>
      <c r="H176"/>
      <c r="BT176"/>
      <c r="BU176"/>
    </row>
    <row r="177" spans="1:73" x14ac:dyDescent="0.25">
      <c r="A177"/>
      <c r="B177"/>
      <c r="C177"/>
      <c r="D177"/>
      <c r="E177"/>
      <c r="F177"/>
      <c r="G177"/>
      <c r="H177"/>
      <c r="BT177"/>
      <c r="BU177"/>
    </row>
    <row r="178" spans="1:73" x14ac:dyDescent="0.25">
      <c r="A178"/>
      <c r="B178"/>
      <c r="C178"/>
      <c r="D178"/>
      <c r="E178"/>
      <c r="F178"/>
      <c r="G178"/>
      <c r="H178"/>
      <c r="BT178"/>
      <c r="BU178"/>
    </row>
    <row r="179" spans="1:73" x14ac:dyDescent="0.25">
      <c r="A179"/>
      <c r="B179"/>
      <c r="C179"/>
      <c r="D179"/>
      <c r="E179"/>
      <c r="F179"/>
      <c r="G179"/>
      <c r="H179"/>
      <c r="BT179"/>
      <c r="BU179"/>
    </row>
    <row r="180" spans="1:73" x14ac:dyDescent="0.25">
      <c r="A180"/>
      <c r="B180"/>
      <c r="C180"/>
      <c r="D180"/>
      <c r="E180"/>
      <c r="F180"/>
      <c r="G180"/>
      <c r="H180"/>
      <c r="BT180"/>
      <c r="BU180"/>
    </row>
    <row r="181" spans="1:73" x14ac:dyDescent="0.25">
      <c r="A181"/>
      <c r="B181"/>
      <c r="C181"/>
      <c r="D181"/>
      <c r="E181"/>
      <c r="F181"/>
      <c r="G181"/>
      <c r="H181"/>
      <c r="BT181"/>
      <c r="BU181"/>
    </row>
    <row r="182" spans="1:73" x14ac:dyDescent="0.25">
      <c r="A182"/>
      <c r="B182"/>
      <c r="C182"/>
      <c r="D182"/>
      <c r="E182"/>
      <c r="F182"/>
      <c r="G182"/>
      <c r="H182"/>
      <c r="BT182"/>
      <c r="BU182"/>
    </row>
    <row r="183" spans="1:73" x14ac:dyDescent="0.25">
      <c r="A183"/>
      <c r="B183"/>
      <c r="C183"/>
      <c r="D183"/>
      <c r="E183"/>
      <c r="F183"/>
      <c r="G183"/>
      <c r="H183"/>
      <c r="BT183"/>
      <c r="BU183"/>
    </row>
    <row r="184" spans="1:73" x14ac:dyDescent="0.25">
      <c r="A184"/>
      <c r="B184"/>
      <c r="C184"/>
      <c r="D184"/>
      <c r="E184"/>
      <c r="F184"/>
      <c r="G184"/>
      <c r="H184"/>
      <c r="BT184"/>
      <c r="BU184"/>
    </row>
    <row r="185" spans="1:73" x14ac:dyDescent="0.25">
      <c r="A185"/>
      <c r="B185"/>
      <c r="C185"/>
      <c r="D185"/>
      <c r="E185"/>
      <c r="F185"/>
      <c r="G185"/>
      <c r="H185"/>
      <c r="BT185"/>
      <c r="BU185"/>
    </row>
    <row r="186" spans="1:73" x14ac:dyDescent="0.25">
      <c r="A186"/>
      <c r="B186"/>
      <c r="C186"/>
      <c r="D186"/>
      <c r="E186"/>
      <c r="F186"/>
      <c r="G186"/>
      <c r="H186"/>
      <c r="BT186"/>
      <c r="BU186"/>
    </row>
    <row r="187" spans="1:73" x14ac:dyDescent="0.25">
      <c r="A187"/>
      <c r="B187"/>
      <c r="C187"/>
      <c r="D187"/>
      <c r="E187"/>
      <c r="F187"/>
      <c r="G187"/>
      <c r="H187"/>
      <c r="BT187"/>
      <c r="BU187"/>
    </row>
    <row r="188" spans="1:73" x14ac:dyDescent="0.25">
      <c r="A188"/>
      <c r="B188"/>
      <c r="C188"/>
      <c r="D188"/>
      <c r="E188"/>
      <c r="F188"/>
      <c r="G188"/>
      <c r="H188"/>
      <c r="BT188"/>
      <c r="BU188"/>
    </row>
    <row r="189" spans="1:73" x14ac:dyDescent="0.25">
      <c r="A189"/>
      <c r="B189"/>
      <c r="C189"/>
      <c r="D189"/>
      <c r="E189"/>
      <c r="F189"/>
      <c r="G189"/>
      <c r="H189"/>
      <c r="BT189"/>
      <c r="BU189"/>
    </row>
    <row r="190" spans="1:73" x14ac:dyDescent="0.25">
      <c r="A190"/>
      <c r="B190"/>
      <c r="C190"/>
      <c r="D190"/>
      <c r="E190"/>
      <c r="F190"/>
      <c r="G190"/>
      <c r="H190"/>
      <c r="BT190"/>
      <c r="BU190"/>
    </row>
    <row r="191" spans="1:73" x14ac:dyDescent="0.25">
      <c r="A191"/>
      <c r="B191"/>
      <c r="C191"/>
      <c r="D191"/>
      <c r="E191"/>
      <c r="F191"/>
      <c r="G191"/>
      <c r="H191"/>
      <c r="BT191"/>
      <c r="BU191"/>
    </row>
    <row r="192" spans="1:73" x14ac:dyDescent="0.25">
      <c r="A192"/>
      <c r="B192"/>
      <c r="C192"/>
      <c r="D192"/>
      <c r="E192"/>
      <c r="F192"/>
      <c r="G192"/>
      <c r="H192"/>
      <c r="BT192"/>
      <c r="BU192"/>
    </row>
    <row r="193" spans="1:73" x14ac:dyDescent="0.25">
      <c r="A193"/>
      <c r="B193"/>
      <c r="C193"/>
      <c r="D193"/>
      <c r="E193"/>
      <c r="F193"/>
      <c r="G193"/>
      <c r="H193"/>
      <c r="BT193"/>
      <c r="BU193"/>
    </row>
    <row r="194" spans="1:73" x14ac:dyDescent="0.25">
      <c r="A194"/>
      <c r="B194"/>
      <c r="C194"/>
      <c r="D194"/>
      <c r="E194"/>
      <c r="F194"/>
      <c r="G194"/>
      <c r="H194"/>
      <c r="BT194"/>
      <c r="BU194"/>
    </row>
    <row r="195" spans="1:73" x14ac:dyDescent="0.25">
      <c r="A195"/>
      <c r="B195"/>
      <c r="C195"/>
      <c r="D195"/>
      <c r="E195"/>
      <c r="F195"/>
      <c r="G195"/>
      <c r="H195"/>
      <c r="BT195"/>
      <c r="BU195"/>
    </row>
    <row r="196" spans="1:73" x14ac:dyDescent="0.25">
      <c r="A196"/>
      <c r="B196"/>
      <c r="C196"/>
      <c r="D196"/>
      <c r="E196"/>
      <c r="F196"/>
      <c r="G196"/>
      <c r="H196"/>
      <c r="BT196"/>
      <c r="BU196"/>
    </row>
    <row r="197" spans="1:73" x14ac:dyDescent="0.25">
      <c r="BT197"/>
      <c r="BU197"/>
    </row>
    <row r="198" spans="1:73" x14ac:dyDescent="0.25">
      <c r="BT198"/>
      <c r="BU198"/>
    </row>
    <row r="199" spans="1:73" x14ac:dyDescent="0.25">
      <c r="BT199"/>
      <c r="BU199"/>
    </row>
    <row r="200" spans="1:73" x14ac:dyDescent="0.25">
      <c r="BT200"/>
      <c r="BU200"/>
    </row>
    <row r="201" spans="1:73" x14ac:dyDescent="0.25">
      <c r="BT201"/>
      <c r="BU201"/>
    </row>
    <row r="202" spans="1:73" x14ac:dyDescent="0.25">
      <c r="BT202"/>
      <c r="BU202"/>
    </row>
    <row r="203" spans="1:73" x14ac:dyDescent="0.25">
      <c r="BT203"/>
      <c r="BU203"/>
    </row>
    <row r="204" spans="1:73" x14ac:dyDescent="0.25">
      <c r="BT204"/>
      <c r="BU204"/>
    </row>
    <row r="205" spans="1:73" x14ac:dyDescent="0.25">
      <c r="BT205"/>
      <c r="BU205"/>
    </row>
    <row r="206" spans="1:73" x14ac:dyDescent="0.25">
      <c r="BT206"/>
      <c r="BU206"/>
    </row>
    <row r="207" spans="1:73" x14ac:dyDescent="0.25">
      <c r="BT207"/>
      <c r="BU207"/>
    </row>
    <row r="208" spans="1:73" x14ac:dyDescent="0.25">
      <c r="BT208"/>
      <c r="BU208"/>
    </row>
    <row r="209" spans="72:73" x14ac:dyDescent="0.25">
      <c r="BT209"/>
      <c r="BU209"/>
    </row>
    <row r="210" spans="72:73" x14ac:dyDescent="0.25">
      <c r="BT210"/>
      <c r="BU210"/>
    </row>
    <row r="211" spans="72:73" x14ac:dyDescent="0.25">
      <c r="BT211"/>
      <c r="BU211"/>
    </row>
    <row r="212" spans="72:73" x14ac:dyDescent="0.25">
      <c r="BT212"/>
      <c r="BU212"/>
    </row>
    <row r="213" spans="72:73" x14ac:dyDescent="0.25">
      <c r="BT213"/>
      <c r="BU213"/>
    </row>
    <row r="214" spans="72:73" x14ac:dyDescent="0.25">
      <c r="BT214"/>
      <c r="BU214"/>
    </row>
    <row r="215" spans="72:73" x14ac:dyDescent="0.25">
      <c r="BT215"/>
      <c r="BU215"/>
    </row>
    <row r="216" spans="72:73" x14ac:dyDescent="0.25">
      <c r="BT216"/>
      <c r="BU216"/>
    </row>
    <row r="217" spans="72:73" x14ac:dyDescent="0.25">
      <c r="BT217"/>
      <c r="BU217"/>
    </row>
    <row r="218" spans="72:73" x14ac:dyDescent="0.25">
      <c r="BT218"/>
      <c r="BU218"/>
    </row>
    <row r="219" spans="72:73" x14ac:dyDescent="0.25">
      <c r="BT219"/>
      <c r="BU219"/>
    </row>
    <row r="220" spans="72:73" x14ac:dyDescent="0.25">
      <c r="BT220"/>
      <c r="BU220"/>
    </row>
    <row r="221" spans="72:73" x14ac:dyDescent="0.25">
      <c r="BT221"/>
      <c r="BU221"/>
    </row>
    <row r="222" spans="72:73" x14ac:dyDescent="0.25">
      <c r="BT222"/>
      <c r="BU222"/>
    </row>
    <row r="223" spans="72:73" x14ac:dyDescent="0.25">
      <c r="BT223"/>
      <c r="BU223"/>
    </row>
    <row r="224" spans="72:73" x14ac:dyDescent="0.25">
      <c r="BT224"/>
      <c r="BU224"/>
    </row>
    <row r="225" spans="72:73" x14ac:dyDescent="0.25">
      <c r="BT225"/>
      <c r="BU225"/>
    </row>
    <row r="226" spans="72:73" x14ac:dyDescent="0.25">
      <c r="BT226"/>
      <c r="BU226"/>
    </row>
    <row r="227" spans="72:73" x14ac:dyDescent="0.25">
      <c r="BT227"/>
      <c r="BU227"/>
    </row>
    <row r="228" spans="72:73" x14ac:dyDescent="0.25">
      <c r="BT228"/>
      <c r="BU228"/>
    </row>
    <row r="229" spans="72:73" x14ac:dyDescent="0.25">
      <c r="BT229"/>
      <c r="BU229"/>
    </row>
    <row r="230" spans="72:73" x14ac:dyDescent="0.25">
      <c r="BT230"/>
      <c r="BU230"/>
    </row>
    <row r="231" spans="72:73" x14ac:dyDescent="0.25">
      <c r="BT231"/>
      <c r="BU231"/>
    </row>
    <row r="232" spans="72:73" x14ac:dyDescent="0.25">
      <c r="BT232"/>
      <c r="BU232"/>
    </row>
    <row r="233" spans="72:73" x14ac:dyDescent="0.25">
      <c r="BT233"/>
      <c r="BU233"/>
    </row>
    <row r="234" spans="72:73" x14ac:dyDescent="0.25">
      <c r="BT234"/>
      <c r="BU234"/>
    </row>
    <row r="235" spans="72:73" x14ac:dyDescent="0.25">
      <c r="BT235"/>
      <c r="BU235"/>
    </row>
    <row r="236" spans="72:73" x14ac:dyDescent="0.25">
      <c r="BT236"/>
      <c r="BU236"/>
    </row>
    <row r="237" spans="72:73" x14ac:dyDescent="0.25">
      <c r="BT237"/>
      <c r="BU237"/>
    </row>
    <row r="238" spans="72:73" x14ac:dyDescent="0.25">
      <c r="BT238"/>
      <c r="BU238"/>
    </row>
    <row r="239" spans="72:73" x14ac:dyDescent="0.25">
      <c r="BT239"/>
      <c r="BU239"/>
    </row>
    <row r="240" spans="72:73" x14ac:dyDescent="0.25">
      <c r="BT240"/>
      <c r="BU240"/>
    </row>
  </sheetData>
  <conditionalFormatting pivot="1" sqref="M4:M46">
    <cfRule type="colorScale" priority="44">
      <colorScale>
        <cfvo type="min"/>
        <cfvo type="percentile" val="50"/>
        <cfvo type="max"/>
        <color rgb="FFF8696B"/>
        <color rgb="FFFFEB84"/>
        <color rgb="FF63BE7B"/>
      </colorScale>
    </cfRule>
  </conditionalFormatting>
  <conditionalFormatting pivot="1" sqref="D145 D140 D149">
    <cfRule type="colorScale" priority="42">
      <colorScale>
        <cfvo type="min"/>
        <cfvo type="percentile" val="50"/>
        <cfvo type="max"/>
        <color rgb="FFF8696B"/>
        <color rgb="FFFFEB84"/>
        <color rgb="FF63BE7B"/>
      </colorScale>
    </cfRule>
  </conditionalFormatting>
  <conditionalFormatting pivot="1" sqref="BI13 BI8 BI18 BI23 BI28 BI33 BI38 BI42">
    <cfRule type="colorScale" priority="40">
      <colorScale>
        <cfvo type="min"/>
        <cfvo type="percentile" val="50"/>
        <cfvo type="max"/>
        <color rgb="FFF8696B"/>
        <color rgb="FFFFEB84"/>
        <color rgb="FF63BE7B"/>
      </colorScale>
    </cfRule>
  </conditionalFormatting>
  <conditionalFormatting pivot="1" sqref="BP13 BP8 BP18 BP23 BP27">
    <cfRule type="colorScale" priority="39">
      <colorScale>
        <cfvo type="min"/>
        <cfvo type="percentile" val="50"/>
        <cfvo type="max"/>
        <color rgb="FFF8696B"/>
        <color rgb="FFFFEB84"/>
        <color rgb="FF63BE7B"/>
      </colorScale>
    </cfRule>
  </conditionalFormatting>
  <conditionalFormatting sqref="W1:W3 W53:W1048576">
    <cfRule type="colorScale" priority="19">
      <colorScale>
        <cfvo type="min"/>
        <cfvo type="percentile" val="50"/>
        <cfvo type="max"/>
        <color rgb="FFF8696B"/>
        <color rgb="FFFFEB84"/>
        <color rgb="FF63BE7B"/>
      </colorScale>
    </cfRule>
  </conditionalFormatting>
  <conditionalFormatting pivot="1" sqref="X4:X5 X7 X12 X14 X20:X22 X25:X27 X29:X30 X33 X35 X38 X40:X42">
    <cfRule type="colorScale" priority="18">
      <colorScale>
        <cfvo type="min"/>
        <cfvo type="percentile" val="50"/>
        <cfvo type="max"/>
        <color rgb="FF63BE7B"/>
        <color rgb="FFFFEB84"/>
        <color rgb="FFF8696B"/>
      </colorScale>
    </cfRule>
  </conditionalFormatting>
  <conditionalFormatting pivot="1" sqref="X4:X5 X7 X10 X12 X14 X20:X22 X25:X27 X29:X30 X33 X35 X38 X40:X42">
    <cfRule type="colorScale" priority="16">
      <colorScale>
        <cfvo type="min"/>
        <cfvo type="percentile" val="50"/>
        <cfvo type="max"/>
        <color rgb="FFF8696B"/>
        <color rgb="FFFFEB84"/>
        <color rgb="FF63BE7B"/>
      </colorScale>
    </cfRule>
  </conditionalFormatting>
  <conditionalFormatting sqref="BA48:BA1048576 BA22 BA30:BA46 BA25:BA28 BA1:BA19">
    <cfRule type="colorScale" priority="1236">
      <colorScale>
        <cfvo type="min"/>
        <cfvo type="percentile" val="50"/>
        <cfvo type="max"/>
        <color rgb="FFF8696B"/>
        <color rgb="FFFFEB84"/>
        <color rgb="FF63BE7B"/>
      </colorScale>
    </cfRule>
  </conditionalFormatting>
  <conditionalFormatting sqref="BA48:BA1048576 BA24:BA46 BA21:BA22 BA1:BA19">
    <cfRule type="colorScale" priority="1257">
      <colorScale>
        <cfvo type="min"/>
        <cfvo type="percentile" val="50"/>
        <cfvo type="max"/>
        <color rgb="FFF8696B"/>
        <color rgb="FFFFEB84"/>
        <color rgb="FF63BE7B"/>
      </colorScale>
    </cfRule>
  </conditionalFormatting>
  <conditionalFormatting sqref="BA24:BA1048576 BA21:BA22 BA1:BA19">
    <cfRule type="colorScale" priority="1261">
      <colorScale>
        <cfvo type="min"/>
        <cfvo type="percentile" val="50"/>
        <cfvo type="max"/>
        <color rgb="FFF8696B"/>
        <color rgb="FFFFEB84"/>
        <color rgb="FF63BE7B"/>
      </colorScale>
    </cfRule>
  </conditionalFormatting>
  <conditionalFormatting pivot="1" sqref="X7 X4 X10 X12 X14 X20:X22 X25:X27 X29:X30 X33 X35 X38 X40 X42">
    <cfRule type="colorScale" priority="14">
      <colorScale>
        <cfvo type="min"/>
        <cfvo type="percentile" val="50"/>
        <cfvo type="max"/>
        <color rgb="FF63BE7B"/>
        <color rgb="FFFFEB84"/>
        <color rgb="FFF8696B"/>
      </colorScale>
    </cfRule>
  </conditionalFormatting>
  <conditionalFormatting pivot="1" sqref="X12 X4 X20:X21 X25:X27 X29:X30 X33 X38 X40 X42 X44">
    <cfRule type="colorScale" priority="13">
      <colorScale>
        <cfvo type="min"/>
        <cfvo type="percentile" val="50"/>
        <cfvo type="max"/>
        <color rgb="FF63BE7B"/>
        <color rgb="FFFFEB84"/>
        <color rgb="FFF8696B"/>
      </colorScale>
    </cfRule>
  </conditionalFormatting>
  <conditionalFormatting pivot="1" sqref="X7 X4 X9:X10 X12 X17 X20:X22 X25:X27 X29:X30 X33 X38 X40 X42 X44">
    <cfRule type="colorScale" priority="12">
      <colorScale>
        <cfvo type="min"/>
        <cfvo type="percentile" val="50"/>
        <cfvo type="max"/>
        <color rgb="FF63BE7B"/>
        <color rgb="FFFFEB84"/>
        <color rgb="FFF8696B"/>
      </colorScale>
    </cfRule>
  </conditionalFormatting>
  <conditionalFormatting pivot="1" sqref="X7 X4 X9:X10 X12 X17 X20:X22 X25:X30 X33 X38 X40 X42 X44">
    <cfRule type="colorScale" priority="11">
      <colorScale>
        <cfvo type="min"/>
        <cfvo type="percentile" val="50"/>
        <cfvo type="max"/>
        <color rgb="FF63BE7B"/>
        <color rgb="FFFFEB84"/>
        <color rgb="FFF8696B"/>
      </colorScale>
    </cfRule>
  </conditionalFormatting>
  <conditionalFormatting pivot="1" sqref="X9:X10 X4 X12 X14 X17 X20:X22 X25:X30 X32:X33 X38 X40 X42:X44">
    <cfRule type="colorScale" priority="10">
      <colorScale>
        <cfvo type="min"/>
        <cfvo type="percentile" val="50"/>
        <cfvo type="max"/>
        <color rgb="FF63BE7B"/>
        <color rgb="FFFFEB84"/>
        <color rgb="FFF8696B"/>
      </colorScale>
    </cfRule>
  </conditionalFormatting>
  <conditionalFormatting pivot="1" sqref="X9:X10 X4 X12 X14 X17 X19:X22 X25:X30 X32:X33 X38 X40 X42:X44">
    <cfRule type="colorScale" priority="9">
      <colorScale>
        <cfvo type="min"/>
        <cfvo type="percentile" val="50"/>
        <cfvo type="max"/>
        <color rgb="FF63BE7B"/>
        <color rgb="FFFFEB84"/>
        <color rgb="FFF8696B"/>
      </colorScale>
    </cfRule>
  </conditionalFormatting>
  <conditionalFormatting pivot="1" sqref="X9 X4 X12 X14 X17 X19:X22 X25:X30 X32:X33 X38 X40 X42:X44">
    <cfRule type="colorScale" priority="8">
      <colorScale>
        <cfvo type="min"/>
        <cfvo type="percentile" val="50"/>
        <cfvo type="max"/>
        <color rgb="FF63BE7B"/>
        <color rgb="FFFFEB84"/>
        <color rgb="FFF8696B"/>
      </colorScale>
    </cfRule>
  </conditionalFormatting>
  <conditionalFormatting pivot="1" sqref="D11 D6 D16 D21 D26 D31 D36 D41 D46 D51 D56 D61 D66 D71 D76 D81 D86 D90">
    <cfRule type="colorScale" priority="7">
      <colorScale>
        <cfvo type="min"/>
        <cfvo type="percentile" val="50"/>
        <cfvo type="max"/>
        <color rgb="FFF8696B"/>
        <color rgb="FFFFEB84"/>
        <color rgb="FF63BE7B"/>
      </colorScale>
    </cfRule>
  </conditionalFormatting>
  <conditionalFormatting pivot="1" sqref="X9:X10 X7 X14 X17 X19:X22 X25:X30 X32:X33 X35 X38 X40 X42 X44">
    <cfRule type="colorScale" priority="5">
      <colorScale>
        <cfvo type="min"/>
        <cfvo type="percentile" val="50"/>
        <cfvo type="max"/>
        <color rgb="FFF8696B"/>
        <color rgb="FFFFEB84"/>
        <color rgb="FF63BE7B"/>
      </colorScale>
    </cfRule>
  </conditionalFormatting>
  <conditionalFormatting pivot="1" sqref="X6:X7 X4 X9:X10 X14 X17 X19:X22 X25:X30 X32:X35 X38:X44">
    <cfRule type="colorScale" priority="3">
      <colorScale>
        <cfvo type="min"/>
        <cfvo type="percentile" val="50"/>
        <cfvo type="max"/>
        <color rgb="FF63BE7B"/>
        <color rgb="FFFFEB84"/>
        <color rgb="FFF8696B"/>
      </colorScale>
    </cfRule>
  </conditionalFormatting>
  <conditionalFormatting pivot="1" sqref="X7:X8 X5 X10 X12:X13 X20:X21 X27 X30:X36 X39:X40 X42:X44">
    <cfRule type="colorScale" priority="1">
      <colorScale>
        <cfvo type="min"/>
        <cfvo type="percentile" val="50"/>
        <cfvo type="max"/>
        <color rgb="FF63BE7B"/>
        <color rgb="FFFFEB84"/>
        <color rgb="FFF8696B"/>
      </colorScale>
    </cfRule>
  </conditionalFormatting>
  <conditionalFormatting sqref="BA48:BA1048576 BA22 BA43:BA46 BA38 BA33:BA36 BA25:BA26 BA15:BA18 BA1:BA13">
    <cfRule type="colorScale" priority="1328">
      <colorScale>
        <cfvo type="min"/>
        <cfvo type="percentile" val="50"/>
        <cfvo type="max"/>
        <color rgb="FFF8696B"/>
        <color rgb="FFFFEB84"/>
        <color rgb="FF63BE7B"/>
      </colorScale>
    </cfRule>
  </conditionalFormatting>
  <conditionalFormatting sqref="BA48:BA1048576 BA22 BA43:BA46 BA38:BA39 BA33:BA36 BA25:BA26 BA15:BA18 BA1:BA13">
    <cfRule type="colorScale" priority="1337">
      <colorScale>
        <cfvo type="min"/>
        <cfvo type="percentile" val="50"/>
        <cfvo type="max"/>
        <color rgb="FFF8696B"/>
        <color rgb="FFFFEB84"/>
        <color rgb="FF63BE7B"/>
      </colorScale>
    </cfRule>
  </conditionalFormatting>
  <conditionalFormatting sqref="BA48:BA1048576 BA22 BA33:BA46 BA30 BA25:BA28 BA1:BA18">
    <cfRule type="colorScale" priority="1346">
      <colorScale>
        <cfvo type="min"/>
        <cfvo type="percentile" val="50"/>
        <cfvo type="max"/>
        <color rgb="FFF8696B"/>
        <color rgb="FFFFEB84"/>
        <color rgb="FF63BE7B"/>
      </colorScale>
    </cfRule>
  </conditionalFormatting>
  <conditionalFormatting sqref="BA48:BA1048576 BA22 BA38:BA46 BA33:BA36 BA25:BA26 BA15:BA18 BA1:BA13">
    <cfRule type="colorScale" priority="1353">
      <colorScale>
        <cfvo type="min"/>
        <cfvo type="percentile" val="50"/>
        <cfvo type="max"/>
        <color rgb="FFF8696B"/>
        <color rgb="FFFFEB84"/>
        <color rgb="FF63BE7B"/>
      </colorScale>
    </cfRule>
  </conditionalFormatting>
  <conditionalFormatting sqref="BA48:BA1048576 BA22 BA33:BA46 BA25:BA27 BA15:BA18 BA1:BA13">
    <cfRule type="colorScale" priority="1361">
      <colorScale>
        <cfvo type="min"/>
        <cfvo type="percentile" val="50"/>
        <cfvo type="max"/>
        <color rgb="FFF8696B"/>
        <color rgb="FFFFEB84"/>
        <color rgb="FF63BE7B"/>
      </colorScale>
    </cfRule>
  </conditionalFormatting>
  <conditionalFormatting sqref="BA48:BA1048576 BA22 BA33:BA46 BA25:BA27 BA1:BA18">
    <cfRule type="colorScale" priority="1368">
      <colorScale>
        <cfvo type="min"/>
        <cfvo type="percentile" val="50"/>
        <cfvo type="max"/>
        <color rgb="FFF8696B"/>
        <color rgb="FFFFEB84"/>
        <color rgb="FF63BE7B"/>
      </colorScale>
    </cfRule>
  </conditionalFormatting>
  <pageMargins left="0.7" right="0.7" top="0.75" bottom="0.75" header="0.3" footer="0.3"/>
  <pageSetup paperSize="9"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T269"/>
  <sheetViews>
    <sheetView topLeftCell="AB149" zoomScaleNormal="100" workbookViewId="0">
      <selection activeCell="AE159" sqref="AE159"/>
    </sheetView>
  </sheetViews>
  <sheetFormatPr defaultColWidth="17" defaultRowHeight="15" x14ac:dyDescent="0.25"/>
  <cols>
    <col min="1" max="1" width="17.28515625" style="60" bestFit="1" customWidth="1"/>
    <col min="2" max="2" width="38.28515625" style="60" bestFit="1" customWidth="1"/>
    <col min="3" max="3" width="4.7109375" style="60" bestFit="1" customWidth="1"/>
    <col min="4" max="4" width="4.28515625" style="60" bestFit="1" customWidth="1"/>
    <col min="5" max="5" width="11" style="60" bestFit="1" customWidth="1"/>
    <col min="6" max="6" width="6.7109375" style="60" bestFit="1" customWidth="1"/>
    <col min="7" max="7" width="12.42578125" style="60" bestFit="1" customWidth="1"/>
    <col min="8" max="8" width="7.140625" style="60" bestFit="1" customWidth="1"/>
    <col min="9" max="9" width="8" style="60" bestFit="1" customWidth="1"/>
    <col min="10" max="10" width="8" style="16" bestFit="1" customWidth="1"/>
    <col min="11" max="11" width="10" style="60" bestFit="1" customWidth="1"/>
    <col min="12" max="12" width="7" style="60" bestFit="1" customWidth="1"/>
    <col min="13" max="13" width="8.5703125" style="60" bestFit="1" customWidth="1"/>
    <col min="14" max="14" width="7" style="60" bestFit="1" customWidth="1"/>
    <col min="15" max="15" width="13.28515625" style="60" bestFit="1" customWidth="1"/>
    <col min="16" max="16" width="7.5703125" style="60" bestFit="1" customWidth="1"/>
    <col min="17" max="18" width="9.140625" style="60" bestFit="1" customWidth="1"/>
    <col min="19" max="19" width="7.140625" style="60" bestFit="1" customWidth="1"/>
    <col min="20" max="20" width="8.7109375" style="60" bestFit="1" customWidth="1"/>
    <col min="21" max="21" width="6.42578125" style="60" bestFit="1" customWidth="1"/>
    <col min="22" max="22" width="5.85546875" style="60" bestFit="1" customWidth="1"/>
    <col min="23" max="23" width="9.42578125" style="60" bestFit="1" customWidth="1"/>
    <col min="24" max="24" width="9.5703125" style="60" bestFit="1" customWidth="1"/>
    <col min="25" max="25" width="9.28515625" style="60" bestFit="1" customWidth="1"/>
    <col min="26" max="28" width="17" style="60"/>
    <col min="29" max="29" width="7.85546875" style="60" bestFit="1" customWidth="1"/>
    <col min="30" max="30" width="42.85546875" style="60" bestFit="1" customWidth="1"/>
    <col min="31" max="31" width="10" style="60" bestFit="1" customWidth="1"/>
    <col min="32" max="32" width="15.28515625" style="60" bestFit="1" customWidth="1"/>
    <col min="33" max="33" width="10" style="60" bestFit="1" customWidth="1"/>
    <col min="34" max="34" width="11" style="60" bestFit="1" customWidth="1"/>
    <col min="35" max="35" width="10.7109375" style="60" bestFit="1" customWidth="1"/>
    <col min="36" max="36" width="11" style="60" bestFit="1" customWidth="1"/>
    <col min="37" max="37" width="12" style="60" bestFit="1" customWidth="1"/>
    <col min="38" max="38" width="10.28515625" style="60" bestFit="1" customWidth="1"/>
    <col min="39" max="39" width="17" style="60"/>
    <col min="40" max="40" width="7.5703125" style="60" bestFit="1" customWidth="1"/>
    <col min="41" max="41" width="10.42578125" style="60" bestFit="1" customWidth="1"/>
    <col min="42" max="42" width="10" style="60" bestFit="1" customWidth="1"/>
    <col min="43" max="43" width="16.140625" style="60" bestFit="1" customWidth="1"/>
    <col min="44" max="44" width="16.85546875" style="60" bestFit="1" customWidth="1"/>
    <col min="45" max="45" width="11.5703125" style="60" bestFit="1" customWidth="1"/>
    <col min="46" max="46" width="10.42578125" style="60" bestFit="1" customWidth="1"/>
    <col min="47" max="16384" width="17" style="60"/>
  </cols>
  <sheetData>
    <row r="1" spans="1:46" customFormat="1" x14ac:dyDescent="0.25">
      <c r="A1" s="44" t="s">
        <v>0</v>
      </c>
      <c r="B1" s="45" t="s">
        <v>1</v>
      </c>
      <c r="C1" s="45" t="s">
        <v>2</v>
      </c>
      <c r="D1" s="45" t="s">
        <v>3</v>
      </c>
      <c r="E1" s="45" t="s">
        <v>4</v>
      </c>
      <c r="F1" s="45" t="s">
        <v>5</v>
      </c>
      <c r="G1" s="45" t="s">
        <v>6</v>
      </c>
      <c r="H1" s="45" t="s">
        <v>7</v>
      </c>
      <c r="I1" s="46" t="s">
        <v>8</v>
      </c>
      <c r="J1" s="45" t="s">
        <v>9</v>
      </c>
      <c r="K1" s="45" t="s">
        <v>10</v>
      </c>
      <c r="L1" s="45" t="s">
        <v>11</v>
      </c>
      <c r="M1" s="45" t="s">
        <v>12</v>
      </c>
      <c r="N1" s="45" t="s">
        <v>13</v>
      </c>
      <c r="O1" s="45" t="s">
        <v>14</v>
      </c>
      <c r="P1" s="45" t="s">
        <v>15</v>
      </c>
      <c r="Q1" s="45" t="s">
        <v>16</v>
      </c>
      <c r="R1" s="47" t="s">
        <v>17</v>
      </c>
      <c r="S1" s="45" t="s">
        <v>18</v>
      </c>
      <c r="T1" s="45" t="s">
        <v>19</v>
      </c>
      <c r="U1" s="45" t="s">
        <v>20</v>
      </c>
      <c r="V1" s="45" t="s">
        <v>184</v>
      </c>
      <c r="W1" s="48" t="s">
        <v>21</v>
      </c>
      <c r="X1" s="48" t="s">
        <v>183</v>
      </c>
      <c r="Y1" s="47" t="s">
        <v>22</v>
      </c>
      <c r="Z1" s="45" t="s">
        <v>23</v>
      </c>
      <c r="AA1" s="45" t="s">
        <v>24</v>
      </c>
      <c r="AB1" s="45" t="s">
        <v>25</v>
      </c>
      <c r="AC1" s="45" t="s">
        <v>26</v>
      </c>
      <c r="AD1" s="49" t="s">
        <v>27</v>
      </c>
      <c r="AE1" s="49" t="s">
        <v>185</v>
      </c>
      <c r="AF1" s="45" t="s">
        <v>28</v>
      </c>
      <c r="AG1" s="45" t="s">
        <v>29</v>
      </c>
      <c r="AH1" s="45" t="s">
        <v>30</v>
      </c>
      <c r="AI1" s="45" t="s">
        <v>232</v>
      </c>
      <c r="AJ1" s="45" t="s">
        <v>32</v>
      </c>
      <c r="AK1" s="45" t="s">
        <v>33</v>
      </c>
      <c r="AL1" s="48" t="s">
        <v>34</v>
      </c>
      <c r="AM1" s="48" t="s">
        <v>35</v>
      </c>
      <c r="AN1" s="48" t="s">
        <v>36</v>
      </c>
      <c r="AO1" s="45" t="s">
        <v>37</v>
      </c>
      <c r="AP1" s="45" t="s">
        <v>38</v>
      </c>
      <c r="AQ1" s="45" t="s">
        <v>101</v>
      </c>
      <c r="AR1" s="45" t="s">
        <v>39</v>
      </c>
      <c r="AS1" s="45" t="s">
        <v>40</v>
      </c>
      <c r="AT1" s="50" t="s">
        <v>69</v>
      </c>
    </row>
    <row r="2" spans="1:46" customFormat="1" x14ac:dyDescent="0.25">
      <c r="A2" s="20" t="s">
        <v>275</v>
      </c>
      <c r="B2" s="21" t="s">
        <v>296</v>
      </c>
      <c r="C2" s="1" t="s">
        <v>47</v>
      </c>
      <c r="D2" s="21">
        <v>1</v>
      </c>
      <c r="E2" s="21" t="s">
        <v>317</v>
      </c>
      <c r="F2" s="21" t="s">
        <v>77</v>
      </c>
      <c r="G2" s="22">
        <f>Table1[[#This Row],[ENR]]-Table1[[#This Row],[CREDIT]]</f>
        <v>128484.57999999996</v>
      </c>
      <c r="H2" s="21">
        <v>500000</v>
      </c>
      <c r="I2" s="34">
        <v>628484.57999999996</v>
      </c>
      <c r="J2" s="22">
        <v>327911.24</v>
      </c>
      <c r="K2" s="22">
        <v>300573.34000000003</v>
      </c>
      <c r="L2" s="22">
        <v>271663.05</v>
      </c>
      <c r="M2" s="21">
        <v>257720</v>
      </c>
      <c r="N2" s="22">
        <v>130170</v>
      </c>
      <c r="O2" s="1" t="s">
        <v>49</v>
      </c>
      <c r="P2" s="1" t="s">
        <v>12</v>
      </c>
      <c r="Q2" s="15">
        <v>300680</v>
      </c>
      <c r="R2" s="22">
        <f>Table1[[#This Row],[STAB]]-Table1[[#This Row],[AMOUNT]]</f>
        <v>-170510</v>
      </c>
      <c r="S2" s="1" t="s">
        <v>727</v>
      </c>
      <c r="T2" s="1" t="s">
        <v>446</v>
      </c>
      <c r="U2" s="1">
        <v>0</v>
      </c>
      <c r="V2" s="1" t="s">
        <v>267</v>
      </c>
      <c r="W2" s="1" t="s">
        <v>107</v>
      </c>
      <c r="X2" s="1" t="s">
        <v>200</v>
      </c>
      <c r="Y2" s="21" t="s">
        <v>2111</v>
      </c>
      <c r="Z2" s="21" t="s">
        <v>338</v>
      </c>
      <c r="AA2" s="21" t="s">
        <v>362</v>
      </c>
      <c r="AB2" s="21" t="s">
        <v>103</v>
      </c>
      <c r="AC2" s="1" t="s">
        <v>93</v>
      </c>
      <c r="AD2" s="1" t="s">
        <v>102</v>
      </c>
      <c r="AE2" s="21" t="s">
        <v>201</v>
      </c>
      <c r="AF2" s="21" t="s">
        <v>137</v>
      </c>
      <c r="AG2" s="21">
        <v>845041675</v>
      </c>
      <c r="AH2" s="21" t="s">
        <v>130</v>
      </c>
      <c r="AI2" s="21" t="s">
        <v>492</v>
      </c>
      <c r="AJ2" s="21"/>
      <c r="AK2" s="28" t="s">
        <v>447</v>
      </c>
      <c r="AL2" s="21"/>
      <c r="AM2" s="21"/>
      <c r="AN2" s="21"/>
      <c r="AO2" s="23">
        <v>46255</v>
      </c>
      <c r="AP2" s="21">
        <v>23200</v>
      </c>
      <c r="AQ2" s="21" t="s">
        <v>387</v>
      </c>
      <c r="AR2" s="21" t="s">
        <v>87</v>
      </c>
      <c r="AS2" s="1" t="s">
        <v>409</v>
      </c>
      <c r="AT2" s="24">
        <v>46284</v>
      </c>
    </row>
    <row r="3" spans="1:46" customFormat="1" x14ac:dyDescent="0.25">
      <c r="A3" s="51" t="s">
        <v>276</v>
      </c>
      <c r="B3" s="1" t="s">
        <v>297</v>
      </c>
      <c r="C3" s="1" t="s">
        <v>47</v>
      </c>
      <c r="D3" s="1">
        <v>1</v>
      </c>
      <c r="E3" s="1" t="s">
        <v>318</v>
      </c>
      <c r="F3" s="1" t="s">
        <v>77</v>
      </c>
      <c r="G3" s="15">
        <f>Table1[[#This Row],[ENR]]-Table1[[#This Row],[CREDIT]]</f>
        <v>56007.179999999993</v>
      </c>
      <c r="H3" s="1">
        <v>460000</v>
      </c>
      <c r="I3" s="34">
        <v>516007.18</v>
      </c>
      <c r="J3" s="15">
        <v>280746.01</v>
      </c>
      <c r="K3" s="15">
        <v>235261.17</v>
      </c>
      <c r="L3" s="15">
        <v>216224.26</v>
      </c>
      <c r="M3" s="1">
        <v>63290</v>
      </c>
      <c r="N3" s="15">
        <v>20930</v>
      </c>
      <c r="O3" s="1" t="s">
        <v>41</v>
      </c>
      <c r="P3" s="1" t="s">
        <v>42</v>
      </c>
      <c r="Q3" s="15">
        <v>0</v>
      </c>
      <c r="R3" s="22">
        <f>Table1[[#This Row],[STAB]]-Table1[[#This Row],[AMOUNT]]</f>
        <v>20930</v>
      </c>
      <c r="S3" s="1">
        <v>0</v>
      </c>
      <c r="T3" s="1" t="s">
        <v>79</v>
      </c>
      <c r="U3" s="1">
        <v>0</v>
      </c>
      <c r="V3" s="1" t="s">
        <v>267</v>
      </c>
      <c r="W3" s="1" t="s">
        <v>265</v>
      </c>
      <c r="X3" s="1" t="s">
        <v>269</v>
      </c>
      <c r="Y3" s="21" t="s">
        <v>2111</v>
      </c>
      <c r="Z3" s="1" t="s">
        <v>339</v>
      </c>
      <c r="AA3" s="1" t="s">
        <v>363</v>
      </c>
      <c r="AB3" s="1" t="s">
        <v>224</v>
      </c>
      <c r="AC3" s="1" t="s">
        <v>252</v>
      </c>
      <c r="AD3" s="1" t="s">
        <v>253</v>
      </c>
      <c r="AE3" s="1" t="s">
        <v>255</v>
      </c>
      <c r="AF3" s="21" t="s">
        <v>151</v>
      </c>
      <c r="AG3" s="1">
        <v>801723195</v>
      </c>
      <c r="AH3" s="1" t="s">
        <v>132</v>
      </c>
      <c r="AI3" s="21" t="s">
        <v>492</v>
      </c>
      <c r="AJ3" s="1"/>
      <c r="AK3" s="28" t="s">
        <v>447</v>
      </c>
      <c r="AL3" s="1" t="s">
        <v>463</v>
      </c>
      <c r="AM3" s="1" t="s">
        <v>1181</v>
      </c>
      <c r="AN3" s="1" t="s">
        <v>1178</v>
      </c>
      <c r="AO3" s="52">
        <v>45625</v>
      </c>
      <c r="AP3" s="1">
        <v>5000</v>
      </c>
      <c r="AQ3" s="1" t="s">
        <v>388</v>
      </c>
      <c r="AR3" s="1" t="s">
        <v>89</v>
      </c>
      <c r="AS3" s="1" t="s">
        <v>409</v>
      </c>
      <c r="AT3" s="53">
        <v>46284</v>
      </c>
    </row>
    <row r="4" spans="1:46" customFormat="1" x14ac:dyDescent="0.25">
      <c r="A4" s="51" t="s">
        <v>277</v>
      </c>
      <c r="B4" s="1" t="s">
        <v>298</v>
      </c>
      <c r="C4" s="1" t="s">
        <v>47</v>
      </c>
      <c r="D4" s="1">
        <v>1</v>
      </c>
      <c r="E4" s="1" t="s">
        <v>319</v>
      </c>
      <c r="F4" s="1" t="s">
        <v>77</v>
      </c>
      <c r="G4" s="15">
        <f>Table1[[#This Row],[ENR]]-Table1[[#This Row],[CREDIT]]</f>
        <v>21154.600000000006</v>
      </c>
      <c r="H4" s="1">
        <v>190000</v>
      </c>
      <c r="I4" s="34">
        <v>211154.6</v>
      </c>
      <c r="J4" s="15">
        <v>44650.82</v>
      </c>
      <c r="K4" s="15">
        <v>166503.78</v>
      </c>
      <c r="L4" s="15">
        <v>138694.26999999999</v>
      </c>
      <c r="M4" s="1">
        <v>63510</v>
      </c>
      <c r="N4" s="15">
        <v>35060</v>
      </c>
      <c r="O4" s="1" t="s">
        <v>41</v>
      </c>
      <c r="P4" s="1" t="s">
        <v>42</v>
      </c>
      <c r="Q4" s="15">
        <v>0</v>
      </c>
      <c r="R4" s="22">
        <f>Table1[[#This Row],[STAB]]-Table1[[#This Row],[AMOUNT]]</f>
        <v>35060</v>
      </c>
      <c r="S4" s="1">
        <v>0</v>
      </c>
      <c r="T4" s="1" t="s">
        <v>79</v>
      </c>
      <c r="U4" s="1">
        <v>0</v>
      </c>
      <c r="V4" s="1" t="s">
        <v>267</v>
      </c>
      <c r="W4" s="1" t="s">
        <v>265</v>
      </c>
      <c r="X4" s="1" t="s">
        <v>269</v>
      </c>
      <c r="Y4" s="21" t="s">
        <v>2111</v>
      </c>
      <c r="Z4" s="1" t="s">
        <v>340</v>
      </c>
      <c r="AA4" s="1" t="s">
        <v>364</v>
      </c>
      <c r="AB4" s="1" t="s">
        <v>149</v>
      </c>
      <c r="AC4" s="1" t="s">
        <v>91</v>
      </c>
      <c r="AD4" s="1" t="s">
        <v>2080</v>
      </c>
      <c r="AE4" s="59" t="s">
        <v>2081</v>
      </c>
      <c r="AF4" s="21" t="s">
        <v>274</v>
      </c>
      <c r="AG4" s="1">
        <v>801354813</v>
      </c>
      <c r="AH4" s="1" t="s">
        <v>132</v>
      </c>
      <c r="AI4" s="21" t="s">
        <v>492</v>
      </c>
      <c r="AJ4" s="1"/>
      <c r="AK4" s="28" t="s">
        <v>43</v>
      </c>
      <c r="AL4" s="1"/>
      <c r="AM4" s="1"/>
      <c r="AN4" s="1"/>
      <c r="AO4" s="52">
        <v>46237</v>
      </c>
      <c r="AP4" s="1">
        <v>32195.65</v>
      </c>
      <c r="AQ4" s="1" t="s">
        <v>389</v>
      </c>
      <c r="AR4" s="1" t="s">
        <v>88</v>
      </c>
      <c r="AS4" s="1" t="s">
        <v>409</v>
      </c>
      <c r="AT4" s="53">
        <v>46284</v>
      </c>
    </row>
    <row r="5" spans="1:46" customFormat="1" x14ac:dyDescent="0.25">
      <c r="A5" s="51" t="s">
        <v>278</v>
      </c>
      <c r="B5" s="1" t="s">
        <v>299</v>
      </c>
      <c r="C5" s="1" t="s">
        <v>47</v>
      </c>
      <c r="D5" s="1">
        <v>1</v>
      </c>
      <c r="E5" s="1" t="s">
        <v>320</v>
      </c>
      <c r="F5" s="1" t="s">
        <v>77</v>
      </c>
      <c r="G5" s="15">
        <f>Table1[[#This Row],[ENR]]-Table1[[#This Row],[CREDIT]]</f>
        <v>-21469.72</v>
      </c>
      <c r="H5" s="1">
        <v>130000</v>
      </c>
      <c r="I5" s="34">
        <v>108530.28</v>
      </c>
      <c r="J5" s="15" t="s">
        <v>78</v>
      </c>
      <c r="K5" s="15">
        <v>108530.28</v>
      </c>
      <c r="L5" s="15">
        <v>101180</v>
      </c>
      <c r="M5" s="1">
        <v>11090</v>
      </c>
      <c r="N5" s="15">
        <v>3120</v>
      </c>
      <c r="O5" s="1" t="s">
        <v>49</v>
      </c>
      <c r="P5" s="1" t="s">
        <v>12</v>
      </c>
      <c r="Q5" s="15">
        <v>108530.28</v>
      </c>
      <c r="R5" s="22">
        <f>Table1[[#This Row],[STAB]]-Table1[[#This Row],[AMOUNT]]</f>
        <v>-105410.28</v>
      </c>
      <c r="S5" s="1" t="s">
        <v>669</v>
      </c>
      <c r="T5" s="1" t="s">
        <v>673</v>
      </c>
      <c r="U5" s="1">
        <v>0</v>
      </c>
      <c r="V5" s="1" t="s">
        <v>267</v>
      </c>
      <c r="W5" s="1" t="s">
        <v>266</v>
      </c>
      <c r="X5" s="1" t="s">
        <v>268</v>
      </c>
      <c r="Y5" s="21" t="s">
        <v>2111</v>
      </c>
      <c r="Z5" s="1" t="s">
        <v>341</v>
      </c>
      <c r="AA5" s="1" t="s">
        <v>365</v>
      </c>
      <c r="AB5" s="1" t="s">
        <v>72</v>
      </c>
      <c r="AC5" s="1" t="s">
        <v>91</v>
      </c>
      <c r="AD5" s="21" t="s">
        <v>76</v>
      </c>
      <c r="AE5" s="21" t="s">
        <v>411</v>
      </c>
      <c r="AF5" s="21" t="s">
        <v>245</v>
      </c>
      <c r="AG5" s="1">
        <v>802555024</v>
      </c>
      <c r="AH5" s="1" t="s">
        <v>131</v>
      </c>
      <c r="AI5" s="21" t="s">
        <v>492</v>
      </c>
      <c r="AJ5" s="1"/>
      <c r="AK5" s="28" t="s">
        <v>447</v>
      </c>
      <c r="AL5" s="1" t="s">
        <v>458</v>
      </c>
      <c r="AM5" s="1" t="s">
        <v>672</v>
      </c>
      <c r="AN5" s="1" t="s">
        <v>669</v>
      </c>
      <c r="AO5" s="52">
        <v>45479</v>
      </c>
      <c r="AP5" s="1">
        <v>74500</v>
      </c>
      <c r="AQ5" s="1" t="s">
        <v>390</v>
      </c>
      <c r="AR5" s="1" t="s">
        <v>223</v>
      </c>
      <c r="AS5" s="1" t="s">
        <v>409</v>
      </c>
      <c r="AT5" s="53">
        <v>46284</v>
      </c>
    </row>
    <row r="6" spans="1:46" customFormat="1" x14ac:dyDescent="0.25">
      <c r="A6" s="51" t="s">
        <v>234</v>
      </c>
      <c r="B6" s="1" t="s">
        <v>236</v>
      </c>
      <c r="C6" s="1" t="s">
        <v>83</v>
      </c>
      <c r="D6" s="1">
        <v>2</v>
      </c>
      <c r="E6" s="1" t="s">
        <v>238</v>
      </c>
      <c r="F6" s="1" t="s">
        <v>77</v>
      </c>
      <c r="G6" s="15">
        <f>Table1[[#This Row],[ENR]]-Table1[[#This Row],[CREDIT]]</f>
        <v>215823.27000000002</v>
      </c>
      <c r="H6" s="1">
        <v>360000</v>
      </c>
      <c r="I6" s="34">
        <v>575823.27</v>
      </c>
      <c r="J6" s="15">
        <v>213533.95</v>
      </c>
      <c r="K6" s="15">
        <v>362289.32</v>
      </c>
      <c r="L6" s="15">
        <v>341496.88</v>
      </c>
      <c r="M6" s="1">
        <v>76730</v>
      </c>
      <c r="N6" s="15">
        <v>41770</v>
      </c>
      <c r="O6" s="1" t="s">
        <v>49</v>
      </c>
      <c r="P6" s="1" t="s">
        <v>12</v>
      </c>
      <c r="Q6" s="15">
        <v>160000</v>
      </c>
      <c r="R6" s="22">
        <f>Table1[[#This Row],[STAB]]-Table1[[#This Row],[AMOUNT]]</f>
        <v>-118230</v>
      </c>
      <c r="S6" s="1" t="s">
        <v>1176</v>
      </c>
      <c r="T6" s="1" t="s">
        <v>673</v>
      </c>
      <c r="U6" s="1">
        <v>0</v>
      </c>
      <c r="V6" s="1" t="s">
        <v>267</v>
      </c>
      <c r="W6" s="1" t="s">
        <v>266</v>
      </c>
      <c r="X6" s="1" t="s">
        <v>268</v>
      </c>
      <c r="Y6" s="21" t="s">
        <v>2111</v>
      </c>
      <c r="Z6" s="1" t="s">
        <v>349</v>
      </c>
      <c r="AA6" s="1" t="s">
        <v>373</v>
      </c>
      <c r="AB6" s="1" t="s">
        <v>176</v>
      </c>
      <c r="AC6" s="1" t="s">
        <v>91</v>
      </c>
      <c r="AD6" s="21" t="s">
        <v>179</v>
      </c>
      <c r="AE6" s="21" t="s">
        <v>1182</v>
      </c>
      <c r="AF6" s="21" t="s">
        <v>261</v>
      </c>
      <c r="AG6" s="1">
        <v>803037151</v>
      </c>
      <c r="AH6" s="1" t="s">
        <v>131</v>
      </c>
      <c r="AI6" s="21" t="s">
        <v>492</v>
      </c>
      <c r="AJ6" s="1"/>
      <c r="AK6" s="28" t="s">
        <v>447</v>
      </c>
      <c r="AL6" s="1"/>
      <c r="AM6" s="1"/>
      <c r="AN6" s="1"/>
      <c r="AO6" s="52">
        <v>45767</v>
      </c>
      <c r="AP6" s="1">
        <v>2000</v>
      </c>
      <c r="AQ6" s="1" t="s">
        <v>240</v>
      </c>
      <c r="AR6" s="1" t="s">
        <v>81</v>
      </c>
      <c r="AS6" s="1" t="s">
        <v>409</v>
      </c>
      <c r="AT6" s="53">
        <v>46285</v>
      </c>
    </row>
    <row r="7" spans="1:46" customFormat="1" x14ac:dyDescent="0.25">
      <c r="A7" s="20" t="s">
        <v>126</v>
      </c>
      <c r="B7" s="21" t="s">
        <v>127</v>
      </c>
      <c r="C7" s="1" t="s">
        <v>83</v>
      </c>
      <c r="D7" s="21">
        <v>2</v>
      </c>
      <c r="E7" s="21" t="s">
        <v>128</v>
      </c>
      <c r="F7" s="21" t="s">
        <v>77</v>
      </c>
      <c r="G7" s="22">
        <f>Table1[[#This Row],[ENR]]-Table1[[#This Row],[CREDIT]]</f>
        <v>323154.36</v>
      </c>
      <c r="H7" s="21">
        <v>250000</v>
      </c>
      <c r="I7" s="34">
        <v>573154.36</v>
      </c>
      <c r="J7" s="22">
        <v>357974.86</v>
      </c>
      <c r="K7" s="22">
        <v>215179.5</v>
      </c>
      <c r="L7" s="22">
        <v>202607.7</v>
      </c>
      <c r="M7" s="21">
        <v>87110</v>
      </c>
      <c r="N7" s="22">
        <v>44069</v>
      </c>
      <c r="O7" s="1" t="s">
        <v>49</v>
      </c>
      <c r="P7" s="1" t="s">
        <v>13</v>
      </c>
      <c r="Q7" s="15">
        <v>44100</v>
      </c>
      <c r="R7" s="22">
        <f>Table1[[#This Row],[STAB]]-Table1[[#This Row],[AMOUNT]]</f>
        <v>-31</v>
      </c>
      <c r="S7" s="1" t="s">
        <v>2093</v>
      </c>
      <c r="T7" s="1" t="s">
        <v>446</v>
      </c>
      <c r="U7" s="1">
        <v>0</v>
      </c>
      <c r="V7" s="1" t="s">
        <v>267</v>
      </c>
      <c r="W7" s="1" t="s">
        <v>645</v>
      </c>
      <c r="X7" s="1" t="s">
        <v>646</v>
      </c>
      <c r="Y7" s="21" t="s">
        <v>2111</v>
      </c>
      <c r="Z7" s="21" t="s">
        <v>345</v>
      </c>
      <c r="AA7" s="21" t="s">
        <v>369</v>
      </c>
      <c r="AB7" s="21" t="s">
        <v>71</v>
      </c>
      <c r="AC7" s="21" t="s">
        <v>92</v>
      </c>
      <c r="AD7" s="21" t="s">
        <v>95</v>
      </c>
      <c r="AE7" s="21" t="s">
        <v>190</v>
      </c>
      <c r="AF7" s="1" t="s">
        <v>134</v>
      </c>
      <c r="AG7" s="1">
        <v>801436997</v>
      </c>
      <c r="AH7" s="1" t="s">
        <v>130</v>
      </c>
      <c r="AI7" s="21" t="s">
        <v>492</v>
      </c>
      <c r="AJ7" s="21"/>
      <c r="AK7" s="28" t="s">
        <v>447</v>
      </c>
      <c r="AL7" s="21" t="s">
        <v>454</v>
      </c>
      <c r="AM7" s="21" t="s">
        <v>1970</v>
      </c>
      <c r="AN7" s="21" t="s">
        <v>1956</v>
      </c>
      <c r="AO7" s="23">
        <v>46236</v>
      </c>
      <c r="AP7" s="21">
        <v>5740</v>
      </c>
      <c r="AQ7" s="21" t="s">
        <v>129</v>
      </c>
      <c r="AR7" s="21" t="s">
        <v>82</v>
      </c>
      <c r="AS7" s="1" t="s">
        <v>409</v>
      </c>
      <c r="AT7" s="24">
        <v>46285</v>
      </c>
    </row>
    <row r="8" spans="1:46" customFormat="1" x14ac:dyDescent="0.25">
      <c r="A8" s="51" t="s">
        <v>279</v>
      </c>
      <c r="B8" s="1" t="s">
        <v>300</v>
      </c>
      <c r="C8" s="1" t="s">
        <v>47</v>
      </c>
      <c r="D8" s="1">
        <v>2</v>
      </c>
      <c r="E8" s="1" t="s">
        <v>321</v>
      </c>
      <c r="F8" s="1" t="s">
        <v>77</v>
      </c>
      <c r="G8" s="15">
        <f>Table1[[#This Row],[ENR]]-Table1[[#This Row],[CREDIT]]</f>
        <v>15206.929999999993</v>
      </c>
      <c r="H8" s="1">
        <v>200000</v>
      </c>
      <c r="I8" s="34">
        <v>215206.93</v>
      </c>
      <c r="J8" s="15" t="s">
        <v>78</v>
      </c>
      <c r="K8" s="15">
        <v>215206.93</v>
      </c>
      <c r="L8" s="15">
        <v>199998</v>
      </c>
      <c r="M8" s="1">
        <v>49160</v>
      </c>
      <c r="N8" s="15">
        <v>10000</v>
      </c>
      <c r="O8" s="1" t="s">
        <v>49</v>
      </c>
      <c r="P8" s="1" t="s">
        <v>12</v>
      </c>
      <c r="Q8" s="15">
        <v>49160</v>
      </c>
      <c r="R8" s="22">
        <f>Table1[[#This Row],[STAB]]-Table1[[#This Row],[AMOUNT]]</f>
        <v>-39160</v>
      </c>
      <c r="S8" s="1" t="s">
        <v>669</v>
      </c>
      <c r="T8" s="1" t="s">
        <v>446</v>
      </c>
      <c r="U8" s="1">
        <v>0</v>
      </c>
      <c r="V8" s="1" t="s">
        <v>267</v>
      </c>
      <c r="W8" s="1" t="s">
        <v>266</v>
      </c>
      <c r="X8" s="1" t="s">
        <v>268</v>
      </c>
      <c r="Y8" s="21" t="s">
        <v>2111</v>
      </c>
      <c r="Z8" s="1" t="s">
        <v>342</v>
      </c>
      <c r="AA8" s="1" t="s">
        <v>366</v>
      </c>
      <c r="AB8" s="1" t="s">
        <v>176</v>
      </c>
      <c r="AC8" s="1" t="s">
        <v>91</v>
      </c>
      <c r="AD8" s="21" t="s">
        <v>179</v>
      </c>
      <c r="AE8" s="21" t="s">
        <v>1182</v>
      </c>
      <c r="AF8" s="1" t="s">
        <v>261</v>
      </c>
      <c r="AG8" s="1">
        <v>803037151</v>
      </c>
      <c r="AH8" s="1" t="s">
        <v>131</v>
      </c>
      <c r="AI8" s="21" t="s">
        <v>492</v>
      </c>
      <c r="AJ8" s="1"/>
      <c r="AK8" s="28" t="s">
        <v>447</v>
      </c>
      <c r="AL8" s="1" t="s">
        <v>458</v>
      </c>
      <c r="AM8" s="1" t="s">
        <v>457</v>
      </c>
      <c r="AN8" s="1" t="s">
        <v>455</v>
      </c>
      <c r="AO8" s="52">
        <v>45709</v>
      </c>
      <c r="AP8" s="1">
        <v>100000</v>
      </c>
      <c r="AQ8" s="1" t="s">
        <v>391</v>
      </c>
      <c r="AR8" s="1" t="s">
        <v>106</v>
      </c>
      <c r="AS8" s="1" t="s">
        <v>409</v>
      </c>
      <c r="AT8" s="53">
        <v>46285</v>
      </c>
    </row>
    <row r="9" spans="1:46" customFormat="1" x14ac:dyDescent="0.25">
      <c r="A9" s="20" t="s">
        <v>288</v>
      </c>
      <c r="B9" s="21" t="s">
        <v>309</v>
      </c>
      <c r="C9" s="1" t="s">
        <v>47</v>
      </c>
      <c r="D9" s="21">
        <v>2</v>
      </c>
      <c r="E9" s="21" t="s">
        <v>330</v>
      </c>
      <c r="F9" s="21" t="s">
        <v>77</v>
      </c>
      <c r="G9" s="22">
        <f>Table1[[#This Row],[ENR]]-Table1[[#This Row],[CREDIT]]</f>
        <v>-207783.73</v>
      </c>
      <c r="H9" s="21">
        <v>340000</v>
      </c>
      <c r="I9" s="35">
        <v>132216.26999999999</v>
      </c>
      <c r="J9" s="22">
        <v>92825.23</v>
      </c>
      <c r="K9" s="22">
        <v>39391.040000000001</v>
      </c>
      <c r="L9" s="22">
        <v>34239.480000000003</v>
      </c>
      <c r="M9" s="21">
        <v>32190</v>
      </c>
      <c r="N9" s="22">
        <v>10000</v>
      </c>
      <c r="O9" s="1" t="s">
        <v>49</v>
      </c>
      <c r="P9" s="1" t="s">
        <v>13</v>
      </c>
      <c r="Q9" s="15">
        <v>10164.129999999999</v>
      </c>
      <c r="R9" s="22">
        <f>Table1[[#This Row],[STAB]]-Table1[[#This Row],[AMOUNT]]</f>
        <v>-164.1299999999992</v>
      </c>
      <c r="S9" s="1" t="s">
        <v>728</v>
      </c>
      <c r="T9" s="1" t="s">
        <v>446</v>
      </c>
      <c r="U9" s="1">
        <v>0</v>
      </c>
      <c r="V9" s="1" t="s">
        <v>267</v>
      </c>
      <c r="W9" s="1" t="s">
        <v>107</v>
      </c>
      <c r="X9" s="1" t="s">
        <v>200</v>
      </c>
      <c r="Y9" s="21" t="s">
        <v>2111</v>
      </c>
      <c r="Z9" s="21" t="s">
        <v>353</v>
      </c>
      <c r="AA9" s="21" t="s">
        <v>377</v>
      </c>
      <c r="AB9" s="21" t="s">
        <v>256</v>
      </c>
      <c r="AC9" s="21" t="s">
        <v>93</v>
      </c>
      <c r="AD9" s="21" t="s">
        <v>460</v>
      </c>
      <c r="AE9" s="21" t="s">
        <v>444</v>
      </c>
      <c r="AF9" s="21" t="s">
        <v>181</v>
      </c>
      <c r="AG9" s="21">
        <v>802823180</v>
      </c>
      <c r="AH9" s="21" t="s">
        <v>132</v>
      </c>
      <c r="AI9" s="21" t="s">
        <v>492</v>
      </c>
      <c r="AJ9" s="21"/>
      <c r="AK9" s="28" t="s">
        <v>447</v>
      </c>
      <c r="AL9" s="21"/>
      <c r="AM9" s="21"/>
      <c r="AN9" s="21"/>
      <c r="AO9" s="23">
        <v>46198</v>
      </c>
      <c r="AP9" s="21">
        <v>45397.599999999999</v>
      </c>
      <c r="AQ9" s="21" t="s">
        <v>400</v>
      </c>
      <c r="AR9" s="21" t="s">
        <v>81</v>
      </c>
      <c r="AS9" s="1" t="s">
        <v>409</v>
      </c>
      <c r="AT9" s="24">
        <v>46285</v>
      </c>
    </row>
    <row r="10" spans="1:46" customFormat="1" x14ac:dyDescent="0.25">
      <c r="A10" s="20" t="s">
        <v>280</v>
      </c>
      <c r="B10" s="21" t="s">
        <v>301</v>
      </c>
      <c r="C10" s="1" t="s">
        <v>47</v>
      </c>
      <c r="D10" s="21">
        <v>2</v>
      </c>
      <c r="E10" s="21" t="s">
        <v>322</v>
      </c>
      <c r="F10" s="21" t="s">
        <v>77</v>
      </c>
      <c r="G10" s="22">
        <f>Table1[[#This Row],[ENR]]-Table1[[#This Row],[CREDIT]]</f>
        <v>10110.149999999994</v>
      </c>
      <c r="H10" s="21">
        <v>100000</v>
      </c>
      <c r="I10" s="34">
        <v>110110.15</v>
      </c>
      <c r="J10" s="22" t="s">
        <v>78</v>
      </c>
      <c r="K10" s="22">
        <v>110110.15</v>
      </c>
      <c r="L10" s="22">
        <v>99460.4</v>
      </c>
      <c r="M10" s="21">
        <v>29960</v>
      </c>
      <c r="N10" s="22">
        <v>4980</v>
      </c>
      <c r="O10" s="1" t="s">
        <v>49</v>
      </c>
      <c r="P10" s="1" t="s">
        <v>12</v>
      </c>
      <c r="Q10" s="15">
        <v>110110.15</v>
      </c>
      <c r="R10" s="22">
        <f>Table1[[#This Row],[STAB]]-Table1[[#This Row],[AMOUNT]]</f>
        <v>-105130.15</v>
      </c>
      <c r="S10" s="1" t="s">
        <v>445</v>
      </c>
      <c r="T10" s="1" t="s">
        <v>446</v>
      </c>
      <c r="U10" s="1">
        <v>0</v>
      </c>
      <c r="V10" s="1" t="s">
        <v>267</v>
      </c>
      <c r="W10" s="1" t="s">
        <v>645</v>
      </c>
      <c r="X10" s="1" t="s">
        <v>646</v>
      </c>
      <c r="Y10" s="21" t="s">
        <v>2110</v>
      </c>
      <c r="Z10" s="21" t="s">
        <v>343</v>
      </c>
      <c r="AA10" s="21" t="s">
        <v>367</v>
      </c>
      <c r="AB10" s="21" t="s">
        <v>104</v>
      </c>
      <c r="AC10" s="1" t="s">
        <v>258</v>
      </c>
      <c r="AD10" s="21" t="s">
        <v>461</v>
      </c>
      <c r="AE10" s="21" t="s">
        <v>1168</v>
      </c>
      <c r="AF10" s="21" t="s">
        <v>133</v>
      </c>
      <c r="AG10" s="21">
        <v>802913252</v>
      </c>
      <c r="AH10" s="21" t="s">
        <v>130</v>
      </c>
      <c r="AI10" s="21" t="s">
        <v>492</v>
      </c>
      <c r="AJ10" s="21"/>
      <c r="AK10" s="28" t="s">
        <v>447</v>
      </c>
      <c r="AL10" s="21"/>
      <c r="AM10" s="21"/>
      <c r="AN10" s="21"/>
      <c r="AO10" s="23">
        <v>46040</v>
      </c>
      <c r="AP10" s="21">
        <v>34847.949999999997</v>
      </c>
      <c r="AQ10" s="21" t="s">
        <v>392</v>
      </c>
      <c r="AR10" s="21" t="s">
        <v>177</v>
      </c>
      <c r="AS10" s="1" t="s">
        <v>409</v>
      </c>
      <c r="AT10" s="24">
        <v>46285</v>
      </c>
    </row>
    <row r="11" spans="1:46" customFormat="1" x14ac:dyDescent="0.25">
      <c r="A11" s="20" t="s">
        <v>286</v>
      </c>
      <c r="B11" s="21" t="s">
        <v>307</v>
      </c>
      <c r="C11" s="1" t="s">
        <v>47</v>
      </c>
      <c r="D11" s="21">
        <v>2</v>
      </c>
      <c r="E11" s="21" t="s">
        <v>328</v>
      </c>
      <c r="F11" s="21" t="s">
        <v>77</v>
      </c>
      <c r="G11" s="22">
        <f>Table1[[#This Row],[ENR]]-Table1[[#This Row],[CREDIT]]</f>
        <v>8405.1499999999942</v>
      </c>
      <c r="H11" s="21">
        <v>100000</v>
      </c>
      <c r="I11" s="35">
        <v>108405.15</v>
      </c>
      <c r="J11" s="22" t="s">
        <v>78</v>
      </c>
      <c r="K11" s="22">
        <v>108405.15</v>
      </c>
      <c r="L11" s="22">
        <v>99489.05</v>
      </c>
      <c r="M11" s="21">
        <v>26610</v>
      </c>
      <c r="N11" s="22">
        <v>4980</v>
      </c>
      <c r="O11" s="1" t="s">
        <v>41</v>
      </c>
      <c r="P11" s="1" t="s">
        <v>42</v>
      </c>
      <c r="Q11" s="15">
        <v>0</v>
      </c>
      <c r="R11" s="22">
        <f>Table1[[#This Row],[STAB]]-Table1[[#This Row],[AMOUNT]]</f>
        <v>4980</v>
      </c>
      <c r="S11" s="1">
        <v>0</v>
      </c>
      <c r="T11" s="1" t="s">
        <v>79</v>
      </c>
      <c r="U11" s="1">
        <v>0</v>
      </c>
      <c r="V11" s="1" t="s">
        <v>267</v>
      </c>
      <c r="W11" s="1" t="s">
        <v>265</v>
      </c>
      <c r="X11" s="1" t="s">
        <v>269</v>
      </c>
      <c r="Y11" s="21" t="s">
        <v>2110</v>
      </c>
      <c r="Z11" s="21" t="s">
        <v>351</v>
      </c>
      <c r="AA11" s="21" t="s">
        <v>375</v>
      </c>
      <c r="AB11" s="21" t="s">
        <v>248</v>
      </c>
      <c r="AC11" s="21" t="s">
        <v>91</v>
      </c>
      <c r="AD11" s="21" t="s">
        <v>50</v>
      </c>
      <c r="AE11" s="21" t="s">
        <v>254</v>
      </c>
      <c r="AF11" s="21" t="s">
        <v>247</v>
      </c>
      <c r="AG11" s="21">
        <v>802551967</v>
      </c>
      <c r="AH11" s="21" t="s">
        <v>131</v>
      </c>
      <c r="AI11" s="21" t="s">
        <v>492</v>
      </c>
      <c r="AJ11" s="21"/>
      <c r="AK11" s="28" t="s">
        <v>43</v>
      </c>
      <c r="AL11" s="21"/>
      <c r="AM11" s="21"/>
      <c r="AN11" s="21"/>
      <c r="AO11" s="23">
        <v>45858</v>
      </c>
      <c r="AP11" s="21">
        <v>10500</v>
      </c>
      <c r="AQ11" s="21" t="s">
        <v>398</v>
      </c>
      <c r="AR11" s="21" t="s">
        <v>81</v>
      </c>
      <c r="AS11" s="1" t="s">
        <v>409</v>
      </c>
      <c r="AT11" s="24">
        <v>46285</v>
      </c>
    </row>
    <row r="12" spans="1:46" customFormat="1" x14ac:dyDescent="0.25">
      <c r="A12" s="20" t="s">
        <v>289</v>
      </c>
      <c r="B12" s="21" t="s">
        <v>310</v>
      </c>
      <c r="C12" s="1" t="s">
        <v>47</v>
      </c>
      <c r="D12" s="21">
        <v>2</v>
      </c>
      <c r="E12" s="21" t="s">
        <v>331</v>
      </c>
      <c r="F12" s="21" t="s">
        <v>77</v>
      </c>
      <c r="G12" s="22">
        <f>Table1[[#This Row],[ENR]]-Table1[[#This Row],[CREDIT]]</f>
        <v>-41179.729999999996</v>
      </c>
      <c r="H12" s="21">
        <v>141000</v>
      </c>
      <c r="I12" s="34">
        <v>99820.27</v>
      </c>
      <c r="J12" s="22" t="s">
        <v>78</v>
      </c>
      <c r="K12" s="22">
        <v>99820.27</v>
      </c>
      <c r="L12" s="22">
        <v>93652.43</v>
      </c>
      <c r="M12" s="21">
        <v>12120</v>
      </c>
      <c r="N12" s="22">
        <v>5260</v>
      </c>
      <c r="O12" s="1" t="s">
        <v>49</v>
      </c>
      <c r="P12" s="1" t="s">
        <v>12</v>
      </c>
      <c r="Q12" s="15">
        <v>12120</v>
      </c>
      <c r="R12" s="22">
        <f>Table1[[#This Row],[STAB]]-Table1[[#This Row],[AMOUNT]]</f>
        <v>-6860</v>
      </c>
      <c r="S12" s="1" t="s">
        <v>2093</v>
      </c>
      <c r="T12" s="1" t="s">
        <v>446</v>
      </c>
      <c r="U12" s="1">
        <v>0</v>
      </c>
      <c r="V12" s="1" t="s">
        <v>267</v>
      </c>
      <c r="W12" s="1" t="s">
        <v>266</v>
      </c>
      <c r="X12" s="1" t="s">
        <v>268</v>
      </c>
      <c r="Y12" s="21" t="s">
        <v>2111</v>
      </c>
      <c r="Z12" s="21" t="s">
        <v>355</v>
      </c>
      <c r="AA12" s="21" t="s">
        <v>379</v>
      </c>
      <c r="AB12" s="21" t="s">
        <v>176</v>
      </c>
      <c r="AC12" s="21" t="s">
        <v>91</v>
      </c>
      <c r="AD12" s="21" t="s">
        <v>179</v>
      </c>
      <c r="AE12" s="21" t="s">
        <v>1182</v>
      </c>
      <c r="AF12" s="21" t="s">
        <v>261</v>
      </c>
      <c r="AG12" s="1">
        <v>803037151</v>
      </c>
      <c r="AH12" s="1" t="s">
        <v>131</v>
      </c>
      <c r="AI12" s="21" t="s">
        <v>492</v>
      </c>
      <c r="AJ12" s="21"/>
      <c r="AK12" s="28" t="s">
        <v>447</v>
      </c>
      <c r="AL12" s="21" t="s">
        <v>458</v>
      </c>
      <c r="AM12" s="21" t="s">
        <v>676</v>
      </c>
      <c r="AN12" s="21" t="s">
        <v>671</v>
      </c>
      <c r="AO12" s="23">
        <v>46289</v>
      </c>
      <c r="AP12" s="21">
        <v>20000</v>
      </c>
      <c r="AQ12" s="21" t="s">
        <v>401</v>
      </c>
      <c r="AR12" s="21" t="s">
        <v>82</v>
      </c>
      <c r="AS12" s="1" t="s">
        <v>409</v>
      </c>
      <c r="AT12" s="24">
        <v>46285</v>
      </c>
    </row>
    <row r="13" spans="1:46" customFormat="1" x14ac:dyDescent="0.25">
      <c r="A13" s="51" t="s">
        <v>284</v>
      </c>
      <c r="B13" s="1" t="s">
        <v>305</v>
      </c>
      <c r="C13" s="1" t="s">
        <v>47</v>
      </c>
      <c r="D13" s="1">
        <v>2</v>
      </c>
      <c r="E13" s="1" t="s">
        <v>326</v>
      </c>
      <c r="F13" s="1" t="s">
        <v>77</v>
      </c>
      <c r="G13" s="15">
        <f>Table1[[#This Row],[ENR]]-Table1[[#This Row],[CREDIT]]</f>
        <v>-11543.279999999999</v>
      </c>
      <c r="H13" s="1">
        <v>100000</v>
      </c>
      <c r="I13" s="34">
        <v>88456.72</v>
      </c>
      <c r="J13" s="15" t="s">
        <v>78</v>
      </c>
      <c r="K13" s="15">
        <v>88456.72</v>
      </c>
      <c r="L13" s="15">
        <v>82753.25</v>
      </c>
      <c r="M13" s="1">
        <v>13750</v>
      </c>
      <c r="N13" s="15">
        <v>7640</v>
      </c>
      <c r="O13" s="1" t="s">
        <v>49</v>
      </c>
      <c r="P13" s="1" t="s">
        <v>13</v>
      </c>
      <c r="Q13" s="15">
        <v>10000</v>
      </c>
      <c r="R13" s="22">
        <f>Table1[[#This Row],[STAB]]-Table1[[#This Row],[AMOUNT]]</f>
        <v>-2360</v>
      </c>
      <c r="S13" s="1" t="s">
        <v>2115</v>
      </c>
      <c r="T13" s="1" t="s">
        <v>446</v>
      </c>
      <c r="U13" s="1">
        <v>0</v>
      </c>
      <c r="V13" s="1" t="s">
        <v>267</v>
      </c>
      <c r="W13" s="1" t="s">
        <v>265</v>
      </c>
      <c r="X13" s="1" t="s">
        <v>269</v>
      </c>
      <c r="Y13" s="21" t="s">
        <v>2111</v>
      </c>
      <c r="Z13" s="1" t="s">
        <v>348</v>
      </c>
      <c r="AA13" s="1" t="s">
        <v>372</v>
      </c>
      <c r="AB13" s="1" t="s">
        <v>80</v>
      </c>
      <c r="AC13" s="1" t="s">
        <v>91</v>
      </c>
      <c r="AD13" s="1" t="s">
        <v>99</v>
      </c>
      <c r="AE13" s="1" t="s">
        <v>449</v>
      </c>
      <c r="AF13" s="21" t="s">
        <v>450</v>
      </c>
      <c r="AG13" s="1">
        <v>802898520</v>
      </c>
      <c r="AH13" s="1" t="s">
        <v>130</v>
      </c>
      <c r="AI13" s="21" t="s">
        <v>492</v>
      </c>
      <c r="AJ13" s="1"/>
      <c r="AK13" s="28" t="s">
        <v>447</v>
      </c>
      <c r="AL13" s="1" t="s">
        <v>456</v>
      </c>
      <c r="AM13" s="1" t="s">
        <v>1922</v>
      </c>
      <c r="AN13" s="1" t="s">
        <v>1178</v>
      </c>
      <c r="AO13" s="52">
        <v>45384</v>
      </c>
      <c r="AP13" s="1">
        <v>2500</v>
      </c>
      <c r="AQ13" s="1" t="s">
        <v>396</v>
      </c>
      <c r="AR13" s="1" t="s">
        <v>88</v>
      </c>
      <c r="AS13" s="1" t="s">
        <v>409</v>
      </c>
      <c r="AT13" s="53">
        <v>46285</v>
      </c>
    </row>
    <row r="14" spans="1:46" customFormat="1" x14ac:dyDescent="0.25">
      <c r="A14" s="51" t="s">
        <v>285</v>
      </c>
      <c r="B14" s="1" t="s">
        <v>306</v>
      </c>
      <c r="C14" s="1" t="s">
        <v>47</v>
      </c>
      <c r="D14" s="1">
        <v>2</v>
      </c>
      <c r="E14" s="1" t="s">
        <v>327</v>
      </c>
      <c r="F14" s="1" t="s">
        <v>77</v>
      </c>
      <c r="G14" s="15">
        <f>Table1[[#This Row],[ENR]]-Table1[[#This Row],[CREDIT]]</f>
        <v>-12178.61</v>
      </c>
      <c r="H14" s="1">
        <v>100000</v>
      </c>
      <c r="I14" s="34">
        <v>87821.39</v>
      </c>
      <c r="J14" s="15" t="s">
        <v>78</v>
      </c>
      <c r="K14" s="15">
        <v>87821.39</v>
      </c>
      <c r="L14" s="15">
        <v>82002.91</v>
      </c>
      <c r="M14" s="1">
        <v>15200</v>
      </c>
      <c r="N14" s="15">
        <v>9243.32</v>
      </c>
      <c r="O14" s="1" t="s">
        <v>49</v>
      </c>
      <c r="P14" s="1" t="s">
        <v>12</v>
      </c>
      <c r="Q14" s="15">
        <v>15200</v>
      </c>
      <c r="R14" s="22">
        <f>Table1[[#This Row],[STAB]]-Table1[[#This Row],[AMOUNT]]</f>
        <v>-5956.68</v>
      </c>
      <c r="S14" s="1" t="s">
        <v>493</v>
      </c>
      <c r="T14" s="1" t="s">
        <v>446</v>
      </c>
      <c r="U14" s="1">
        <v>0</v>
      </c>
      <c r="V14" s="1" t="s">
        <v>267</v>
      </c>
      <c r="W14" s="1" t="s">
        <v>265</v>
      </c>
      <c r="X14" s="1" t="s">
        <v>269</v>
      </c>
      <c r="Y14" s="21" t="s">
        <v>2110</v>
      </c>
      <c r="Z14" s="1" t="s">
        <v>350</v>
      </c>
      <c r="AA14" s="1" t="s">
        <v>374</v>
      </c>
      <c r="AB14" s="1" t="s">
        <v>104</v>
      </c>
      <c r="AC14" s="1" t="s">
        <v>252</v>
      </c>
      <c r="AD14" s="21" t="s">
        <v>250</v>
      </c>
      <c r="AE14" s="21" t="s">
        <v>251</v>
      </c>
      <c r="AF14" s="21" t="s">
        <v>135</v>
      </c>
      <c r="AG14" s="1">
        <v>802823175</v>
      </c>
      <c r="AH14" s="1" t="s">
        <v>132</v>
      </c>
      <c r="AI14" s="21" t="s">
        <v>492</v>
      </c>
      <c r="AJ14" s="1"/>
      <c r="AK14" s="28" t="s">
        <v>447</v>
      </c>
      <c r="AL14" s="1" t="s">
        <v>463</v>
      </c>
      <c r="AM14" s="1" t="s">
        <v>496</v>
      </c>
      <c r="AN14" s="1" t="s">
        <v>493</v>
      </c>
      <c r="AO14" s="52">
        <v>46290</v>
      </c>
      <c r="AP14" s="1">
        <v>13966.68</v>
      </c>
      <c r="AQ14" s="1" t="s">
        <v>397</v>
      </c>
      <c r="AR14" s="1" t="s">
        <v>112</v>
      </c>
      <c r="AS14" s="1" t="s">
        <v>409</v>
      </c>
      <c r="AT14" s="53">
        <v>46285</v>
      </c>
    </row>
    <row r="15" spans="1:46" customFormat="1" x14ac:dyDescent="0.25">
      <c r="A15" s="20" t="s">
        <v>281</v>
      </c>
      <c r="B15" s="21" t="s">
        <v>302</v>
      </c>
      <c r="C15" s="1" t="s">
        <v>47</v>
      </c>
      <c r="D15" s="21">
        <v>2</v>
      </c>
      <c r="E15" s="21" t="s">
        <v>323</v>
      </c>
      <c r="F15" s="21" t="s">
        <v>77</v>
      </c>
      <c r="G15" s="22">
        <f>Table1[[#This Row],[ENR]]-Table1[[#This Row],[CREDIT]]</f>
        <v>-21732.149999999994</v>
      </c>
      <c r="H15" s="21">
        <v>100000</v>
      </c>
      <c r="I15" s="35">
        <v>78267.850000000006</v>
      </c>
      <c r="J15" s="22" t="s">
        <v>78</v>
      </c>
      <c r="K15" s="22">
        <v>78267.850000000006</v>
      </c>
      <c r="L15" s="22">
        <v>73310.94</v>
      </c>
      <c r="M15" s="21">
        <v>10290</v>
      </c>
      <c r="N15" s="22">
        <v>4650</v>
      </c>
      <c r="O15" s="1" t="s">
        <v>49</v>
      </c>
      <c r="P15" s="1" t="s">
        <v>12</v>
      </c>
      <c r="Q15" s="15">
        <v>10300</v>
      </c>
      <c r="R15" s="22">
        <f>Table1[[#This Row],[STAB]]-Table1[[#This Row],[AMOUNT]]</f>
        <v>-5650</v>
      </c>
      <c r="S15" s="1" t="s">
        <v>467</v>
      </c>
      <c r="T15" s="1" t="s">
        <v>446</v>
      </c>
      <c r="U15" s="1">
        <v>0</v>
      </c>
      <c r="V15" s="1" t="s">
        <v>267</v>
      </c>
      <c r="W15" s="1" t="s">
        <v>266</v>
      </c>
      <c r="X15" s="1" t="s">
        <v>268</v>
      </c>
      <c r="Y15" s="21" t="s">
        <v>2111</v>
      </c>
      <c r="Z15" s="21" t="s">
        <v>344</v>
      </c>
      <c r="AA15" s="21" t="s">
        <v>368</v>
      </c>
      <c r="AB15" s="21" t="s">
        <v>249</v>
      </c>
      <c r="AC15" s="1" t="s">
        <v>91</v>
      </c>
      <c r="AD15" s="21" t="s">
        <v>451</v>
      </c>
      <c r="AE15" s="21" t="s">
        <v>452</v>
      </c>
      <c r="AF15" s="21" t="s">
        <v>453</v>
      </c>
      <c r="AG15" s="21">
        <v>802293984</v>
      </c>
      <c r="AH15" s="21" t="s">
        <v>132</v>
      </c>
      <c r="AI15" s="21" t="s">
        <v>492</v>
      </c>
      <c r="AJ15" s="21"/>
      <c r="AK15" s="28" t="s">
        <v>447</v>
      </c>
      <c r="AL15" s="21"/>
      <c r="AM15" s="21"/>
      <c r="AN15" s="21"/>
      <c r="AO15" s="23">
        <v>45529</v>
      </c>
      <c r="AP15" s="21">
        <v>6140.73</v>
      </c>
      <c r="AQ15" s="21" t="s">
        <v>393</v>
      </c>
      <c r="AR15" s="21" t="s">
        <v>89</v>
      </c>
      <c r="AS15" s="1" t="s">
        <v>409</v>
      </c>
      <c r="AT15" s="24">
        <v>46285</v>
      </c>
    </row>
    <row r="16" spans="1:46" customFormat="1" x14ac:dyDescent="0.25">
      <c r="A16" s="51" t="s">
        <v>291</v>
      </c>
      <c r="B16" s="1" t="s">
        <v>312</v>
      </c>
      <c r="C16" s="1" t="s">
        <v>47</v>
      </c>
      <c r="D16" s="1">
        <v>2</v>
      </c>
      <c r="E16" s="1" t="s">
        <v>333</v>
      </c>
      <c r="F16" s="1" t="s">
        <v>77</v>
      </c>
      <c r="G16" s="15">
        <f>Table1[[#This Row],[ENR]]-Table1[[#This Row],[CREDIT]]</f>
        <v>3064.2700000000041</v>
      </c>
      <c r="H16" s="1">
        <v>70000</v>
      </c>
      <c r="I16" s="34">
        <v>73064.27</v>
      </c>
      <c r="J16" s="15" t="s">
        <v>78</v>
      </c>
      <c r="K16" s="15">
        <v>73064.27</v>
      </c>
      <c r="L16" s="15">
        <v>66557.820000000007</v>
      </c>
      <c r="M16" s="1">
        <v>22830</v>
      </c>
      <c r="N16" s="15">
        <v>13280</v>
      </c>
      <c r="O16" s="1" t="s">
        <v>41</v>
      </c>
      <c r="P16" s="1" t="s">
        <v>42</v>
      </c>
      <c r="Q16" s="15">
        <v>3500</v>
      </c>
      <c r="R16" s="22">
        <f>Table1[[#This Row],[STAB]]-Table1[[#This Row],[AMOUNT]]</f>
        <v>9780</v>
      </c>
      <c r="S16" s="1">
        <v>0</v>
      </c>
      <c r="T16" s="1" t="s">
        <v>79</v>
      </c>
      <c r="U16" s="1">
        <v>0</v>
      </c>
      <c r="V16" s="1" t="s">
        <v>267</v>
      </c>
      <c r="W16" s="1" t="s">
        <v>107</v>
      </c>
      <c r="X16" s="1" t="s">
        <v>200</v>
      </c>
      <c r="Y16" s="21" t="s">
        <v>2111</v>
      </c>
      <c r="Z16" s="1" t="s">
        <v>357</v>
      </c>
      <c r="AA16" s="1" t="s">
        <v>381</v>
      </c>
      <c r="AB16" s="1" t="s">
        <v>385</v>
      </c>
      <c r="AC16" s="1" t="s">
        <v>93</v>
      </c>
      <c r="AD16" s="21" t="s">
        <v>410</v>
      </c>
      <c r="AE16" s="21" t="s">
        <v>412</v>
      </c>
      <c r="AF16" s="21" t="s">
        <v>489</v>
      </c>
      <c r="AG16" s="1">
        <v>802175739</v>
      </c>
      <c r="AH16" s="1" t="s">
        <v>130</v>
      </c>
      <c r="AI16" s="21" t="s">
        <v>492</v>
      </c>
      <c r="AJ16" s="1"/>
      <c r="AK16" s="28" t="s">
        <v>447</v>
      </c>
      <c r="AL16" s="1" t="s">
        <v>458</v>
      </c>
      <c r="AM16" s="1" t="s">
        <v>1973</v>
      </c>
      <c r="AN16" s="1" t="s">
        <v>1956</v>
      </c>
      <c r="AO16" s="52">
        <v>46132</v>
      </c>
      <c r="AP16" s="1">
        <v>3750</v>
      </c>
      <c r="AQ16" s="1" t="s">
        <v>403</v>
      </c>
      <c r="AR16" s="1" t="s">
        <v>81</v>
      </c>
      <c r="AS16" s="1" t="s">
        <v>409</v>
      </c>
      <c r="AT16" s="53">
        <v>46285</v>
      </c>
    </row>
    <row r="17" spans="1:46" customFormat="1" x14ac:dyDescent="0.25">
      <c r="A17" s="51" t="s">
        <v>283</v>
      </c>
      <c r="B17" s="1" t="s">
        <v>304</v>
      </c>
      <c r="C17" s="1" t="s">
        <v>47</v>
      </c>
      <c r="D17" s="1">
        <v>2</v>
      </c>
      <c r="E17" s="1" t="s">
        <v>325</v>
      </c>
      <c r="F17" s="1" t="s">
        <v>77</v>
      </c>
      <c r="G17" s="15">
        <f>Table1[[#This Row],[ENR]]-Table1[[#This Row],[CREDIT]]</f>
        <v>6769.3600000000006</v>
      </c>
      <c r="H17" s="1">
        <v>60000</v>
      </c>
      <c r="I17" s="34">
        <v>66769.36</v>
      </c>
      <c r="J17" s="15" t="s">
        <v>78</v>
      </c>
      <c r="K17" s="15">
        <v>66769.36</v>
      </c>
      <c r="L17" s="15">
        <v>59951.48</v>
      </c>
      <c r="M17" s="1">
        <v>19730</v>
      </c>
      <c r="N17" s="15">
        <v>8750</v>
      </c>
      <c r="O17" s="1" t="s">
        <v>49</v>
      </c>
      <c r="P17" s="1" t="s">
        <v>12</v>
      </c>
      <c r="Q17" s="15">
        <v>19730</v>
      </c>
      <c r="R17" s="22">
        <f>Table1[[#This Row],[STAB]]-Table1[[#This Row],[AMOUNT]]</f>
        <v>-10980</v>
      </c>
      <c r="S17" s="1" t="s">
        <v>445</v>
      </c>
      <c r="T17" s="1" t="s">
        <v>446</v>
      </c>
      <c r="U17" s="1">
        <v>0</v>
      </c>
      <c r="V17" s="1" t="s">
        <v>267</v>
      </c>
      <c r="W17" s="1" t="s">
        <v>645</v>
      </c>
      <c r="X17" s="1" t="s">
        <v>646</v>
      </c>
      <c r="Y17" s="21" t="s">
        <v>2110</v>
      </c>
      <c r="Z17" s="1" t="s">
        <v>347</v>
      </c>
      <c r="AA17" s="1" t="s">
        <v>371</v>
      </c>
      <c r="AB17" s="1" t="s">
        <v>104</v>
      </c>
      <c r="AC17" s="1" t="s">
        <v>258</v>
      </c>
      <c r="AD17" s="21" t="s">
        <v>461</v>
      </c>
      <c r="AE17" s="21" t="s">
        <v>1168</v>
      </c>
      <c r="AF17" s="21" t="s">
        <v>133</v>
      </c>
      <c r="AG17" s="1">
        <v>802913252</v>
      </c>
      <c r="AH17" s="1" t="s">
        <v>130</v>
      </c>
      <c r="AI17" s="21" t="s">
        <v>492</v>
      </c>
      <c r="AJ17" s="1"/>
      <c r="AK17" s="28" t="s">
        <v>447</v>
      </c>
      <c r="AL17" s="1"/>
      <c r="AM17" s="1"/>
      <c r="AN17" s="1"/>
      <c r="AO17" s="52">
        <v>45584</v>
      </c>
      <c r="AP17" s="1">
        <v>2100</v>
      </c>
      <c r="AQ17" s="1" t="s">
        <v>395</v>
      </c>
      <c r="AR17" s="1" t="s">
        <v>125</v>
      </c>
      <c r="AS17" s="1" t="s">
        <v>409</v>
      </c>
      <c r="AT17" s="53">
        <v>46285</v>
      </c>
    </row>
    <row r="18" spans="1:46" customFormat="1" x14ac:dyDescent="0.25">
      <c r="A18" s="20" t="s">
        <v>292</v>
      </c>
      <c r="B18" s="21" t="s">
        <v>313</v>
      </c>
      <c r="C18" s="1" t="s">
        <v>47</v>
      </c>
      <c r="D18" s="21">
        <v>2</v>
      </c>
      <c r="E18" s="21" t="s">
        <v>334</v>
      </c>
      <c r="F18" s="21" t="s">
        <v>77</v>
      </c>
      <c r="G18" s="22">
        <f>Table1[[#This Row],[ENR]]-Table1[[#This Row],[CREDIT]]</f>
        <v>-15098.71</v>
      </c>
      <c r="H18" s="21">
        <v>80000</v>
      </c>
      <c r="I18" s="34">
        <v>64901.29</v>
      </c>
      <c r="J18" s="22" t="s">
        <v>78</v>
      </c>
      <c r="K18" s="22">
        <v>64901.29</v>
      </c>
      <c r="L18" s="22">
        <v>60213.34</v>
      </c>
      <c r="M18" s="21">
        <v>8940</v>
      </c>
      <c r="N18" s="22">
        <v>3970</v>
      </c>
      <c r="O18" s="1" t="s">
        <v>49</v>
      </c>
      <c r="P18" s="1" t="s">
        <v>12</v>
      </c>
      <c r="Q18" s="15">
        <v>8940</v>
      </c>
      <c r="R18" s="22">
        <f>Table1[[#This Row],[STAB]]-Table1[[#This Row],[AMOUNT]]</f>
        <v>-4970</v>
      </c>
      <c r="S18" s="1" t="s">
        <v>686</v>
      </c>
      <c r="T18" s="1" t="s">
        <v>673</v>
      </c>
      <c r="U18" s="1">
        <v>0</v>
      </c>
      <c r="V18" s="1" t="s">
        <v>267</v>
      </c>
      <c r="W18" s="1" t="s">
        <v>266</v>
      </c>
      <c r="X18" s="1" t="s">
        <v>268</v>
      </c>
      <c r="Y18" s="21" t="s">
        <v>2111</v>
      </c>
      <c r="Z18" s="21" t="s">
        <v>358</v>
      </c>
      <c r="AA18" s="21" t="s">
        <v>382</v>
      </c>
      <c r="AB18" s="21" t="s">
        <v>72</v>
      </c>
      <c r="AC18" s="1" t="s">
        <v>91</v>
      </c>
      <c r="AD18" s="1" t="s">
        <v>270</v>
      </c>
      <c r="AE18" s="1" t="s">
        <v>271</v>
      </c>
      <c r="AF18" s="21" t="s">
        <v>245</v>
      </c>
      <c r="AG18" s="21">
        <v>802555024</v>
      </c>
      <c r="AH18" s="21" t="s">
        <v>131</v>
      </c>
      <c r="AI18" s="21" t="s">
        <v>492</v>
      </c>
      <c r="AJ18" s="21"/>
      <c r="AK18" s="28" t="s">
        <v>447</v>
      </c>
      <c r="AL18" s="21" t="s">
        <v>458</v>
      </c>
      <c r="AM18" s="21" t="s">
        <v>685</v>
      </c>
      <c r="AN18" s="21" t="s">
        <v>684</v>
      </c>
      <c r="AO18" s="23">
        <v>46296</v>
      </c>
      <c r="AP18" s="21">
        <v>16000</v>
      </c>
      <c r="AQ18" s="21" t="s">
        <v>404</v>
      </c>
      <c r="AR18" s="21" t="s">
        <v>81</v>
      </c>
      <c r="AS18" s="1" t="s">
        <v>409</v>
      </c>
      <c r="AT18" s="24">
        <v>46285</v>
      </c>
    </row>
    <row r="19" spans="1:46" customFormat="1" x14ac:dyDescent="0.25">
      <c r="A19" s="20" t="s">
        <v>282</v>
      </c>
      <c r="B19" s="21" t="s">
        <v>303</v>
      </c>
      <c r="C19" s="1" t="s">
        <v>47</v>
      </c>
      <c r="D19" s="21">
        <v>2</v>
      </c>
      <c r="E19" s="21" t="s">
        <v>324</v>
      </c>
      <c r="F19" s="21" t="s">
        <v>77</v>
      </c>
      <c r="G19" s="22">
        <f>Table1[[#This Row],[ENR]]-Table1[[#This Row],[CREDIT]]</f>
        <v>4364.25</v>
      </c>
      <c r="H19" s="21">
        <v>50000</v>
      </c>
      <c r="I19" s="35">
        <v>54364.25</v>
      </c>
      <c r="J19" s="22">
        <v>899.54</v>
      </c>
      <c r="K19" s="22">
        <v>53464.71</v>
      </c>
      <c r="L19" s="22">
        <v>48971.09</v>
      </c>
      <c r="M19" s="21">
        <v>21300</v>
      </c>
      <c r="N19" s="22">
        <v>13000</v>
      </c>
      <c r="O19" s="1" t="s">
        <v>49</v>
      </c>
      <c r="P19" s="1" t="s">
        <v>13</v>
      </c>
      <c r="Q19" s="15">
        <v>13000</v>
      </c>
      <c r="R19" s="22">
        <f>Table1[[#This Row],[STAB]]-Table1[[#This Row],[AMOUNT]]</f>
        <v>0</v>
      </c>
      <c r="S19" s="1" t="s">
        <v>1956</v>
      </c>
      <c r="T19" s="1" t="s">
        <v>446</v>
      </c>
      <c r="U19" s="1">
        <v>0</v>
      </c>
      <c r="V19" s="1" t="s">
        <v>267</v>
      </c>
      <c r="W19" s="1" t="s">
        <v>645</v>
      </c>
      <c r="X19" s="1" t="s">
        <v>646</v>
      </c>
      <c r="Y19" s="21" t="s">
        <v>2111</v>
      </c>
      <c r="Z19" s="21" t="s">
        <v>346</v>
      </c>
      <c r="AA19" s="21" t="s">
        <v>370</v>
      </c>
      <c r="AB19" s="21" t="s">
        <v>71</v>
      </c>
      <c r="AC19" s="21" t="s">
        <v>92</v>
      </c>
      <c r="AD19" s="21" t="s">
        <v>94</v>
      </c>
      <c r="AE19" s="21" t="s">
        <v>246</v>
      </c>
      <c r="AF19" s="21" t="s">
        <v>140</v>
      </c>
      <c r="AG19" s="21">
        <v>802852449</v>
      </c>
      <c r="AH19" s="21" t="s">
        <v>130</v>
      </c>
      <c r="AI19" s="21" t="s">
        <v>492</v>
      </c>
      <c r="AJ19" s="21"/>
      <c r="AK19" s="28" t="s">
        <v>447</v>
      </c>
      <c r="AL19" s="21" t="s">
        <v>463</v>
      </c>
      <c r="AM19" s="21" t="s">
        <v>465</v>
      </c>
      <c r="AN19" s="21" t="s">
        <v>466</v>
      </c>
      <c r="AO19" s="23">
        <v>46270</v>
      </c>
      <c r="AP19" s="21">
        <v>17050</v>
      </c>
      <c r="AQ19" s="21" t="s">
        <v>394</v>
      </c>
      <c r="AR19" s="21" t="s">
        <v>125</v>
      </c>
      <c r="AS19" s="1" t="s">
        <v>409</v>
      </c>
      <c r="AT19" s="24">
        <v>46285</v>
      </c>
    </row>
    <row r="20" spans="1:46" customFormat="1" x14ac:dyDescent="0.25">
      <c r="A20" s="20" t="s">
        <v>287</v>
      </c>
      <c r="B20" s="21" t="s">
        <v>308</v>
      </c>
      <c r="C20" s="1" t="s">
        <v>47</v>
      </c>
      <c r="D20" s="21">
        <v>2</v>
      </c>
      <c r="E20" s="21" t="s">
        <v>329</v>
      </c>
      <c r="F20" s="21" t="s">
        <v>77</v>
      </c>
      <c r="G20" s="22">
        <f>Table1[[#This Row],[ENR]]-Table1[[#This Row],[CREDIT]]</f>
        <v>3410.25</v>
      </c>
      <c r="H20" s="21">
        <v>47000</v>
      </c>
      <c r="I20" s="34">
        <v>50410.25</v>
      </c>
      <c r="J20" s="22">
        <v>30243.91</v>
      </c>
      <c r="K20" s="22">
        <v>20166.34</v>
      </c>
      <c r="L20" s="22">
        <v>16589.03</v>
      </c>
      <c r="M20" s="21">
        <v>7930</v>
      </c>
      <c r="N20" s="22">
        <v>3140</v>
      </c>
      <c r="O20" s="1" t="s">
        <v>41</v>
      </c>
      <c r="P20" s="1" t="s">
        <v>42</v>
      </c>
      <c r="Q20" s="15">
        <v>0</v>
      </c>
      <c r="R20" s="22">
        <f>Table1[[#This Row],[STAB]]-Table1[[#This Row],[AMOUNT]]</f>
        <v>3140</v>
      </c>
      <c r="S20" s="1">
        <v>0</v>
      </c>
      <c r="T20" s="1" t="s">
        <v>79</v>
      </c>
      <c r="U20" s="1">
        <v>0</v>
      </c>
      <c r="V20" s="1" t="s">
        <v>267</v>
      </c>
      <c r="W20" s="1" t="s">
        <v>107</v>
      </c>
      <c r="X20" s="1" t="s">
        <v>200</v>
      </c>
      <c r="Y20" s="21" t="s">
        <v>2111</v>
      </c>
      <c r="Z20" s="21" t="s">
        <v>352</v>
      </c>
      <c r="AA20" s="21" t="s">
        <v>376</v>
      </c>
      <c r="AB20" s="21" t="s">
        <v>257</v>
      </c>
      <c r="AC20" s="1" t="s">
        <v>93</v>
      </c>
      <c r="AD20" s="21" t="s">
        <v>262</v>
      </c>
      <c r="AE20" s="21" t="s">
        <v>264</v>
      </c>
      <c r="AF20" s="21" t="s">
        <v>263</v>
      </c>
      <c r="AG20" s="1">
        <v>802862338</v>
      </c>
      <c r="AH20" s="1" t="s">
        <v>130</v>
      </c>
      <c r="AI20" s="21" t="s">
        <v>492</v>
      </c>
      <c r="AJ20" s="21"/>
      <c r="AK20" s="28" t="s">
        <v>43</v>
      </c>
      <c r="AL20" s="21"/>
      <c r="AM20" s="21"/>
      <c r="AN20" s="21"/>
      <c r="AO20" s="23">
        <v>45463</v>
      </c>
      <c r="AP20" s="21">
        <v>24887.24</v>
      </c>
      <c r="AQ20" s="21" t="s">
        <v>399</v>
      </c>
      <c r="AR20" s="21" t="s">
        <v>112</v>
      </c>
      <c r="AS20" s="1" t="s">
        <v>409</v>
      </c>
      <c r="AT20" s="24">
        <v>46285</v>
      </c>
    </row>
    <row r="21" spans="1:46" x14ac:dyDescent="0.25">
      <c r="A21" s="20" t="s">
        <v>290</v>
      </c>
      <c r="B21" s="1" t="s">
        <v>311</v>
      </c>
      <c r="C21" s="1" t="s">
        <v>47</v>
      </c>
      <c r="D21" s="21">
        <v>2</v>
      </c>
      <c r="E21" s="21" t="s">
        <v>332</v>
      </c>
      <c r="F21" s="21" t="s">
        <v>77</v>
      </c>
      <c r="G21" s="22">
        <f>Table1[[#This Row],[ENR]]-Table1[[#This Row],[CREDIT]]</f>
        <v>-55183.5</v>
      </c>
      <c r="H21" s="21">
        <v>100000</v>
      </c>
      <c r="I21" s="34">
        <v>44816.5</v>
      </c>
      <c r="J21" s="22">
        <v>19034.73</v>
      </c>
      <c r="K21" s="22">
        <v>25781.77</v>
      </c>
      <c r="L21" s="22">
        <v>23016.76</v>
      </c>
      <c r="M21" s="21">
        <v>7480</v>
      </c>
      <c r="N21" s="22">
        <v>3370</v>
      </c>
      <c r="O21" s="1" t="s">
        <v>49</v>
      </c>
      <c r="P21" s="1" t="s">
        <v>13</v>
      </c>
      <c r="Q21" s="15">
        <v>3400</v>
      </c>
      <c r="R21" s="22">
        <f>Table1[[#This Row],[STAB]]-Table1[[#This Row],[AMOUNT]]</f>
        <v>-30</v>
      </c>
      <c r="S21" s="1" t="s">
        <v>2093</v>
      </c>
      <c r="T21" s="1" t="s">
        <v>446</v>
      </c>
      <c r="U21" s="1">
        <v>0</v>
      </c>
      <c r="V21" s="1" t="s">
        <v>267</v>
      </c>
      <c r="W21" s="1" t="s">
        <v>107</v>
      </c>
      <c r="X21" s="1" t="s">
        <v>200</v>
      </c>
      <c r="Y21" s="21" t="s">
        <v>2111</v>
      </c>
      <c r="Z21" s="21" t="s">
        <v>356</v>
      </c>
      <c r="AA21" s="21" t="s">
        <v>380</v>
      </c>
      <c r="AB21" s="21" t="s">
        <v>138</v>
      </c>
      <c r="AC21" s="21" t="s">
        <v>93</v>
      </c>
      <c r="AD21" s="21" t="s">
        <v>139</v>
      </c>
      <c r="AE21" s="21" t="s">
        <v>202</v>
      </c>
      <c r="AF21" s="21" t="s">
        <v>490</v>
      </c>
      <c r="AG21" s="21">
        <v>802823528</v>
      </c>
      <c r="AH21" s="21" t="s">
        <v>488</v>
      </c>
      <c r="AI21" s="21" t="s">
        <v>492</v>
      </c>
      <c r="AJ21" s="21"/>
      <c r="AK21" s="28" t="s">
        <v>447</v>
      </c>
      <c r="AL21" s="21" t="s">
        <v>458</v>
      </c>
      <c r="AM21" s="21" t="s">
        <v>1978</v>
      </c>
      <c r="AN21" s="21" t="s">
        <v>1956</v>
      </c>
      <c r="AO21" s="23" t="s">
        <v>78</v>
      </c>
      <c r="AP21" s="21">
        <v>0</v>
      </c>
      <c r="AQ21" s="21" t="s">
        <v>402</v>
      </c>
      <c r="AR21" s="21" t="s">
        <v>81</v>
      </c>
      <c r="AS21" s="1" t="s">
        <v>409</v>
      </c>
      <c r="AT21" s="24">
        <v>46285</v>
      </c>
    </row>
    <row r="22" spans="1:46" x14ac:dyDescent="0.25">
      <c r="A22" s="51" t="s">
        <v>235</v>
      </c>
      <c r="B22" s="1" t="s">
        <v>237</v>
      </c>
      <c r="C22" s="1" t="s">
        <v>83</v>
      </c>
      <c r="D22" s="1">
        <v>2</v>
      </c>
      <c r="E22" s="1" t="s">
        <v>239</v>
      </c>
      <c r="F22" s="1" t="s">
        <v>77</v>
      </c>
      <c r="G22" s="15">
        <f>Table1[[#This Row],[ENR]]-Table1[[#This Row],[CREDIT]]</f>
        <v>2544.8399999999965</v>
      </c>
      <c r="H22" s="1">
        <v>40000</v>
      </c>
      <c r="I22" s="34">
        <v>42544.84</v>
      </c>
      <c r="J22" s="15" t="s">
        <v>78</v>
      </c>
      <c r="K22" s="15">
        <v>42544.84</v>
      </c>
      <c r="L22" s="15">
        <v>36020.58</v>
      </c>
      <c r="M22" s="1">
        <v>14710</v>
      </c>
      <c r="N22" s="15">
        <v>7700</v>
      </c>
      <c r="O22" s="1" t="s">
        <v>49</v>
      </c>
      <c r="P22" s="1" t="s">
        <v>13</v>
      </c>
      <c r="Q22" s="15">
        <v>10000</v>
      </c>
      <c r="R22" s="22">
        <f>Table1[[#This Row],[STAB]]-Table1[[#This Row],[AMOUNT]]</f>
        <v>-2300</v>
      </c>
      <c r="S22" s="1" t="s">
        <v>1949</v>
      </c>
      <c r="T22" s="1" t="s">
        <v>673</v>
      </c>
      <c r="U22" s="1">
        <v>0</v>
      </c>
      <c r="V22" s="1" t="s">
        <v>267</v>
      </c>
      <c r="W22" s="1" t="s">
        <v>645</v>
      </c>
      <c r="X22" s="1" t="s">
        <v>646</v>
      </c>
      <c r="Y22" s="21" t="s">
        <v>2110</v>
      </c>
      <c r="Z22" s="1" t="s">
        <v>354</v>
      </c>
      <c r="AA22" s="1" t="s">
        <v>378</v>
      </c>
      <c r="AB22" s="1" t="s">
        <v>104</v>
      </c>
      <c r="AC22" s="1" t="s">
        <v>92</v>
      </c>
      <c r="AD22" s="1" t="s">
        <v>242</v>
      </c>
      <c r="AE22" s="1" t="s">
        <v>243</v>
      </c>
      <c r="AF22" s="21" t="s">
        <v>491</v>
      </c>
      <c r="AG22" s="1">
        <v>802663436</v>
      </c>
      <c r="AH22" s="1" t="s">
        <v>132</v>
      </c>
      <c r="AI22" s="21" t="s">
        <v>492</v>
      </c>
      <c r="AJ22" s="1"/>
      <c r="AK22" s="28" t="s">
        <v>447</v>
      </c>
      <c r="AL22" s="1" t="s">
        <v>458</v>
      </c>
      <c r="AM22" s="1" t="s">
        <v>1948</v>
      </c>
      <c r="AN22" s="1" t="s">
        <v>1949</v>
      </c>
      <c r="AO22" s="52" t="s">
        <v>78</v>
      </c>
      <c r="AP22" s="1">
        <v>0</v>
      </c>
      <c r="AQ22" s="1" t="s">
        <v>241</v>
      </c>
      <c r="AR22" s="1" t="s">
        <v>81</v>
      </c>
      <c r="AS22" s="1" t="s">
        <v>409</v>
      </c>
      <c r="AT22" s="53">
        <v>46285</v>
      </c>
    </row>
    <row r="23" spans="1:46" x14ac:dyDescent="0.25">
      <c r="A23" s="51" t="s">
        <v>294</v>
      </c>
      <c r="B23" s="1" t="s">
        <v>315</v>
      </c>
      <c r="C23" s="1" t="s">
        <v>47</v>
      </c>
      <c r="D23" s="1">
        <v>3</v>
      </c>
      <c r="E23" s="1" t="s">
        <v>336</v>
      </c>
      <c r="F23" s="1" t="s">
        <v>77</v>
      </c>
      <c r="G23" s="15">
        <f>Table1[[#This Row],[ENR]]-Table1[[#This Row],[CREDIT]]</f>
        <v>16547.48000000001</v>
      </c>
      <c r="H23" s="1">
        <v>220000</v>
      </c>
      <c r="I23" s="34">
        <v>236547.48</v>
      </c>
      <c r="J23" s="15" t="s">
        <v>78</v>
      </c>
      <c r="K23" s="15">
        <v>236547.48</v>
      </c>
      <c r="L23" s="15">
        <v>220000</v>
      </c>
      <c r="M23" s="1">
        <v>53720</v>
      </c>
      <c r="N23" s="15">
        <v>11000</v>
      </c>
      <c r="O23" s="1" t="s">
        <v>49</v>
      </c>
      <c r="P23" s="1" t="s">
        <v>13</v>
      </c>
      <c r="Q23" s="15">
        <v>18392.939999999999</v>
      </c>
      <c r="R23" s="22">
        <f>Table1[[#This Row],[STAB]]-Table1[[#This Row],[AMOUNT]]</f>
        <v>-7392.9399999999987</v>
      </c>
      <c r="S23" s="1" t="s">
        <v>1956</v>
      </c>
      <c r="T23" s="1" t="s">
        <v>673</v>
      </c>
      <c r="U23" s="1">
        <v>0</v>
      </c>
      <c r="V23" s="1" t="s">
        <v>267</v>
      </c>
      <c r="W23" s="1" t="s">
        <v>265</v>
      </c>
      <c r="X23" s="1" t="s">
        <v>269</v>
      </c>
      <c r="Y23" s="21" t="s">
        <v>2111</v>
      </c>
      <c r="Z23" s="1" t="s">
        <v>360</v>
      </c>
      <c r="AA23" s="1" t="s">
        <v>384</v>
      </c>
      <c r="AB23" s="1" t="s">
        <v>70</v>
      </c>
      <c r="AC23" s="1" t="s">
        <v>91</v>
      </c>
      <c r="AD23" s="1" t="s">
        <v>51</v>
      </c>
      <c r="AE23" s="1" t="s">
        <v>189</v>
      </c>
      <c r="AF23" s="21" t="s">
        <v>136</v>
      </c>
      <c r="AG23" s="1">
        <v>801772792</v>
      </c>
      <c r="AH23" s="1" t="s">
        <v>132</v>
      </c>
      <c r="AI23" s="21" t="s">
        <v>492</v>
      </c>
      <c r="AJ23" s="1"/>
      <c r="AK23" s="28" t="s">
        <v>447</v>
      </c>
      <c r="AL23" s="1" t="s">
        <v>458</v>
      </c>
      <c r="AM23" s="1" t="s">
        <v>729</v>
      </c>
      <c r="AN23" s="1" t="s">
        <v>728</v>
      </c>
      <c r="AO23" s="52">
        <v>46014</v>
      </c>
      <c r="AP23" s="1">
        <v>200000</v>
      </c>
      <c r="AQ23" s="1" t="s">
        <v>406</v>
      </c>
      <c r="AR23" s="1" t="s">
        <v>81</v>
      </c>
      <c r="AS23" s="1" t="s">
        <v>409</v>
      </c>
      <c r="AT23" s="53">
        <v>46286</v>
      </c>
    </row>
    <row r="24" spans="1:46" x14ac:dyDescent="0.25">
      <c r="A24" s="51" t="s">
        <v>295</v>
      </c>
      <c r="B24" s="1" t="s">
        <v>316</v>
      </c>
      <c r="C24" s="1" t="s">
        <v>47</v>
      </c>
      <c r="D24" s="1">
        <v>3</v>
      </c>
      <c r="E24" s="1" t="s">
        <v>337</v>
      </c>
      <c r="F24" s="1" t="s">
        <v>77</v>
      </c>
      <c r="G24" s="15">
        <f>Table1[[#This Row],[ENR]]-Table1[[#This Row],[CREDIT]]</f>
        <v>3531.5299999999988</v>
      </c>
      <c r="H24" s="1">
        <v>100000</v>
      </c>
      <c r="I24" s="34">
        <v>103531.53</v>
      </c>
      <c r="J24" s="15">
        <v>8749.7000000000007</v>
      </c>
      <c r="K24" s="15">
        <v>94781.83</v>
      </c>
      <c r="L24" s="15">
        <v>84701.47</v>
      </c>
      <c r="M24" s="1">
        <v>18310</v>
      </c>
      <c r="N24" s="15">
        <v>8117.94</v>
      </c>
      <c r="O24" s="1" t="s">
        <v>41</v>
      </c>
      <c r="P24" s="1" t="s">
        <v>42</v>
      </c>
      <c r="Q24" s="15">
        <v>184.57</v>
      </c>
      <c r="R24" s="22">
        <f>Table1[[#This Row],[STAB]]-Table1[[#This Row],[AMOUNT]]</f>
        <v>7933.37</v>
      </c>
      <c r="S24" s="1">
        <v>0</v>
      </c>
      <c r="T24" s="1" t="s">
        <v>79</v>
      </c>
      <c r="U24" s="1">
        <v>0</v>
      </c>
      <c r="V24" s="1" t="s">
        <v>267</v>
      </c>
      <c r="W24" s="1" t="s">
        <v>645</v>
      </c>
      <c r="X24" s="1" t="s">
        <v>646</v>
      </c>
      <c r="Y24" s="21" t="s">
        <v>2111</v>
      </c>
      <c r="Z24" s="1" t="s">
        <v>361</v>
      </c>
      <c r="AA24" s="1" t="s">
        <v>383</v>
      </c>
      <c r="AB24" s="1" t="s">
        <v>386</v>
      </c>
      <c r="AC24" s="1" t="s">
        <v>92</v>
      </c>
      <c r="AD24" s="21" t="s">
        <v>259</v>
      </c>
      <c r="AE24" s="21" t="s">
        <v>260</v>
      </c>
      <c r="AF24" s="21" t="s">
        <v>140</v>
      </c>
      <c r="AG24" s="1">
        <v>802852449</v>
      </c>
      <c r="AH24" s="1" t="s">
        <v>130</v>
      </c>
      <c r="AI24" s="21" t="s">
        <v>492</v>
      </c>
      <c r="AJ24" s="1"/>
      <c r="AK24" s="28" t="s">
        <v>447</v>
      </c>
      <c r="AL24" s="1" t="s">
        <v>463</v>
      </c>
      <c r="AM24" s="1" t="s">
        <v>462</v>
      </c>
      <c r="AN24" s="1" t="s">
        <v>464</v>
      </c>
      <c r="AO24" s="52">
        <v>46268</v>
      </c>
      <c r="AP24" s="1">
        <v>80730.78</v>
      </c>
      <c r="AQ24" s="1" t="s">
        <v>407</v>
      </c>
      <c r="AR24" s="1" t="s">
        <v>408</v>
      </c>
      <c r="AS24" s="1" t="s">
        <v>409</v>
      </c>
      <c r="AT24" s="53">
        <v>46286</v>
      </c>
    </row>
    <row r="25" spans="1:46" x14ac:dyDescent="0.25">
      <c r="A25" s="20" t="s">
        <v>293</v>
      </c>
      <c r="B25" s="21" t="s">
        <v>314</v>
      </c>
      <c r="C25" s="1" t="s">
        <v>47</v>
      </c>
      <c r="D25" s="21">
        <v>3</v>
      </c>
      <c r="E25" s="21" t="s">
        <v>335</v>
      </c>
      <c r="F25" s="21" t="s">
        <v>77</v>
      </c>
      <c r="G25" s="22">
        <f>Table1[[#This Row],[ENR]]-Table1[[#This Row],[CREDIT]]</f>
        <v>-314115.71000000002</v>
      </c>
      <c r="H25" s="21">
        <v>370000</v>
      </c>
      <c r="I25" s="34">
        <v>55884.29</v>
      </c>
      <c r="J25" s="22" t="s">
        <v>78</v>
      </c>
      <c r="K25" s="22">
        <v>55884.29</v>
      </c>
      <c r="L25" s="22">
        <v>52999.9</v>
      </c>
      <c r="M25" s="21">
        <v>4680</v>
      </c>
      <c r="N25" s="22">
        <v>1537.33</v>
      </c>
      <c r="O25" s="1" t="s">
        <v>49</v>
      </c>
      <c r="P25" s="1" t="s">
        <v>12</v>
      </c>
      <c r="Q25" s="15">
        <v>5080</v>
      </c>
      <c r="R25" s="22">
        <f>Table1[[#This Row],[STAB]]-Table1[[#This Row],[AMOUNT]]</f>
        <v>-3542.67</v>
      </c>
      <c r="S25" s="1" t="s">
        <v>2093</v>
      </c>
      <c r="T25" s="1" t="s">
        <v>446</v>
      </c>
      <c r="U25" s="1">
        <v>0</v>
      </c>
      <c r="V25" s="1" t="s">
        <v>267</v>
      </c>
      <c r="W25" s="1" t="s">
        <v>107</v>
      </c>
      <c r="X25" s="1" t="s">
        <v>200</v>
      </c>
      <c r="Y25" s="21" t="s">
        <v>2111</v>
      </c>
      <c r="Z25" s="21" t="s">
        <v>359</v>
      </c>
      <c r="AA25" s="21" t="s">
        <v>383</v>
      </c>
      <c r="AB25" s="21" t="s">
        <v>224</v>
      </c>
      <c r="AC25" s="21" t="s">
        <v>93</v>
      </c>
      <c r="AD25" s="21" t="s">
        <v>459</v>
      </c>
      <c r="AE25" s="21" t="s">
        <v>226</v>
      </c>
      <c r="AF25" s="21" t="s">
        <v>225</v>
      </c>
      <c r="AG25" s="21">
        <v>802388289</v>
      </c>
      <c r="AH25" s="21" t="s">
        <v>130</v>
      </c>
      <c r="AI25" s="21" t="s">
        <v>492</v>
      </c>
      <c r="AJ25" s="21"/>
      <c r="AK25" s="28" t="s">
        <v>447</v>
      </c>
      <c r="AL25" s="21" t="s">
        <v>454</v>
      </c>
      <c r="AM25" s="21" t="s">
        <v>494</v>
      </c>
      <c r="AN25" s="21" t="s">
        <v>493</v>
      </c>
      <c r="AO25" s="23">
        <v>46216</v>
      </c>
      <c r="AP25" s="21">
        <v>5001</v>
      </c>
      <c r="AQ25" s="21" t="s">
        <v>405</v>
      </c>
      <c r="AR25" s="21" t="s">
        <v>408</v>
      </c>
      <c r="AS25" s="1" t="s">
        <v>409</v>
      </c>
      <c r="AT25" s="24">
        <v>46286</v>
      </c>
    </row>
    <row r="26" spans="1:46" x14ac:dyDescent="0.25">
      <c r="A26" s="20" t="s">
        <v>416</v>
      </c>
      <c r="B26" s="21" t="s">
        <v>420</v>
      </c>
      <c r="C26" s="1" t="s">
        <v>47</v>
      </c>
      <c r="D26" s="21">
        <v>5</v>
      </c>
      <c r="E26" s="21" t="s">
        <v>424</v>
      </c>
      <c r="F26" s="21" t="s">
        <v>77</v>
      </c>
      <c r="G26" s="22">
        <f>Table1[[#This Row],[ENR]]-Table1[[#This Row],[CREDIT]]</f>
        <v>591930.62</v>
      </c>
      <c r="H26" s="21">
        <v>250000</v>
      </c>
      <c r="I26" s="35">
        <v>841930.62</v>
      </c>
      <c r="J26" s="22">
        <v>751365.24</v>
      </c>
      <c r="K26" s="22">
        <v>90565.38</v>
      </c>
      <c r="L26" s="22">
        <v>74292.160000000003</v>
      </c>
      <c r="M26" s="21">
        <v>90565.38</v>
      </c>
      <c r="N26" s="22">
        <v>43473.96</v>
      </c>
      <c r="O26" s="1" t="s">
        <v>49</v>
      </c>
      <c r="P26" s="1" t="s">
        <v>13</v>
      </c>
      <c r="Q26" s="15">
        <v>45000</v>
      </c>
      <c r="R26" s="22">
        <f>Table1[[#This Row],[STAB]]-Table1[[#This Row],[AMOUNT]]</f>
        <v>-1526.0400000000009</v>
      </c>
      <c r="S26" s="1">
        <v>0</v>
      </c>
      <c r="T26" s="1" t="s">
        <v>79</v>
      </c>
      <c r="U26" s="1">
        <v>0</v>
      </c>
      <c r="V26" s="1" t="s">
        <v>267</v>
      </c>
      <c r="W26" s="1" t="s">
        <v>107</v>
      </c>
      <c r="X26" s="1" t="s">
        <v>200</v>
      </c>
      <c r="Y26" s="21" t="s">
        <v>2111</v>
      </c>
      <c r="Z26" s="21" t="s">
        <v>428</v>
      </c>
      <c r="AA26" s="21" t="s">
        <v>432</v>
      </c>
      <c r="AB26" s="21" t="s">
        <v>224</v>
      </c>
      <c r="AC26" s="21" t="s">
        <v>93</v>
      </c>
      <c r="AD26" s="21" t="s">
        <v>459</v>
      </c>
      <c r="AE26" s="21" t="s">
        <v>226</v>
      </c>
      <c r="AF26" s="21" t="s">
        <v>225</v>
      </c>
      <c r="AG26" s="21">
        <v>802388289</v>
      </c>
      <c r="AH26" s="21" t="s">
        <v>130</v>
      </c>
      <c r="AI26" s="21" t="s">
        <v>492</v>
      </c>
      <c r="AJ26" s="21"/>
      <c r="AK26" s="28" t="s">
        <v>447</v>
      </c>
      <c r="AL26" s="21" t="s">
        <v>458</v>
      </c>
      <c r="AM26" s="21" t="s">
        <v>674</v>
      </c>
      <c r="AN26" s="21" t="s">
        <v>671</v>
      </c>
      <c r="AO26" s="23">
        <v>45905</v>
      </c>
      <c r="AP26" s="21">
        <v>5550</v>
      </c>
      <c r="AQ26" s="21" t="s">
        <v>439</v>
      </c>
      <c r="AR26" s="21" t="s">
        <v>82</v>
      </c>
      <c r="AS26" s="21" t="s">
        <v>440</v>
      </c>
      <c r="AT26" s="24">
        <v>46318</v>
      </c>
    </row>
    <row r="27" spans="1:46" x14ac:dyDescent="0.25">
      <c r="A27" s="20" t="s">
        <v>415</v>
      </c>
      <c r="B27" s="21" t="s">
        <v>419</v>
      </c>
      <c r="C27" s="1" t="s">
        <v>47</v>
      </c>
      <c r="D27" s="21">
        <v>5</v>
      </c>
      <c r="E27" s="21" t="s">
        <v>423</v>
      </c>
      <c r="F27" s="21" t="s">
        <v>77</v>
      </c>
      <c r="G27" s="22">
        <f>Table1[[#This Row],[ENR]]-Table1[[#This Row],[CREDIT]]</f>
        <v>-3105.3999999999942</v>
      </c>
      <c r="H27" s="21">
        <v>140000</v>
      </c>
      <c r="I27" s="35">
        <v>136894.6</v>
      </c>
      <c r="J27" s="22">
        <v>109359.25</v>
      </c>
      <c r="K27" s="22">
        <v>27535.35</v>
      </c>
      <c r="L27" s="22">
        <v>23035.66</v>
      </c>
      <c r="M27" s="21">
        <v>19670</v>
      </c>
      <c r="N27" s="22">
        <v>8345.93</v>
      </c>
      <c r="O27" s="1" t="s">
        <v>49</v>
      </c>
      <c r="P27" s="1" t="s">
        <v>13</v>
      </c>
      <c r="Q27" s="15">
        <v>13000</v>
      </c>
      <c r="R27" s="22">
        <f>Table1[[#This Row],[STAB]]-Table1[[#This Row],[AMOUNT]]</f>
        <v>-4654.07</v>
      </c>
      <c r="S27" s="1" t="s">
        <v>2093</v>
      </c>
      <c r="T27" s="1" t="s">
        <v>446</v>
      </c>
      <c r="U27" s="1">
        <v>0</v>
      </c>
      <c r="V27" s="1" t="s">
        <v>267</v>
      </c>
      <c r="W27" s="1" t="s">
        <v>645</v>
      </c>
      <c r="X27" s="1" t="s">
        <v>646</v>
      </c>
      <c r="Y27" s="21" t="s">
        <v>2111</v>
      </c>
      <c r="Z27" s="21" t="s">
        <v>427</v>
      </c>
      <c r="AA27" s="21" t="s">
        <v>431</v>
      </c>
      <c r="AB27" s="21" t="s">
        <v>435</v>
      </c>
      <c r="AC27" s="21" t="s">
        <v>443</v>
      </c>
      <c r="AD27" s="21" t="s">
        <v>75</v>
      </c>
      <c r="AE27" s="21" t="s">
        <v>441</v>
      </c>
      <c r="AF27" s="21" t="s">
        <v>442</v>
      </c>
      <c r="AG27" s="21">
        <v>802789320</v>
      </c>
      <c r="AH27" s="21" t="s">
        <v>130</v>
      </c>
      <c r="AI27" s="21" t="s">
        <v>492</v>
      </c>
      <c r="AJ27" s="21"/>
      <c r="AK27" s="28" t="s">
        <v>447</v>
      </c>
      <c r="AL27" s="21" t="s">
        <v>454</v>
      </c>
      <c r="AM27" s="21" t="s">
        <v>1934</v>
      </c>
      <c r="AN27" s="21" t="s">
        <v>1927</v>
      </c>
      <c r="AO27" s="23">
        <v>46280</v>
      </c>
      <c r="AP27" s="21">
        <v>300</v>
      </c>
      <c r="AQ27" s="21" t="s">
        <v>438</v>
      </c>
      <c r="AR27" s="21" t="s">
        <v>89</v>
      </c>
      <c r="AS27" s="21" t="s">
        <v>440</v>
      </c>
      <c r="AT27" s="24">
        <v>46318</v>
      </c>
    </row>
    <row r="28" spans="1:46" x14ac:dyDescent="0.25">
      <c r="A28" s="20" t="s">
        <v>414</v>
      </c>
      <c r="B28" s="21" t="s">
        <v>418</v>
      </c>
      <c r="C28" s="1" t="s">
        <v>47</v>
      </c>
      <c r="D28" s="21">
        <v>5</v>
      </c>
      <c r="E28" s="21" t="s">
        <v>422</v>
      </c>
      <c r="F28" s="21" t="s">
        <v>77</v>
      </c>
      <c r="G28" s="22">
        <f>Table1[[#This Row],[ENR]]-Table1[[#This Row],[CREDIT]]</f>
        <v>-258354</v>
      </c>
      <c r="H28" s="21">
        <v>330000</v>
      </c>
      <c r="I28" s="35">
        <v>71646</v>
      </c>
      <c r="J28" s="22" t="s">
        <v>78</v>
      </c>
      <c r="K28" s="22">
        <v>71646</v>
      </c>
      <c r="L28" s="22">
        <v>66760.759999999995</v>
      </c>
      <c r="M28" s="21">
        <v>10550</v>
      </c>
      <c r="N28" s="22">
        <v>5280</v>
      </c>
      <c r="O28" s="1" t="s">
        <v>41</v>
      </c>
      <c r="P28" s="1" t="s">
        <v>42</v>
      </c>
      <c r="Q28" s="15">
        <v>0</v>
      </c>
      <c r="R28" s="22">
        <f>Table1[[#This Row],[STAB]]-Table1[[#This Row],[AMOUNT]]</f>
        <v>5280</v>
      </c>
      <c r="S28" s="1">
        <v>0</v>
      </c>
      <c r="T28" s="1" t="s">
        <v>79</v>
      </c>
      <c r="U28" s="1">
        <v>0</v>
      </c>
      <c r="V28" s="1" t="s">
        <v>267</v>
      </c>
      <c r="W28" s="1" t="s">
        <v>107</v>
      </c>
      <c r="X28" s="1" t="s">
        <v>200</v>
      </c>
      <c r="Y28" s="21" t="s">
        <v>2111</v>
      </c>
      <c r="Z28" s="21" t="s">
        <v>426</v>
      </c>
      <c r="AA28" s="21" t="s">
        <v>430</v>
      </c>
      <c r="AB28" s="21" t="s">
        <v>434</v>
      </c>
      <c r="AC28" s="21" t="s">
        <v>93</v>
      </c>
      <c r="AD28" s="21" t="s">
        <v>460</v>
      </c>
      <c r="AE28" s="21" t="s">
        <v>444</v>
      </c>
      <c r="AF28" s="21" t="s">
        <v>181</v>
      </c>
      <c r="AG28" s="21">
        <v>802823180</v>
      </c>
      <c r="AH28" s="21" t="s">
        <v>132</v>
      </c>
      <c r="AI28" s="21" t="s">
        <v>492</v>
      </c>
      <c r="AJ28" s="21"/>
      <c r="AK28" s="28" t="s">
        <v>447</v>
      </c>
      <c r="AL28" s="21" t="s">
        <v>458</v>
      </c>
      <c r="AM28" s="21" t="s">
        <v>1932</v>
      </c>
      <c r="AN28" s="21" t="s">
        <v>1927</v>
      </c>
      <c r="AO28" s="23">
        <v>46296</v>
      </c>
      <c r="AP28" s="21">
        <v>14000</v>
      </c>
      <c r="AQ28" s="21" t="s">
        <v>437</v>
      </c>
      <c r="AR28" s="21" t="s">
        <v>89</v>
      </c>
      <c r="AS28" s="21" t="s">
        <v>440</v>
      </c>
      <c r="AT28" s="24">
        <v>46318</v>
      </c>
    </row>
    <row r="29" spans="1:46" x14ac:dyDescent="0.25">
      <c r="A29" s="54" t="s">
        <v>413</v>
      </c>
      <c r="B29" s="28" t="s">
        <v>417</v>
      </c>
      <c r="C29" s="1" t="s">
        <v>47</v>
      </c>
      <c r="D29" s="28">
        <v>5</v>
      </c>
      <c r="E29" s="28" t="s">
        <v>421</v>
      </c>
      <c r="F29" s="28" t="s">
        <v>77</v>
      </c>
      <c r="G29" s="55">
        <f>Table1[[#This Row],[ENR]]-Table1[[#This Row],[CREDIT]]</f>
        <v>-124584.35</v>
      </c>
      <c r="H29" s="28">
        <v>160000</v>
      </c>
      <c r="I29" s="56">
        <v>35415.65</v>
      </c>
      <c r="J29" s="55">
        <v>27632.06</v>
      </c>
      <c r="K29" s="55">
        <v>7783.59</v>
      </c>
      <c r="L29" s="55">
        <v>5653.63</v>
      </c>
      <c r="M29" s="28">
        <v>7783.59</v>
      </c>
      <c r="N29" s="55">
        <v>3394.93</v>
      </c>
      <c r="O29" s="1" t="s">
        <v>49</v>
      </c>
      <c r="P29" s="1" t="s">
        <v>12</v>
      </c>
      <c r="Q29" s="15">
        <v>7783.59</v>
      </c>
      <c r="R29" s="55">
        <f>Table1[[#This Row],[STAB]]-Table1[[#This Row],[AMOUNT]]</f>
        <v>-4388.66</v>
      </c>
      <c r="S29" s="1" t="s">
        <v>684</v>
      </c>
      <c r="T29" s="1" t="s">
        <v>446</v>
      </c>
      <c r="U29" s="1">
        <v>0</v>
      </c>
      <c r="V29" s="1" t="s">
        <v>267</v>
      </c>
      <c r="W29" s="1" t="s">
        <v>645</v>
      </c>
      <c r="X29" s="1" t="s">
        <v>646</v>
      </c>
      <c r="Y29" s="21" t="s">
        <v>2111</v>
      </c>
      <c r="Z29" s="28" t="s">
        <v>425</v>
      </c>
      <c r="AA29" s="28" t="s">
        <v>429</v>
      </c>
      <c r="AB29" s="28" t="s">
        <v>433</v>
      </c>
      <c r="AC29" s="28" t="s">
        <v>443</v>
      </c>
      <c r="AD29" s="28" t="s">
        <v>75</v>
      </c>
      <c r="AE29" s="28" t="s">
        <v>441</v>
      </c>
      <c r="AF29" s="21" t="s">
        <v>442</v>
      </c>
      <c r="AG29" s="28">
        <v>802789320</v>
      </c>
      <c r="AH29" s="28" t="s">
        <v>130</v>
      </c>
      <c r="AI29" s="21" t="s">
        <v>492</v>
      </c>
      <c r="AJ29" s="28"/>
      <c r="AK29" s="28" t="s">
        <v>447</v>
      </c>
      <c r="AL29" s="28"/>
      <c r="AM29" s="28"/>
      <c r="AN29" s="28"/>
      <c r="AO29" s="57">
        <v>45625</v>
      </c>
      <c r="AP29" s="28">
        <v>17345.87</v>
      </c>
      <c r="AQ29" s="28" t="s">
        <v>436</v>
      </c>
      <c r="AR29" s="28" t="s">
        <v>177</v>
      </c>
      <c r="AS29" s="21" t="s">
        <v>440</v>
      </c>
      <c r="AT29" s="58">
        <v>46318</v>
      </c>
    </row>
    <row r="30" spans="1:46" x14ac:dyDescent="0.25">
      <c r="A30" s="20" t="s">
        <v>468</v>
      </c>
      <c r="B30" s="21" t="s">
        <v>471</v>
      </c>
      <c r="C30" s="1" t="s">
        <v>83</v>
      </c>
      <c r="D30" s="21">
        <v>7</v>
      </c>
      <c r="E30" s="21" t="s">
        <v>474</v>
      </c>
      <c r="F30" s="21" t="s">
        <v>77</v>
      </c>
      <c r="G30" s="22">
        <f>Table1[[#This Row],[ENR]]-Table1[[#This Row],[CREDIT]]</f>
        <v>1953.8499999999985</v>
      </c>
      <c r="H30" s="21">
        <v>37000</v>
      </c>
      <c r="I30" s="35">
        <v>38953.85</v>
      </c>
      <c r="J30" s="22" t="s">
        <v>78</v>
      </c>
      <c r="K30" s="22">
        <v>38953.85</v>
      </c>
      <c r="L30" s="22">
        <v>31822.71</v>
      </c>
      <c r="M30" s="21">
        <v>12810</v>
      </c>
      <c r="N30" s="22">
        <v>3591.06</v>
      </c>
      <c r="O30" s="1" t="s">
        <v>49</v>
      </c>
      <c r="P30" s="1" t="s">
        <v>13</v>
      </c>
      <c r="Q30" s="15">
        <v>4000</v>
      </c>
      <c r="R30" s="22">
        <f>Table1[[#This Row],[STAB]]-Table1[[#This Row],[AMOUNT]]</f>
        <v>-408.94000000000005</v>
      </c>
      <c r="S30" s="1" t="s">
        <v>2115</v>
      </c>
      <c r="T30" s="1" t="s">
        <v>446</v>
      </c>
      <c r="U30" s="1">
        <v>0</v>
      </c>
      <c r="V30" s="1" t="s">
        <v>267</v>
      </c>
      <c r="W30" s="1" t="s">
        <v>265</v>
      </c>
      <c r="X30" s="1" t="s">
        <v>269</v>
      </c>
      <c r="Y30" s="21" t="s">
        <v>2111</v>
      </c>
      <c r="Z30" s="21" t="s">
        <v>477</v>
      </c>
      <c r="AA30" s="21" t="s">
        <v>480</v>
      </c>
      <c r="AB30" s="21" t="s">
        <v>149</v>
      </c>
      <c r="AC30" s="21" t="s">
        <v>91</v>
      </c>
      <c r="AD30" s="1" t="s">
        <v>2080</v>
      </c>
      <c r="AE30" s="59" t="s">
        <v>2081</v>
      </c>
      <c r="AF30" s="21" t="s">
        <v>274</v>
      </c>
      <c r="AG30" s="21">
        <v>801354813</v>
      </c>
      <c r="AH30" s="21" t="s">
        <v>132</v>
      </c>
      <c r="AI30" s="21" t="s">
        <v>492</v>
      </c>
      <c r="AJ30" s="21"/>
      <c r="AK30" s="28" t="s">
        <v>447</v>
      </c>
      <c r="AL30" s="21" t="s">
        <v>456</v>
      </c>
      <c r="AM30" s="21" t="s">
        <v>495</v>
      </c>
      <c r="AN30" s="21" t="s">
        <v>493</v>
      </c>
      <c r="AO30" s="23">
        <v>46287</v>
      </c>
      <c r="AP30" s="21">
        <v>2328.94</v>
      </c>
      <c r="AQ30" s="21" t="s">
        <v>483</v>
      </c>
      <c r="AR30" s="21" t="s">
        <v>486</v>
      </c>
      <c r="AS30" s="21" t="s">
        <v>487</v>
      </c>
      <c r="AT30" s="24">
        <v>46320</v>
      </c>
    </row>
    <row r="31" spans="1:46" x14ac:dyDescent="0.25">
      <c r="A31" s="20" t="s">
        <v>470</v>
      </c>
      <c r="B31" s="21" t="s">
        <v>473</v>
      </c>
      <c r="C31" s="1" t="s">
        <v>47</v>
      </c>
      <c r="D31" s="21">
        <v>8</v>
      </c>
      <c r="E31" s="21" t="s">
        <v>476</v>
      </c>
      <c r="F31" s="21" t="s">
        <v>77</v>
      </c>
      <c r="G31" s="22">
        <f>Table1[[#This Row],[ENR]]-Table1[[#This Row],[CREDIT]]</f>
        <v>399917.99</v>
      </c>
      <c r="H31" s="21">
        <v>280000</v>
      </c>
      <c r="I31" s="35">
        <v>679917.99</v>
      </c>
      <c r="J31" s="22">
        <v>431734.7</v>
      </c>
      <c r="K31" s="22">
        <v>248183.29</v>
      </c>
      <c r="L31" s="22">
        <v>220820.11</v>
      </c>
      <c r="M31" s="21">
        <v>88120</v>
      </c>
      <c r="N31" s="22">
        <v>40750</v>
      </c>
      <c r="O31" s="1" t="s">
        <v>41</v>
      </c>
      <c r="P31" s="1" t="s">
        <v>42</v>
      </c>
      <c r="Q31" s="15">
        <v>0</v>
      </c>
      <c r="R31" s="22">
        <f>Table1[[#This Row],[STAB]]-Table1[[#This Row],[AMOUNT]]</f>
        <v>40750</v>
      </c>
      <c r="S31" s="1">
        <v>0</v>
      </c>
      <c r="T31" s="1" t="s">
        <v>79</v>
      </c>
      <c r="U31" s="1">
        <v>0</v>
      </c>
      <c r="V31" s="1" t="s">
        <v>267</v>
      </c>
      <c r="W31" s="1" t="s">
        <v>107</v>
      </c>
      <c r="X31" s="1" t="s">
        <v>200</v>
      </c>
      <c r="Y31" s="21" t="s">
        <v>2111</v>
      </c>
      <c r="Z31" s="21" t="s">
        <v>479</v>
      </c>
      <c r="AA31" s="21" t="s">
        <v>482</v>
      </c>
      <c r="AB31" s="21" t="s">
        <v>434</v>
      </c>
      <c r="AC31" s="21" t="s">
        <v>93</v>
      </c>
      <c r="AD31" s="21" t="s">
        <v>460</v>
      </c>
      <c r="AE31" s="21" t="s">
        <v>444</v>
      </c>
      <c r="AF31" s="21" t="s">
        <v>181</v>
      </c>
      <c r="AG31" s="21">
        <v>802823180</v>
      </c>
      <c r="AH31" s="21" t="s">
        <v>132</v>
      </c>
      <c r="AI31" s="21" t="s">
        <v>492</v>
      </c>
      <c r="AJ31" s="21"/>
      <c r="AK31" s="28" t="s">
        <v>447</v>
      </c>
      <c r="AL31" s="21" t="s">
        <v>463</v>
      </c>
      <c r="AM31" s="21" t="s">
        <v>2090</v>
      </c>
      <c r="AN31" s="21" t="s">
        <v>2084</v>
      </c>
      <c r="AO31" s="23">
        <v>45622</v>
      </c>
      <c r="AP31" s="21">
        <v>55500</v>
      </c>
      <c r="AQ31" s="21" t="s">
        <v>485</v>
      </c>
      <c r="AR31" s="21" t="s">
        <v>82</v>
      </c>
      <c r="AS31" s="21" t="s">
        <v>487</v>
      </c>
      <c r="AT31" s="24">
        <v>46321</v>
      </c>
    </row>
    <row r="32" spans="1:46" x14ac:dyDescent="0.25">
      <c r="A32" s="54" t="s">
        <v>469</v>
      </c>
      <c r="B32" s="28" t="s">
        <v>472</v>
      </c>
      <c r="C32" s="1" t="s">
        <v>47</v>
      </c>
      <c r="D32" s="28">
        <v>8</v>
      </c>
      <c r="E32" s="28" t="s">
        <v>475</v>
      </c>
      <c r="F32" s="28" t="s">
        <v>77</v>
      </c>
      <c r="G32" s="55">
        <f>Table1[[#This Row],[ENR]]-Table1[[#This Row],[CREDIT]]</f>
        <v>4102.2599999999948</v>
      </c>
      <c r="H32" s="28">
        <v>90000</v>
      </c>
      <c r="I32" s="56">
        <v>94102.26</v>
      </c>
      <c r="J32" s="55" t="s">
        <v>78</v>
      </c>
      <c r="K32" s="55">
        <v>94102.26</v>
      </c>
      <c r="L32" s="55">
        <v>89009.67</v>
      </c>
      <c r="M32" s="28">
        <v>15570</v>
      </c>
      <c r="N32" s="55">
        <v>5250</v>
      </c>
      <c r="O32" s="1" t="s">
        <v>41</v>
      </c>
      <c r="P32" s="1" t="s">
        <v>42</v>
      </c>
      <c r="Q32" s="15">
        <v>0</v>
      </c>
      <c r="R32" s="55">
        <f>Table1[[#This Row],[STAB]]-Table1[[#This Row],[AMOUNT]]</f>
        <v>5250</v>
      </c>
      <c r="S32" s="1">
        <v>0</v>
      </c>
      <c r="T32" s="1" t="s">
        <v>79</v>
      </c>
      <c r="U32" s="1">
        <v>0</v>
      </c>
      <c r="V32" s="1" t="s">
        <v>267</v>
      </c>
      <c r="W32" s="1" t="s">
        <v>266</v>
      </c>
      <c r="X32" s="1" t="s">
        <v>268</v>
      </c>
      <c r="Y32" s="21" t="s">
        <v>2111</v>
      </c>
      <c r="Z32" s="28" t="s">
        <v>478</v>
      </c>
      <c r="AA32" s="28" t="s">
        <v>481</v>
      </c>
      <c r="AB32" s="28" t="s">
        <v>176</v>
      </c>
      <c r="AC32" s="28" t="s">
        <v>91</v>
      </c>
      <c r="AD32" s="21" t="s">
        <v>179</v>
      </c>
      <c r="AE32" s="21" t="s">
        <v>1182</v>
      </c>
      <c r="AF32" s="21" t="s">
        <v>261</v>
      </c>
      <c r="AG32" s="28">
        <v>803037151</v>
      </c>
      <c r="AH32" s="28" t="s">
        <v>131</v>
      </c>
      <c r="AI32" s="21" t="s">
        <v>492</v>
      </c>
      <c r="AJ32" s="28"/>
      <c r="AK32" s="28" t="s">
        <v>43</v>
      </c>
      <c r="AL32" s="28"/>
      <c r="AM32" s="28"/>
      <c r="AN32" s="28"/>
      <c r="AO32" s="57">
        <v>46291</v>
      </c>
      <c r="AP32" s="28">
        <v>13800</v>
      </c>
      <c r="AQ32" s="28" t="s">
        <v>484</v>
      </c>
      <c r="AR32" s="28" t="s">
        <v>106</v>
      </c>
      <c r="AS32" s="21" t="s">
        <v>487</v>
      </c>
      <c r="AT32" s="58">
        <v>46321</v>
      </c>
    </row>
    <row r="33" spans="1:46" x14ac:dyDescent="0.25">
      <c r="A33" s="20" t="s">
        <v>501</v>
      </c>
      <c r="B33" s="21" t="s">
        <v>511</v>
      </c>
      <c r="C33" s="1" t="s">
        <v>47</v>
      </c>
      <c r="D33" s="21">
        <v>11</v>
      </c>
      <c r="E33" s="21" t="s">
        <v>521</v>
      </c>
      <c r="F33" s="21" t="s">
        <v>77</v>
      </c>
      <c r="G33" s="22">
        <f>Table1[[#This Row],[ENR]]-Table1[[#This Row],[CREDIT]]</f>
        <v>104697.39000000001</v>
      </c>
      <c r="H33" s="21">
        <v>787000</v>
      </c>
      <c r="I33" s="35">
        <v>891697.39</v>
      </c>
      <c r="J33" s="22">
        <v>634673.29</v>
      </c>
      <c r="K33" s="22">
        <v>257024.1</v>
      </c>
      <c r="L33" s="22">
        <v>237104.76</v>
      </c>
      <c r="M33" s="21">
        <v>112100</v>
      </c>
      <c r="N33" s="22">
        <v>55000</v>
      </c>
      <c r="O33" s="1" t="s">
        <v>49</v>
      </c>
      <c r="P33" s="1" t="s">
        <v>12</v>
      </c>
      <c r="Q33" s="15">
        <v>280767.39</v>
      </c>
      <c r="R33" s="22">
        <f>Table1[[#This Row],[STAB]]-Table1[[#This Row],[AMOUNT]]</f>
        <v>-225767.39</v>
      </c>
      <c r="S33" s="1" t="s">
        <v>1178</v>
      </c>
      <c r="T33" s="1" t="s">
        <v>673</v>
      </c>
      <c r="U33" s="1">
        <v>0</v>
      </c>
      <c r="V33" s="1" t="s">
        <v>267</v>
      </c>
      <c r="W33" s="1" t="s">
        <v>645</v>
      </c>
      <c r="X33" s="1" t="s">
        <v>646</v>
      </c>
      <c r="Y33" s="21" t="s">
        <v>2111</v>
      </c>
      <c r="Z33" s="21" t="s">
        <v>532</v>
      </c>
      <c r="AA33" s="21" t="s">
        <v>542</v>
      </c>
      <c r="AB33" s="21" t="s">
        <v>433</v>
      </c>
      <c r="AC33" s="21" t="s">
        <v>443</v>
      </c>
      <c r="AD33" s="21" t="s">
        <v>75</v>
      </c>
      <c r="AE33" s="21" t="s">
        <v>441</v>
      </c>
      <c r="AF33" s="21" t="s">
        <v>442</v>
      </c>
      <c r="AG33" s="28">
        <v>802789320</v>
      </c>
      <c r="AH33" s="28" t="s">
        <v>130</v>
      </c>
      <c r="AI33" s="21" t="s">
        <v>492</v>
      </c>
      <c r="AJ33" s="21"/>
      <c r="AK33" s="28" t="s">
        <v>447</v>
      </c>
      <c r="AL33" s="21" t="s">
        <v>458</v>
      </c>
      <c r="AM33" s="21" t="s">
        <v>670</v>
      </c>
      <c r="AN33" s="21" t="s">
        <v>669</v>
      </c>
      <c r="AO33" s="23">
        <v>46145</v>
      </c>
      <c r="AP33" s="21">
        <v>100000</v>
      </c>
      <c r="AQ33" s="21" t="s">
        <v>554</v>
      </c>
      <c r="AR33" s="21" t="s">
        <v>560</v>
      </c>
      <c r="AS33" s="21" t="s">
        <v>562</v>
      </c>
      <c r="AT33" s="24"/>
    </row>
    <row r="34" spans="1:46" x14ac:dyDescent="0.25">
      <c r="A34" s="20" t="s">
        <v>499</v>
      </c>
      <c r="B34" s="21" t="s">
        <v>509</v>
      </c>
      <c r="C34" s="1" t="s">
        <v>47</v>
      </c>
      <c r="D34" s="21">
        <v>11</v>
      </c>
      <c r="E34" s="21" t="s">
        <v>519</v>
      </c>
      <c r="F34" s="21" t="s">
        <v>77</v>
      </c>
      <c r="G34" s="22">
        <f>Table1[[#This Row],[ENR]]-Table1[[#This Row],[CREDIT]]</f>
        <v>436649.32999999996</v>
      </c>
      <c r="H34" s="21">
        <v>260000</v>
      </c>
      <c r="I34" s="35">
        <v>696649.33</v>
      </c>
      <c r="J34" s="22">
        <v>582662.86</v>
      </c>
      <c r="K34" s="22">
        <v>113986.47</v>
      </c>
      <c r="L34" s="22">
        <v>103732.34</v>
      </c>
      <c r="M34" s="21">
        <v>96720</v>
      </c>
      <c r="N34" s="22">
        <v>48460</v>
      </c>
      <c r="O34" s="1" t="s">
        <v>41</v>
      </c>
      <c r="P34" s="1" t="s">
        <v>42</v>
      </c>
      <c r="Q34" s="15">
        <v>0</v>
      </c>
      <c r="R34" s="22">
        <f>Table1[[#This Row],[STAB]]-Table1[[#This Row],[AMOUNT]]</f>
        <v>48460</v>
      </c>
      <c r="S34" s="1">
        <v>0</v>
      </c>
      <c r="T34" s="1" t="s">
        <v>79</v>
      </c>
      <c r="U34" s="1">
        <v>0</v>
      </c>
      <c r="V34" s="1" t="s">
        <v>267</v>
      </c>
      <c r="W34" s="1" t="s">
        <v>107</v>
      </c>
      <c r="X34" s="1" t="s">
        <v>200</v>
      </c>
      <c r="Y34" s="21" t="s">
        <v>2111</v>
      </c>
      <c r="Z34" s="21" t="s">
        <v>530</v>
      </c>
      <c r="AA34" s="21" t="s">
        <v>540</v>
      </c>
      <c r="AB34" s="21" t="s">
        <v>224</v>
      </c>
      <c r="AC34" s="21" t="s">
        <v>93</v>
      </c>
      <c r="AD34" s="21" t="s">
        <v>459</v>
      </c>
      <c r="AE34" s="21" t="s">
        <v>226</v>
      </c>
      <c r="AF34" s="21" t="s">
        <v>225</v>
      </c>
      <c r="AG34" s="21">
        <v>802388289</v>
      </c>
      <c r="AH34" s="21" t="s">
        <v>130</v>
      </c>
      <c r="AI34" s="21" t="s">
        <v>492</v>
      </c>
      <c r="AJ34" s="21"/>
      <c r="AK34" s="28" t="s">
        <v>447</v>
      </c>
      <c r="AL34" s="21" t="s">
        <v>458</v>
      </c>
      <c r="AM34" s="21" t="s">
        <v>682</v>
      </c>
      <c r="AN34" s="21" t="s">
        <v>680</v>
      </c>
      <c r="AO34" s="23">
        <v>45654</v>
      </c>
      <c r="AP34" s="21">
        <v>20768</v>
      </c>
      <c r="AQ34" s="21" t="s">
        <v>552</v>
      </c>
      <c r="AR34" s="21" t="s">
        <v>81</v>
      </c>
      <c r="AS34" s="21" t="s">
        <v>562</v>
      </c>
      <c r="AT34" s="24"/>
    </row>
    <row r="35" spans="1:46" x14ac:dyDescent="0.25">
      <c r="A35" s="20" t="s">
        <v>502</v>
      </c>
      <c r="B35" s="21" t="s">
        <v>512</v>
      </c>
      <c r="C35" s="1" t="s">
        <v>47</v>
      </c>
      <c r="D35" s="21">
        <v>11</v>
      </c>
      <c r="E35" s="21" t="s">
        <v>522</v>
      </c>
      <c r="F35" s="21" t="s">
        <v>77</v>
      </c>
      <c r="G35" s="22">
        <f>Table1[[#This Row],[ENR]]-Table1[[#This Row],[CREDIT]]</f>
        <v>-12329.969999999972</v>
      </c>
      <c r="H35" s="21">
        <v>280000</v>
      </c>
      <c r="I35" s="35">
        <v>267670.03000000003</v>
      </c>
      <c r="J35" s="22">
        <v>238247.63</v>
      </c>
      <c r="K35" s="22">
        <v>29422.400000000001</v>
      </c>
      <c r="L35" s="22">
        <v>19471.689999999999</v>
      </c>
      <c r="M35" s="21">
        <v>29422.400000000001</v>
      </c>
      <c r="N35" s="22">
        <v>6671.79</v>
      </c>
      <c r="O35" s="1" t="s">
        <v>41</v>
      </c>
      <c r="P35" s="1" t="s">
        <v>42</v>
      </c>
      <c r="Q35" s="15">
        <v>0</v>
      </c>
      <c r="R35" s="22">
        <f>Table1[[#This Row],[STAB]]-Table1[[#This Row],[AMOUNT]]</f>
        <v>6671.79</v>
      </c>
      <c r="S35" s="1">
        <v>0</v>
      </c>
      <c r="T35" s="1" t="s">
        <v>79</v>
      </c>
      <c r="U35" s="1">
        <v>0</v>
      </c>
      <c r="V35" s="1" t="s">
        <v>267</v>
      </c>
      <c r="W35" s="1" t="s">
        <v>107</v>
      </c>
      <c r="X35" s="1" t="s">
        <v>200</v>
      </c>
      <c r="Y35" s="21" t="s">
        <v>2111</v>
      </c>
      <c r="Z35" s="21" t="s">
        <v>533</v>
      </c>
      <c r="AA35" s="21" t="s">
        <v>543</v>
      </c>
      <c r="AB35" s="21" t="s">
        <v>224</v>
      </c>
      <c r="AC35" s="21" t="s">
        <v>93</v>
      </c>
      <c r="AD35" s="21" t="s">
        <v>459</v>
      </c>
      <c r="AE35" s="21" t="s">
        <v>226</v>
      </c>
      <c r="AF35" s="21" t="s">
        <v>225</v>
      </c>
      <c r="AG35" s="21">
        <v>802388289</v>
      </c>
      <c r="AH35" s="21" t="s">
        <v>130</v>
      </c>
      <c r="AI35" s="21" t="s">
        <v>492</v>
      </c>
      <c r="AJ35" s="21"/>
      <c r="AK35" s="28" t="s">
        <v>43</v>
      </c>
      <c r="AL35" s="21"/>
      <c r="AM35" s="21"/>
      <c r="AN35" s="21"/>
      <c r="AO35" s="23">
        <v>46303</v>
      </c>
      <c r="AP35" s="21">
        <v>20100</v>
      </c>
      <c r="AQ35" s="21" t="s">
        <v>555</v>
      </c>
      <c r="AR35" s="21" t="s">
        <v>112</v>
      </c>
      <c r="AS35" s="21" t="s">
        <v>562</v>
      </c>
      <c r="AT35" s="24"/>
    </row>
    <row r="36" spans="1:46" x14ac:dyDescent="0.25">
      <c r="A36" s="20" t="s">
        <v>497</v>
      </c>
      <c r="B36" s="21" t="s">
        <v>507</v>
      </c>
      <c r="C36" s="1" t="s">
        <v>47</v>
      </c>
      <c r="D36" s="21">
        <v>11</v>
      </c>
      <c r="E36" s="21" t="s">
        <v>517</v>
      </c>
      <c r="F36" s="21" t="s">
        <v>77</v>
      </c>
      <c r="G36" s="22">
        <f>Table1[[#This Row],[ENR]]-Table1[[#This Row],[CREDIT]]</f>
        <v>9597.6499999999942</v>
      </c>
      <c r="H36" s="21">
        <v>200000</v>
      </c>
      <c r="I36" s="35">
        <v>209597.65</v>
      </c>
      <c r="J36" s="22" t="s">
        <v>78</v>
      </c>
      <c r="K36" s="22">
        <v>209597.65</v>
      </c>
      <c r="L36" s="22">
        <v>198638.38</v>
      </c>
      <c r="M36" s="21">
        <v>51420</v>
      </c>
      <c r="N36" s="22">
        <v>30570</v>
      </c>
      <c r="O36" s="1" t="s">
        <v>41</v>
      </c>
      <c r="P36" s="1" t="s">
        <v>42</v>
      </c>
      <c r="Q36" s="15">
        <v>0</v>
      </c>
      <c r="R36" s="22">
        <f>Table1[[#This Row],[STAB]]-Table1[[#This Row],[AMOUNT]]</f>
        <v>30570</v>
      </c>
      <c r="S36" s="1">
        <v>0</v>
      </c>
      <c r="T36" s="1" t="s">
        <v>79</v>
      </c>
      <c r="U36" s="1">
        <v>0</v>
      </c>
      <c r="V36" s="1" t="s">
        <v>267</v>
      </c>
      <c r="W36" s="1" t="s">
        <v>266</v>
      </c>
      <c r="X36" s="1" t="s">
        <v>268</v>
      </c>
      <c r="Y36" s="21" t="s">
        <v>2111</v>
      </c>
      <c r="Z36" s="21" t="s">
        <v>528</v>
      </c>
      <c r="AA36" s="21" t="s">
        <v>538</v>
      </c>
      <c r="AB36" s="21" t="s">
        <v>176</v>
      </c>
      <c r="AC36" s="21" t="s">
        <v>91</v>
      </c>
      <c r="AD36" s="21" t="s">
        <v>179</v>
      </c>
      <c r="AE36" s="21" t="s">
        <v>1182</v>
      </c>
      <c r="AF36" s="21" t="s">
        <v>261</v>
      </c>
      <c r="AG36" s="21">
        <v>803037151</v>
      </c>
      <c r="AH36" s="21" t="s">
        <v>131</v>
      </c>
      <c r="AI36" s="21" t="s">
        <v>492</v>
      </c>
      <c r="AJ36" s="21"/>
      <c r="AK36" s="28" t="s">
        <v>447</v>
      </c>
      <c r="AL36" s="21" t="s">
        <v>458</v>
      </c>
      <c r="AM36" s="21" t="s">
        <v>675</v>
      </c>
      <c r="AN36" s="21" t="s">
        <v>671</v>
      </c>
      <c r="AO36" s="23">
        <v>46295</v>
      </c>
      <c r="AP36" s="21">
        <v>20210</v>
      </c>
      <c r="AQ36" s="21" t="s">
        <v>550</v>
      </c>
      <c r="AR36" s="21" t="s">
        <v>82</v>
      </c>
      <c r="AS36" s="21" t="s">
        <v>562</v>
      </c>
      <c r="AT36" s="24"/>
    </row>
    <row r="37" spans="1:46" x14ac:dyDescent="0.25">
      <c r="A37" s="20" t="s">
        <v>506</v>
      </c>
      <c r="B37" s="21" t="s">
        <v>516</v>
      </c>
      <c r="C37" s="1" t="s">
        <v>47</v>
      </c>
      <c r="D37" s="21">
        <v>11</v>
      </c>
      <c r="E37" s="21" t="s">
        <v>526</v>
      </c>
      <c r="F37" s="21" t="s">
        <v>77</v>
      </c>
      <c r="G37" s="22">
        <f>Table1[[#This Row],[ENR]]-Table1[[#This Row],[CREDIT]]</f>
        <v>7269.359999999986</v>
      </c>
      <c r="H37" s="21">
        <v>200000</v>
      </c>
      <c r="I37" s="35">
        <v>207269.36</v>
      </c>
      <c r="J37" s="22">
        <v>169671.67</v>
      </c>
      <c r="K37" s="22">
        <v>37597.69</v>
      </c>
      <c r="L37" s="22">
        <v>30496.65</v>
      </c>
      <c r="M37" s="21">
        <v>20630</v>
      </c>
      <c r="N37" s="22">
        <v>5210</v>
      </c>
      <c r="O37" s="1" t="s">
        <v>41</v>
      </c>
      <c r="P37" s="1" t="s">
        <v>42</v>
      </c>
      <c r="Q37" s="15">
        <v>0</v>
      </c>
      <c r="R37" s="22">
        <f>Table1[[#This Row],[STAB]]-Table1[[#This Row],[AMOUNT]]</f>
        <v>5210</v>
      </c>
      <c r="S37" s="1">
        <v>0</v>
      </c>
      <c r="T37" s="1" t="s">
        <v>79</v>
      </c>
      <c r="U37" s="1">
        <v>0</v>
      </c>
      <c r="V37" s="1" t="s">
        <v>267</v>
      </c>
      <c r="W37" s="1" t="s">
        <v>107</v>
      </c>
      <c r="X37" s="1" t="s">
        <v>200</v>
      </c>
      <c r="Y37" s="21" t="s">
        <v>2111</v>
      </c>
      <c r="Z37" s="21" t="s">
        <v>537</v>
      </c>
      <c r="AA37" s="21" t="s">
        <v>547</v>
      </c>
      <c r="AB37" s="21" t="s">
        <v>138</v>
      </c>
      <c r="AC37" s="21" t="s">
        <v>93</v>
      </c>
      <c r="AD37" s="21" t="s">
        <v>139</v>
      </c>
      <c r="AE37" s="21" t="s">
        <v>202</v>
      </c>
      <c r="AF37" s="21" t="s">
        <v>490</v>
      </c>
      <c r="AG37" s="21">
        <v>802823528</v>
      </c>
      <c r="AH37" s="21" t="s">
        <v>488</v>
      </c>
      <c r="AI37" s="21" t="s">
        <v>492</v>
      </c>
      <c r="AJ37" s="21"/>
      <c r="AK37" s="28" t="s">
        <v>447</v>
      </c>
      <c r="AL37" s="21" t="s">
        <v>456</v>
      </c>
      <c r="AM37" s="21" t="s">
        <v>1175</v>
      </c>
      <c r="AN37" s="21" t="s">
        <v>1176</v>
      </c>
      <c r="AO37" s="23" t="s">
        <v>78</v>
      </c>
      <c r="AP37" s="21">
        <v>0</v>
      </c>
      <c r="AQ37" s="21" t="s">
        <v>559</v>
      </c>
      <c r="AR37" s="21" t="s">
        <v>81</v>
      </c>
      <c r="AS37" s="21" t="s">
        <v>562</v>
      </c>
      <c r="AT37" s="24"/>
    </row>
    <row r="38" spans="1:46" x14ac:dyDescent="0.25">
      <c r="A38" s="20" t="s">
        <v>504</v>
      </c>
      <c r="B38" s="21" t="s">
        <v>514</v>
      </c>
      <c r="C38" s="1" t="s">
        <v>47</v>
      </c>
      <c r="D38" s="21">
        <v>11</v>
      </c>
      <c r="E38" s="21" t="s">
        <v>524</v>
      </c>
      <c r="F38" s="21" t="s">
        <v>77</v>
      </c>
      <c r="G38" s="22">
        <f>Table1[[#This Row],[ENR]]-Table1[[#This Row],[CREDIT]]</f>
        <v>11985.48000000001</v>
      </c>
      <c r="H38" s="21">
        <v>160000</v>
      </c>
      <c r="I38" s="35">
        <v>171985.48</v>
      </c>
      <c r="J38" s="22">
        <v>132415.24</v>
      </c>
      <c r="K38" s="22">
        <v>39570.239999999998</v>
      </c>
      <c r="L38" s="22">
        <v>27207.02</v>
      </c>
      <c r="M38" s="21">
        <v>36870</v>
      </c>
      <c r="N38" s="22">
        <v>19840</v>
      </c>
      <c r="O38" s="1" t="s">
        <v>49</v>
      </c>
      <c r="P38" s="1" t="s">
        <v>12</v>
      </c>
      <c r="Q38" s="15">
        <v>39570.239999999998</v>
      </c>
      <c r="R38" s="22">
        <f>Table1[[#This Row],[STAB]]-Table1[[#This Row],[AMOUNT]]</f>
        <v>-19730.239999999998</v>
      </c>
      <c r="S38" s="1" t="s">
        <v>680</v>
      </c>
      <c r="T38" s="1" t="s">
        <v>673</v>
      </c>
      <c r="U38" s="1">
        <v>0</v>
      </c>
      <c r="V38" s="1" t="s">
        <v>267</v>
      </c>
      <c r="W38" s="1" t="s">
        <v>265</v>
      </c>
      <c r="X38" s="1" t="s">
        <v>269</v>
      </c>
      <c r="Y38" s="21" t="s">
        <v>2111</v>
      </c>
      <c r="Z38" s="21" t="s">
        <v>535</v>
      </c>
      <c r="AA38" s="21" t="s">
        <v>545</v>
      </c>
      <c r="AB38" s="21" t="s">
        <v>80</v>
      </c>
      <c r="AC38" s="21" t="s">
        <v>91</v>
      </c>
      <c r="AD38" s="21" t="s">
        <v>111</v>
      </c>
      <c r="AE38" s="21" t="s">
        <v>565</v>
      </c>
      <c r="AF38" s="21" t="s">
        <v>563</v>
      </c>
      <c r="AG38" s="21">
        <v>802794852</v>
      </c>
      <c r="AH38" s="21" t="s">
        <v>130</v>
      </c>
      <c r="AI38" s="21" t="s">
        <v>492</v>
      </c>
      <c r="AJ38" s="21"/>
      <c r="AK38" s="28" t="s">
        <v>447</v>
      </c>
      <c r="AL38" s="21" t="s">
        <v>458</v>
      </c>
      <c r="AM38" s="21" t="s">
        <v>678</v>
      </c>
      <c r="AN38" s="21" t="s">
        <v>671</v>
      </c>
      <c r="AO38" s="23">
        <v>46235</v>
      </c>
      <c r="AP38" s="21">
        <v>19600</v>
      </c>
      <c r="AQ38" s="21" t="s">
        <v>557</v>
      </c>
      <c r="AR38" s="21" t="s">
        <v>81</v>
      </c>
      <c r="AS38" s="21" t="s">
        <v>562</v>
      </c>
      <c r="AT38" s="24"/>
    </row>
    <row r="39" spans="1:46" x14ac:dyDescent="0.25">
      <c r="A39" s="20" t="s">
        <v>503</v>
      </c>
      <c r="B39" s="21" t="s">
        <v>513</v>
      </c>
      <c r="C39" s="1" t="s">
        <v>47</v>
      </c>
      <c r="D39" s="21">
        <v>11</v>
      </c>
      <c r="E39" s="21" t="s">
        <v>523</v>
      </c>
      <c r="F39" s="21" t="s">
        <v>77</v>
      </c>
      <c r="G39" s="22">
        <f>Table1[[#This Row],[ENR]]-Table1[[#This Row],[CREDIT]]</f>
        <v>8254.8500000000058</v>
      </c>
      <c r="H39" s="21">
        <v>148000</v>
      </c>
      <c r="I39" s="35">
        <v>156254.85</v>
      </c>
      <c r="J39" s="22">
        <v>35825.56</v>
      </c>
      <c r="K39" s="22">
        <v>120429.29</v>
      </c>
      <c r="L39" s="22">
        <v>109876.99</v>
      </c>
      <c r="M39" s="21">
        <v>40230</v>
      </c>
      <c r="N39" s="22">
        <v>21040</v>
      </c>
      <c r="O39" s="1" t="s">
        <v>41</v>
      </c>
      <c r="P39" s="1" t="s">
        <v>42</v>
      </c>
      <c r="Q39" s="15">
        <v>0</v>
      </c>
      <c r="R39" s="22">
        <f>Table1[[#This Row],[STAB]]-Table1[[#This Row],[AMOUNT]]</f>
        <v>21040</v>
      </c>
      <c r="S39" s="1">
        <v>0</v>
      </c>
      <c r="T39" s="1" t="s">
        <v>79</v>
      </c>
      <c r="U39" s="1">
        <v>0</v>
      </c>
      <c r="V39" s="1" t="s">
        <v>267</v>
      </c>
      <c r="W39" s="1" t="s">
        <v>645</v>
      </c>
      <c r="X39" s="1" t="s">
        <v>646</v>
      </c>
      <c r="Y39" s="21" t="s">
        <v>2111</v>
      </c>
      <c r="Z39" s="21" t="s">
        <v>534</v>
      </c>
      <c r="AA39" s="21" t="s">
        <v>544</v>
      </c>
      <c r="AB39" s="21" t="s">
        <v>433</v>
      </c>
      <c r="AC39" s="21" t="s">
        <v>443</v>
      </c>
      <c r="AD39" s="21" t="s">
        <v>75</v>
      </c>
      <c r="AE39" s="21" t="s">
        <v>441</v>
      </c>
      <c r="AF39" s="21" t="s">
        <v>442</v>
      </c>
      <c r="AG39" s="21">
        <v>802789320</v>
      </c>
      <c r="AH39" s="21" t="s">
        <v>130</v>
      </c>
      <c r="AI39" s="21" t="s">
        <v>492</v>
      </c>
      <c r="AJ39" s="21"/>
      <c r="AK39" s="28" t="s">
        <v>447</v>
      </c>
      <c r="AL39" s="21" t="s">
        <v>458</v>
      </c>
      <c r="AM39" s="21" t="s">
        <v>683</v>
      </c>
      <c r="AN39" s="21" t="s">
        <v>680</v>
      </c>
      <c r="AO39" s="23" t="s">
        <v>78</v>
      </c>
      <c r="AP39" s="21">
        <v>0</v>
      </c>
      <c r="AQ39" s="21" t="s">
        <v>556</v>
      </c>
      <c r="AR39" s="21" t="s">
        <v>560</v>
      </c>
      <c r="AS39" s="21" t="s">
        <v>562</v>
      </c>
      <c r="AT39" s="24"/>
    </row>
    <row r="40" spans="1:46" x14ac:dyDescent="0.25">
      <c r="A40" s="20" t="s">
        <v>500</v>
      </c>
      <c r="B40" s="21" t="s">
        <v>510</v>
      </c>
      <c r="C40" s="1" t="s">
        <v>47</v>
      </c>
      <c r="D40" s="21">
        <v>11</v>
      </c>
      <c r="E40" s="21" t="s">
        <v>520</v>
      </c>
      <c r="F40" s="21" t="s">
        <v>77</v>
      </c>
      <c r="G40" s="22">
        <f>Table1[[#This Row],[ENR]]-Table1[[#This Row],[CREDIT]]</f>
        <v>-44604.84</v>
      </c>
      <c r="H40" s="21">
        <v>170000</v>
      </c>
      <c r="I40" s="35">
        <v>125395.16</v>
      </c>
      <c r="J40" s="22" t="s">
        <v>78</v>
      </c>
      <c r="K40" s="22">
        <v>125395.16</v>
      </c>
      <c r="L40" s="22">
        <v>117095.57</v>
      </c>
      <c r="M40" s="21">
        <v>28460</v>
      </c>
      <c r="N40" s="22">
        <v>20789</v>
      </c>
      <c r="O40" s="1" t="s">
        <v>49</v>
      </c>
      <c r="P40" s="1" t="s">
        <v>12</v>
      </c>
      <c r="Q40" s="15">
        <v>28460</v>
      </c>
      <c r="R40" s="22">
        <f>Table1[[#This Row],[STAB]]-Table1[[#This Row],[AMOUNT]]</f>
        <v>-7671</v>
      </c>
      <c r="S40" s="1" t="s">
        <v>1956</v>
      </c>
      <c r="T40" s="1" t="s">
        <v>446</v>
      </c>
      <c r="U40" s="1">
        <v>0</v>
      </c>
      <c r="V40" s="1" t="s">
        <v>267</v>
      </c>
      <c r="W40" s="1" t="s">
        <v>107</v>
      </c>
      <c r="X40" s="1" t="s">
        <v>200</v>
      </c>
      <c r="Y40" s="21" t="s">
        <v>2111</v>
      </c>
      <c r="Z40" s="21" t="s">
        <v>531</v>
      </c>
      <c r="AA40" s="21" t="s">
        <v>541</v>
      </c>
      <c r="AB40" s="21" t="s">
        <v>138</v>
      </c>
      <c r="AC40" s="21" t="s">
        <v>93</v>
      </c>
      <c r="AD40" s="21" t="s">
        <v>139</v>
      </c>
      <c r="AE40" s="21" t="s">
        <v>202</v>
      </c>
      <c r="AF40" s="21" t="s">
        <v>490</v>
      </c>
      <c r="AG40" s="21">
        <v>802823528</v>
      </c>
      <c r="AH40" s="21" t="s">
        <v>488</v>
      </c>
      <c r="AI40" s="21" t="s">
        <v>492</v>
      </c>
      <c r="AJ40" s="21"/>
      <c r="AK40" s="28" t="s">
        <v>447</v>
      </c>
      <c r="AL40" s="21"/>
      <c r="AM40" s="21"/>
      <c r="AN40" s="21"/>
      <c r="AO40" s="23">
        <v>46294</v>
      </c>
      <c r="AP40" s="21">
        <v>49030</v>
      </c>
      <c r="AQ40" s="21" t="s">
        <v>553</v>
      </c>
      <c r="AR40" s="21" t="s">
        <v>560</v>
      </c>
      <c r="AS40" s="21" t="s">
        <v>562</v>
      </c>
      <c r="AT40" s="24"/>
    </row>
    <row r="41" spans="1:46" x14ac:dyDescent="0.25">
      <c r="A41" s="20" t="s">
        <v>498</v>
      </c>
      <c r="B41" s="21" t="s">
        <v>508</v>
      </c>
      <c r="C41" s="1" t="s">
        <v>47</v>
      </c>
      <c r="D41" s="21">
        <v>11</v>
      </c>
      <c r="E41" s="21" t="s">
        <v>518</v>
      </c>
      <c r="F41" s="21" t="s">
        <v>527</v>
      </c>
      <c r="G41" s="22">
        <f>Table1[[#This Row],[ENR]]-Table1[[#This Row],[CREDIT]]</f>
        <v>-71451.320000000007</v>
      </c>
      <c r="H41" s="21">
        <v>180000</v>
      </c>
      <c r="I41" s="35">
        <v>108548.68</v>
      </c>
      <c r="J41" s="22" t="s">
        <v>78</v>
      </c>
      <c r="K41" s="22">
        <v>108548.68</v>
      </c>
      <c r="L41" s="22">
        <v>103342.19</v>
      </c>
      <c r="M41" s="21">
        <v>11820</v>
      </c>
      <c r="N41" s="22">
        <v>5930</v>
      </c>
      <c r="O41" s="1" t="s">
        <v>49</v>
      </c>
      <c r="P41" s="1" t="s">
        <v>12</v>
      </c>
      <c r="Q41" s="15">
        <v>12000</v>
      </c>
      <c r="R41" s="22">
        <f>Table1[[#This Row],[STAB]]-Table1[[#This Row],[AMOUNT]]</f>
        <v>-6070</v>
      </c>
      <c r="S41" s="1" t="s">
        <v>2115</v>
      </c>
      <c r="T41" s="1" t="s">
        <v>446</v>
      </c>
      <c r="U41" s="1">
        <v>0</v>
      </c>
      <c r="V41" s="1" t="s">
        <v>267</v>
      </c>
      <c r="W41" s="1" t="s">
        <v>265</v>
      </c>
      <c r="X41" s="1" t="s">
        <v>269</v>
      </c>
      <c r="Y41" s="21" t="s">
        <v>2111</v>
      </c>
      <c r="Z41" s="21" t="s">
        <v>529</v>
      </c>
      <c r="AA41" s="21" t="s">
        <v>539</v>
      </c>
      <c r="AB41" s="21" t="s">
        <v>548</v>
      </c>
      <c r="AC41" s="21" t="s">
        <v>91</v>
      </c>
      <c r="AD41" s="1" t="s">
        <v>2080</v>
      </c>
      <c r="AE41" s="59" t="s">
        <v>2081</v>
      </c>
      <c r="AF41" s="21" t="s">
        <v>274</v>
      </c>
      <c r="AG41" s="21">
        <v>801354813</v>
      </c>
      <c r="AH41" s="21" t="s">
        <v>132</v>
      </c>
      <c r="AI41" s="21" t="s">
        <v>492</v>
      </c>
      <c r="AJ41" s="21"/>
      <c r="AK41" s="28" t="s">
        <v>447</v>
      </c>
      <c r="AL41" s="21"/>
      <c r="AM41" s="21"/>
      <c r="AN41" s="21"/>
      <c r="AO41" s="23">
        <v>46276</v>
      </c>
      <c r="AP41" s="21">
        <v>11550</v>
      </c>
      <c r="AQ41" s="21" t="s">
        <v>551</v>
      </c>
      <c r="AR41" s="21" t="s">
        <v>82</v>
      </c>
      <c r="AS41" s="21" t="s">
        <v>562</v>
      </c>
      <c r="AT41" s="24"/>
    </row>
    <row r="42" spans="1:46" x14ac:dyDescent="0.25">
      <c r="A42" s="54" t="s">
        <v>505</v>
      </c>
      <c r="B42" s="28" t="s">
        <v>515</v>
      </c>
      <c r="C42" s="1" t="s">
        <v>47</v>
      </c>
      <c r="D42" s="28">
        <v>11</v>
      </c>
      <c r="E42" s="28" t="s">
        <v>525</v>
      </c>
      <c r="F42" s="28" t="s">
        <v>77</v>
      </c>
      <c r="G42" s="55">
        <f>Table1[[#This Row],[ENR]]-Table1[[#This Row],[CREDIT]]</f>
        <v>-26477.229999999996</v>
      </c>
      <c r="H42" s="28">
        <v>100000</v>
      </c>
      <c r="I42" s="56">
        <v>73522.77</v>
      </c>
      <c r="J42" s="55">
        <v>38807.65</v>
      </c>
      <c r="K42" s="55">
        <v>34715.120000000003</v>
      </c>
      <c r="L42" s="55">
        <v>29099.33</v>
      </c>
      <c r="M42" s="28">
        <v>34715.120000000003</v>
      </c>
      <c r="N42" s="55">
        <v>17284.580000000002</v>
      </c>
      <c r="O42" s="1" t="s">
        <v>41</v>
      </c>
      <c r="P42" s="1" t="s">
        <v>42</v>
      </c>
      <c r="Q42" s="15">
        <v>15000</v>
      </c>
      <c r="R42" s="55">
        <f>Table1[[#This Row],[STAB]]-Table1[[#This Row],[AMOUNT]]</f>
        <v>2284.5800000000017</v>
      </c>
      <c r="S42" s="1">
        <v>0</v>
      </c>
      <c r="T42" s="1" t="s">
        <v>79</v>
      </c>
      <c r="U42" s="1">
        <v>0</v>
      </c>
      <c r="V42" s="1" t="s">
        <v>267</v>
      </c>
      <c r="W42" s="1" t="s">
        <v>107</v>
      </c>
      <c r="X42" s="1" t="s">
        <v>200</v>
      </c>
      <c r="Y42" s="21" t="s">
        <v>2111</v>
      </c>
      <c r="Z42" s="28" t="s">
        <v>536</v>
      </c>
      <c r="AA42" s="28" t="s">
        <v>546</v>
      </c>
      <c r="AB42" s="28" t="s">
        <v>549</v>
      </c>
      <c r="AC42" s="28" t="s">
        <v>93</v>
      </c>
      <c r="AD42" s="28" t="s">
        <v>2082</v>
      </c>
      <c r="AE42" s="21" t="s">
        <v>2083</v>
      </c>
      <c r="AF42" s="28" t="s">
        <v>564</v>
      </c>
      <c r="AG42" s="28">
        <v>802349062</v>
      </c>
      <c r="AH42" s="28" t="s">
        <v>130</v>
      </c>
      <c r="AI42" s="21" t="s">
        <v>492</v>
      </c>
      <c r="AJ42" s="28"/>
      <c r="AK42" s="28" t="s">
        <v>43</v>
      </c>
      <c r="AL42" s="28"/>
      <c r="AM42" s="28"/>
      <c r="AN42" s="28"/>
      <c r="AO42" s="57">
        <v>45444</v>
      </c>
      <c r="AP42" s="28">
        <v>11441.07</v>
      </c>
      <c r="AQ42" s="28" t="s">
        <v>558</v>
      </c>
      <c r="AR42" s="28" t="s">
        <v>561</v>
      </c>
      <c r="AS42" s="21" t="s">
        <v>562</v>
      </c>
      <c r="AT42" s="58"/>
    </row>
    <row r="43" spans="1:46" x14ac:dyDescent="0.25">
      <c r="A43" s="20" t="s">
        <v>567</v>
      </c>
      <c r="B43" s="21" t="s">
        <v>582</v>
      </c>
      <c r="C43" s="1" t="s">
        <v>83</v>
      </c>
      <c r="D43" s="21">
        <v>12</v>
      </c>
      <c r="E43" s="21" t="s">
        <v>597</v>
      </c>
      <c r="F43" s="21" t="s">
        <v>77</v>
      </c>
      <c r="G43" s="22">
        <f>Table1[[#This Row],[ENR]]-Table1[[#This Row],[CREDIT]]</f>
        <v>483351.07999999996</v>
      </c>
      <c r="H43" s="21">
        <v>420000</v>
      </c>
      <c r="I43" s="35">
        <v>903351.08</v>
      </c>
      <c r="J43" s="22">
        <v>545005.06999999995</v>
      </c>
      <c r="K43" s="22">
        <v>358346.01</v>
      </c>
      <c r="L43" s="22">
        <v>338203.53</v>
      </c>
      <c r="M43" s="21">
        <v>120910</v>
      </c>
      <c r="N43" s="22">
        <v>67670</v>
      </c>
      <c r="O43" s="1" t="s">
        <v>41</v>
      </c>
      <c r="P43" s="1" t="s">
        <v>42</v>
      </c>
      <c r="Q43" s="15">
        <v>0</v>
      </c>
      <c r="R43" s="22">
        <f>Table1[[#This Row],[STAB]]-Table1[[#This Row],[AMOUNT]]</f>
        <v>67670</v>
      </c>
      <c r="S43" s="1">
        <v>0</v>
      </c>
      <c r="T43" s="1" t="s">
        <v>79</v>
      </c>
      <c r="U43" s="1">
        <v>0</v>
      </c>
      <c r="V43" s="1" t="s">
        <v>267</v>
      </c>
      <c r="W43" s="1" t="s">
        <v>265</v>
      </c>
      <c r="X43" s="1" t="s">
        <v>269</v>
      </c>
      <c r="Y43" s="21" t="s">
        <v>2111</v>
      </c>
      <c r="Z43" s="21" t="s">
        <v>648</v>
      </c>
      <c r="AA43" s="21" t="s">
        <v>612</v>
      </c>
      <c r="AB43" s="21" t="s">
        <v>149</v>
      </c>
      <c r="AC43" s="21" t="s">
        <v>91</v>
      </c>
      <c r="AD43" s="1" t="s">
        <v>2080</v>
      </c>
      <c r="AE43" s="59" t="s">
        <v>2081</v>
      </c>
      <c r="AF43" s="21" t="s">
        <v>274</v>
      </c>
      <c r="AG43" s="21">
        <v>801354813</v>
      </c>
      <c r="AH43" s="21" t="s">
        <v>132</v>
      </c>
      <c r="AI43" s="21" t="s">
        <v>492</v>
      </c>
      <c r="AJ43" s="21"/>
      <c r="AK43" s="28" t="s">
        <v>43</v>
      </c>
      <c r="AL43" s="21"/>
      <c r="AM43" s="21"/>
      <c r="AN43" s="21"/>
      <c r="AO43" s="23">
        <v>45462</v>
      </c>
      <c r="AP43" s="21">
        <v>26300</v>
      </c>
      <c r="AQ43" s="21" t="s">
        <v>630</v>
      </c>
      <c r="AR43" s="21" t="s">
        <v>89</v>
      </c>
      <c r="AS43" s="21" t="s">
        <v>726</v>
      </c>
      <c r="AT43" s="24">
        <v>46325</v>
      </c>
    </row>
    <row r="44" spans="1:46" x14ac:dyDescent="0.25">
      <c r="A44" s="20" t="s">
        <v>573</v>
      </c>
      <c r="B44" s="21" t="s">
        <v>588</v>
      </c>
      <c r="C44" s="1" t="s">
        <v>83</v>
      </c>
      <c r="D44" s="21">
        <v>12</v>
      </c>
      <c r="E44" s="21" t="s">
        <v>603</v>
      </c>
      <c r="F44" s="21" t="s">
        <v>77</v>
      </c>
      <c r="G44" s="22">
        <f>Table1[[#This Row],[ENR]]-Table1[[#This Row],[CREDIT]]</f>
        <v>166042.68999999994</v>
      </c>
      <c r="H44" s="21">
        <v>450000</v>
      </c>
      <c r="I44" s="35">
        <v>616042.68999999994</v>
      </c>
      <c r="J44" s="22">
        <v>116740.86</v>
      </c>
      <c r="K44" s="22">
        <v>499301.83</v>
      </c>
      <c r="L44" s="22">
        <v>461599.31</v>
      </c>
      <c r="M44" s="21">
        <v>217630</v>
      </c>
      <c r="N44" s="22">
        <v>117660</v>
      </c>
      <c r="O44" s="1" t="s">
        <v>41</v>
      </c>
      <c r="P44" s="1" t="s">
        <v>42</v>
      </c>
      <c r="Q44" s="15">
        <v>0</v>
      </c>
      <c r="R44" s="22">
        <f>Table1[[#This Row],[STAB]]-Table1[[#This Row],[AMOUNT]]</f>
        <v>117660</v>
      </c>
      <c r="S44" s="1">
        <v>0</v>
      </c>
      <c r="T44" s="1" t="s">
        <v>79</v>
      </c>
      <c r="U44" s="1">
        <v>0</v>
      </c>
      <c r="V44" s="1" t="s">
        <v>267</v>
      </c>
      <c r="W44" s="1" t="s">
        <v>265</v>
      </c>
      <c r="X44" s="1" t="s">
        <v>269</v>
      </c>
      <c r="Y44" s="21" t="s">
        <v>2111</v>
      </c>
      <c r="Z44" s="21" t="s">
        <v>654</v>
      </c>
      <c r="AA44" s="21" t="s">
        <v>618</v>
      </c>
      <c r="AB44" s="21" t="s">
        <v>149</v>
      </c>
      <c r="AC44" s="21" t="s">
        <v>91</v>
      </c>
      <c r="AD44" s="1" t="s">
        <v>2080</v>
      </c>
      <c r="AE44" s="59" t="s">
        <v>2081</v>
      </c>
      <c r="AF44" s="21" t="s">
        <v>274</v>
      </c>
      <c r="AG44" s="21">
        <v>801354813</v>
      </c>
      <c r="AH44" s="21" t="s">
        <v>132</v>
      </c>
      <c r="AI44" s="21" t="s">
        <v>492</v>
      </c>
      <c r="AJ44" s="21"/>
      <c r="AK44" s="28" t="s">
        <v>43</v>
      </c>
      <c r="AL44" s="21"/>
      <c r="AM44" s="21"/>
      <c r="AN44" s="21"/>
      <c r="AO44" s="23">
        <v>46231</v>
      </c>
      <c r="AP44" s="21">
        <v>89835</v>
      </c>
      <c r="AQ44" s="21" t="s">
        <v>636</v>
      </c>
      <c r="AR44" s="21" t="s">
        <v>89</v>
      </c>
      <c r="AS44" s="21" t="s">
        <v>726</v>
      </c>
      <c r="AT44" s="24">
        <v>46325</v>
      </c>
    </row>
    <row r="45" spans="1:46" x14ac:dyDescent="0.25">
      <c r="A45" s="20" t="s">
        <v>569</v>
      </c>
      <c r="B45" s="21" t="s">
        <v>584</v>
      </c>
      <c r="C45" s="1" t="s">
        <v>47</v>
      </c>
      <c r="D45" s="21">
        <v>12</v>
      </c>
      <c r="E45" s="21" t="s">
        <v>599</v>
      </c>
      <c r="F45" s="21" t="s">
        <v>77</v>
      </c>
      <c r="G45" s="22">
        <f>Table1[[#This Row],[ENR]]-Table1[[#This Row],[CREDIT]]</f>
        <v>273940.44999999995</v>
      </c>
      <c r="H45" s="21">
        <v>340000</v>
      </c>
      <c r="I45" s="35">
        <v>613940.44999999995</v>
      </c>
      <c r="J45" s="22">
        <v>309095.58</v>
      </c>
      <c r="K45" s="22">
        <v>304844.87</v>
      </c>
      <c r="L45" s="22">
        <v>275444.58</v>
      </c>
      <c r="M45" s="21">
        <v>103200</v>
      </c>
      <c r="N45" s="22">
        <v>46070</v>
      </c>
      <c r="O45" s="1" t="s">
        <v>49</v>
      </c>
      <c r="P45" s="1" t="s">
        <v>12</v>
      </c>
      <c r="Q45" s="15">
        <v>103200</v>
      </c>
      <c r="R45" s="22">
        <f>Table1[[#This Row],[STAB]]-Table1[[#This Row],[AMOUNT]]</f>
        <v>-57130</v>
      </c>
      <c r="S45" s="1">
        <v>0</v>
      </c>
      <c r="T45" s="1" t="s">
        <v>79</v>
      </c>
      <c r="U45" s="1">
        <v>0</v>
      </c>
      <c r="V45" s="1" t="s">
        <v>267</v>
      </c>
      <c r="W45" s="1" t="s">
        <v>645</v>
      </c>
      <c r="X45" s="1" t="s">
        <v>646</v>
      </c>
      <c r="Y45" s="21" t="s">
        <v>2111</v>
      </c>
      <c r="Z45" s="21" t="s">
        <v>650</v>
      </c>
      <c r="AA45" s="21" t="s">
        <v>614</v>
      </c>
      <c r="AB45" s="21" t="s">
        <v>626</v>
      </c>
      <c r="AC45" s="21" t="s">
        <v>662</v>
      </c>
      <c r="AD45" s="21" t="s">
        <v>626</v>
      </c>
      <c r="AE45" s="21"/>
      <c r="AF45" s="21" t="s">
        <v>151</v>
      </c>
      <c r="AG45" s="21">
        <v>801723195</v>
      </c>
      <c r="AH45" s="21" t="s">
        <v>132</v>
      </c>
      <c r="AI45" s="21" t="s">
        <v>492</v>
      </c>
      <c r="AJ45" s="21"/>
      <c r="AK45" s="28" t="s">
        <v>447</v>
      </c>
      <c r="AL45" s="21"/>
      <c r="AM45" s="21"/>
      <c r="AN45" s="21"/>
      <c r="AO45" s="23">
        <v>45533</v>
      </c>
      <c r="AP45" s="21">
        <v>19145.53</v>
      </c>
      <c r="AQ45" s="21" t="s">
        <v>632</v>
      </c>
      <c r="AR45" s="21" t="s">
        <v>89</v>
      </c>
      <c r="AS45" s="21" t="s">
        <v>726</v>
      </c>
      <c r="AT45" s="24">
        <v>46325</v>
      </c>
    </row>
    <row r="46" spans="1:46" x14ac:dyDescent="0.25">
      <c r="A46" s="20" t="s">
        <v>572</v>
      </c>
      <c r="B46" s="21" t="s">
        <v>587</v>
      </c>
      <c r="C46" s="1" t="s">
        <v>47</v>
      </c>
      <c r="D46" s="21">
        <v>12</v>
      </c>
      <c r="E46" s="21" t="s">
        <v>602</v>
      </c>
      <c r="F46" s="21" t="s">
        <v>77</v>
      </c>
      <c r="G46" s="22">
        <f>Table1[[#This Row],[ENR]]-Table1[[#This Row],[CREDIT]]</f>
        <v>399057.26</v>
      </c>
      <c r="H46" s="21">
        <v>210000</v>
      </c>
      <c r="I46" s="35">
        <v>609057.26</v>
      </c>
      <c r="J46" s="22">
        <v>394553.76</v>
      </c>
      <c r="K46" s="22">
        <v>214503.5</v>
      </c>
      <c r="L46" s="22">
        <v>195653.07</v>
      </c>
      <c r="M46" s="21">
        <v>60860</v>
      </c>
      <c r="N46" s="22">
        <v>21700</v>
      </c>
      <c r="O46" s="1" t="s">
        <v>41</v>
      </c>
      <c r="P46" s="1" t="s">
        <v>42</v>
      </c>
      <c r="Q46" s="15">
        <v>0</v>
      </c>
      <c r="R46" s="22">
        <f>Table1[[#This Row],[STAB]]-Table1[[#This Row],[AMOUNT]]</f>
        <v>21700</v>
      </c>
      <c r="S46" s="1">
        <v>0</v>
      </c>
      <c r="T46" s="1" t="s">
        <v>79</v>
      </c>
      <c r="U46" s="1">
        <v>0</v>
      </c>
      <c r="V46" s="1" t="s">
        <v>267</v>
      </c>
      <c r="W46" s="1" t="s">
        <v>265</v>
      </c>
      <c r="X46" s="1" t="s">
        <v>269</v>
      </c>
      <c r="Y46" s="21" t="s">
        <v>2111</v>
      </c>
      <c r="Z46" s="21" t="s">
        <v>653</v>
      </c>
      <c r="AA46" s="21" t="s">
        <v>617</v>
      </c>
      <c r="AB46" s="21" t="s">
        <v>548</v>
      </c>
      <c r="AC46" s="21" t="s">
        <v>91</v>
      </c>
      <c r="AD46" s="21" t="s">
        <v>664</v>
      </c>
      <c r="AE46" s="21" t="s">
        <v>668</v>
      </c>
      <c r="AF46" s="21" t="s">
        <v>180</v>
      </c>
      <c r="AG46" s="21">
        <v>802835406</v>
      </c>
      <c r="AH46" s="21" t="s">
        <v>131</v>
      </c>
      <c r="AI46" s="21" t="s">
        <v>492</v>
      </c>
      <c r="AJ46" s="21"/>
      <c r="AK46" s="28" t="s">
        <v>447</v>
      </c>
      <c r="AL46" s="21" t="s">
        <v>463</v>
      </c>
      <c r="AM46" s="21" t="s">
        <v>1946</v>
      </c>
      <c r="AN46" s="21" t="s">
        <v>1941</v>
      </c>
      <c r="AO46" s="23">
        <v>45533</v>
      </c>
      <c r="AP46" s="21">
        <v>49900</v>
      </c>
      <c r="AQ46" s="21" t="s">
        <v>635</v>
      </c>
      <c r="AR46" s="21" t="s">
        <v>89</v>
      </c>
      <c r="AS46" s="21" t="s">
        <v>726</v>
      </c>
      <c r="AT46" s="24">
        <v>46325</v>
      </c>
    </row>
    <row r="47" spans="1:46" x14ac:dyDescent="0.25">
      <c r="A47" s="20" t="s">
        <v>574</v>
      </c>
      <c r="B47" s="21" t="s">
        <v>589</v>
      </c>
      <c r="C47" s="1" t="s">
        <v>47</v>
      </c>
      <c r="D47" s="21">
        <v>12</v>
      </c>
      <c r="E47" s="21" t="s">
        <v>604</v>
      </c>
      <c r="F47" s="21" t="s">
        <v>77</v>
      </c>
      <c r="G47" s="22">
        <f>Table1[[#This Row],[ENR]]-Table1[[#This Row],[CREDIT]]</f>
        <v>358344.05000000005</v>
      </c>
      <c r="H47" s="21">
        <v>190000</v>
      </c>
      <c r="I47" s="35">
        <v>548344.05000000005</v>
      </c>
      <c r="J47" s="22">
        <v>392056.49</v>
      </c>
      <c r="K47" s="22">
        <v>156287.56</v>
      </c>
      <c r="L47" s="22">
        <v>140782.82999999999</v>
      </c>
      <c r="M47" s="21">
        <v>57410</v>
      </c>
      <c r="N47" s="22">
        <v>26190</v>
      </c>
      <c r="O47" s="1" t="s">
        <v>41</v>
      </c>
      <c r="P47" s="1" t="s">
        <v>42</v>
      </c>
      <c r="Q47" s="15">
        <v>0</v>
      </c>
      <c r="R47" s="22">
        <f>Table1[[#This Row],[STAB]]-Table1[[#This Row],[AMOUNT]]</f>
        <v>26190</v>
      </c>
      <c r="S47" s="1">
        <v>0</v>
      </c>
      <c r="T47" s="1" t="s">
        <v>79</v>
      </c>
      <c r="U47" s="1">
        <v>0</v>
      </c>
      <c r="V47" s="1" t="s">
        <v>267</v>
      </c>
      <c r="W47" s="1" t="s">
        <v>265</v>
      </c>
      <c r="X47" s="1" t="s">
        <v>269</v>
      </c>
      <c r="Y47" s="21" t="s">
        <v>2111</v>
      </c>
      <c r="Z47" s="21" t="s">
        <v>655</v>
      </c>
      <c r="AA47" s="21" t="s">
        <v>619</v>
      </c>
      <c r="AB47" s="21" t="s">
        <v>70</v>
      </c>
      <c r="AC47" s="21" t="s">
        <v>91</v>
      </c>
      <c r="AD47" s="21" t="s">
        <v>51</v>
      </c>
      <c r="AE47" s="21" t="s">
        <v>189</v>
      </c>
      <c r="AF47" s="21" t="s">
        <v>136</v>
      </c>
      <c r="AG47" s="21">
        <v>801772792</v>
      </c>
      <c r="AH47" s="21" t="s">
        <v>132</v>
      </c>
      <c r="AI47" s="21" t="s">
        <v>492</v>
      </c>
      <c r="AJ47" s="21"/>
      <c r="AK47" s="28" t="s">
        <v>447</v>
      </c>
      <c r="AL47" s="21" t="s">
        <v>458</v>
      </c>
      <c r="AM47" s="21" t="s">
        <v>2101</v>
      </c>
      <c r="AN47" s="21" t="s">
        <v>2093</v>
      </c>
      <c r="AO47" s="23">
        <v>45499</v>
      </c>
      <c r="AP47" s="21">
        <v>3318.63</v>
      </c>
      <c r="AQ47" s="21" t="s">
        <v>637</v>
      </c>
      <c r="AR47" s="21" t="s">
        <v>89</v>
      </c>
      <c r="AS47" s="21" t="s">
        <v>726</v>
      </c>
      <c r="AT47" s="24">
        <v>46325</v>
      </c>
    </row>
    <row r="48" spans="1:46" x14ac:dyDescent="0.25">
      <c r="A48" s="20" t="s">
        <v>580</v>
      </c>
      <c r="B48" s="21" t="s">
        <v>595</v>
      </c>
      <c r="C48" s="1" t="s">
        <v>47</v>
      </c>
      <c r="D48" s="21">
        <v>12</v>
      </c>
      <c r="E48" s="21" t="s">
        <v>610</v>
      </c>
      <c r="F48" s="21" t="s">
        <v>77</v>
      </c>
      <c r="G48" s="22">
        <f>Table1[[#This Row],[ENR]]-Table1[[#This Row],[CREDIT]]</f>
        <v>29847.659999999974</v>
      </c>
      <c r="H48" s="21">
        <v>250000</v>
      </c>
      <c r="I48" s="35">
        <v>279847.65999999997</v>
      </c>
      <c r="J48" s="22" t="s">
        <v>78</v>
      </c>
      <c r="K48" s="22">
        <v>279847.65999999997</v>
      </c>
      <c r="L48" s="22">
        <v>249653.42</v>
      </c>
      <c r="M48" s="21">
        <v>82110</v>
      </c>
      <c r="N48" s="22">
        <v>45310</v>
      </c>
      <c r="O48" s="1" t="s">
        <v>41</v>
      </c>
      <c r="P48" s="1" t="s">
        <v>42</v>
      </c>
      <c r="Q48" s="15">
        <v>0</v>
      </c>
      <c r="R48" s="22">
        <f>Table1[[#This Row],[STAB]]-Table1[[#This Row],[AMOUNT]]</f>
        <v>45310</v>
      </c>
      <c r="S48" s="1">
        <v>0</v>
      </c>
      <c r="T48" s="1" t="s">
        <v>79</v>
      </c>
      <c r="U48" s="1">
        <v>0</v>
      </c>
      <c r="V48" s="1" t="s">
        <v>267</v>
      </c>
      <c r="W48" s="1" t="s">
        <v>645</v>
      </c>
      <c r="X48" s="1" t="s">
        <v>646</v>
      </c>
      <c r="Y48" s="21" t="s">
        <v>2111</v>
      </c>
      <c r="Z48" s="21" t="s">
        <v>661</v>
      </c>
      <c r="AA48" s="21" t="s">
        <v>625</v>
      </c>
      <c r="AB48" s="21" t="s">
        <v>72</v>
      </c>
      <c r="AC48" s="21" t="s">
        <v>92</v>
      </c>
      <c r="AD48" s="21" t="s">
        <v>259</v>
      </c>
      <c r="AE48" s="21" t="s">
        <v>260</v>
      </c>
      <c r="AF48" s="21" t="s">
        <v>140</v>
      </c>
      <c r="AG48" s="21">
        <v>802852449</v>
      </c>
      <c r="AH48" s="21" t="s">
        <v>130</v>
      </c>
      <c r="AI48" s="21" t="s">
        <v>492</v>
      </c>
      <c r="AJ48" s="21"/>
      <c r="AK48" s="28" t="s">
        <v>43</v>
      </c>
      <c r="AL48" s="21"/>
      <c r="AM48" s="21"/>
      <c r="AN48" s="21"/>
      <c r="AO48" s="23">
        <v>46232</v>
      </c>
      <c r="AP48" s="21">
        <v>19000</v>
      </c>
      <c r="AQ48" s="21" t="s">
        <v>643</v>
      </c>
      <c r="AR48" s="21" t="s">
        <v>644</v>
      </c>
      <c r="AS48" s="21" t="s">
        <v>726</v>
      </c>
      <c r="AT48" s="24">
        <v>46325</v>
      </c>
    </row>
    <row r="49" spans="1:46" x14ac:dyDescent="0.25">
      <c r="A49" s="20" t="s">
        <v>577</v>
      </c>
      <c r="B49" s="21" t="s">
        <v>592</v>
      </c>
      <c r="C49" s="1" t="s">
        <v>47</v>
      </c>
      <c r="D49" s="21">
        <v>12</v>
      </c>
      <c r="E49" s="21" t="s">
        <v>607</v>
      </c>
      <c r="F49" s="21" t="s">
        <v>77</v>
      </c>
      <c r="G49" s="22">
        <f>Table1[[#This Row],[ENR]]-Table1[[#This Row],[CREDIT]]</f>
        <v>-43579.59</v>
      </c>
      <c r="H49" s="21">
        <v>270000</v>
      </c>
      <c r="I49" s="35">
        <v>226420.41</v>
      </c>
      <c r="J49" s="22" t="s">
        <v>78</v>
      </c>
      <c r="K49" s="22">
        <v>226420.41</v>
      </c>
      <c r="L49" s="22">
        <v>205318.61</v>
      </c>
      <c r="M49" s="21">
        <v>73190</v>
      </c>
      <c r="N49" s="22">
        <v>36440</v>
      </c>
      <c r="O49" s="1" t="s">
        <v>41</v>
      </c>
      <c r="P49" s="1" t="s">
        <v>42</v>
      </c>
      <c r="Q49" s="15">
        <v>0</v>
      </c>
      <c r="R49" s="22">
        <f>Table1[[#This Row],[STAB]]-Table1[[#This Row],[AMOUNT]]</f>
        <v>36440</v>
      </c>
      <c r="S49" s="1">
        <v>0</v>
      </c>
      <c r="T49" s="1" t="s">
        <v>79</v>
      </c>
      <c r="U49" s="1">
        <v>0</v>
      </c>
      <c r="V49" s="1" t="s">
        <v>267</v>
      </c>
      <c r="W49" s="1" t="s">
        <v>645</v>
      </c>
      <c r="X49" s="1" t="s">
        <v>646</v>
      </c>
      <c r="Y49" s="21" t="s">
        <v>2111</v>
      </c>
      <c r="Z49" s="21" t="s">
        <v>658</v>
      </c>
      <c r="AA49" s="21" t="s">
        <v>622</v>
      </c>
      <c r="AB49" s="21" t="s">
        <v>628</v>
      </c>
      <c r="AC49" s="21" t="s">
        <v>662</v>
      </c>
      <c r="AD49" s="21" t="s">
        <v>626</v>
      </c>
      <c r="AE49" s="21"/>
      <c r="AF49" s="21" t="s">
        <v>151</v>
      </c>
      <c r="AG49" s="21">
        <v>801723195</v>
      </c>
      <c r="AH49" s="21" t="s">
        <v>132</v>
      </c>
      <c r="AI49" s="21" t="s">
        <v>492</v>
      </c>
      <c r="AJ49" s="21"/>
      <c r="AK49" s="28" t="s">
        <v>43</v>
      </c>
      <c r="AL49" s="21"/>
      <c r="AM49" s="21"/>
      <c r="AN49" s="21"/>
      <c r="AO49" s="23">
        <v>45478</v>
      </c>
      <c r="AP49" s="21">
        <v>100000</v>
      </c>
      <c r="AQ49" s="21" t="s">
        <v>640</v>
      </c>
      <c r="AR49" s="21" t="s">
        <v>88</v>
      </c>
      <c r="AS49" s="21" t="s">
        <v>726</v>
      </c>
      <c r="AT49" s="24">
        <v>46325</v>
      </c>
    </row>
    <row r="50" spans="1:46" x14ac:dyDescent="0.25">
      <c r="A50" s="20" t="s">
        <v>575</v>
      </c>
      <c r="B50" s="21" t="s">
        <v>590</v>
      </c>
      <c r="C50" s="1" t="s">
        <v>47</v>
      </c>
      <c r="D50" s="21">
        <v>12</v>
      </c>
      <c r="E50" s="21" t="s">
        <v>605</v>
      </c>
      <c r="F50" s="21" t="s">
        <v>77</v>
      </c>
      <c r="G50" s="22">
        <f>Table1[[#This Row],[ENR]]-Table1[[#This Row],[CREDIT]]</f>
        <v>-9230.1000000000058</v>
      </c>
      <c r="H50" s="21">
        <v>170000</v>
      </c>
      <c r="I50" s="35">
        <v>160769.9</v>
      </c>
      <c r="J50" s="22" t="s">
        <v>78</v>
      </c>
      <c r="K50" s="22">
        <v>160769.9</v>
      </c>
      <c r="L50" s="22">
        <v>151759.01</v>
      </c>
      <c r="M50" s="21">
        <v>142900</v>
      </c>
      <c r="N50" s="22">
        <v>132940</v>
      </c>
      <c r="O50" s="1" t="s">
        <v>41</v>
      </c>
      <c r="P50" s="1" t="s">
        <v>42</v>
      </c>
      <c r="Q50" s="15">
        <v>0</v>
      </c>
      <c r="R50" s="22">
        <f>Table1[[#This Row],[STAB]]-Table1[[#This Row],[AMOUNT]]</f>
        <v>132940</v>
      </c>
      <c r="S50" s="1">
        <v>0</v>
      </c>
      <c r="T50" s="1" t="s">
        <v>79</v>
      </c>
      <c r="U50" s="1">
        <v>0</v>
      </c>
      <c r="V50" s="1" t="s">
        <v>267</v>
      </c>
      <c r="W50" s="1" t="s">
        <v>645</v>
      </c>
      <c r="X50" s="1" t="s">
        <v>646</v>
      </c>
      <c r="Y50" s="21" t="s">
        <v>2111</v>
      </c>
      <c r="Z50" s="21" t="s">
        <v>656</v>
      </c>
      <c r="AA50" s="21" t="s">
        <v>620</v>
      </c>
      <c r="AB50" s="21" t="s">
        <v>627</v>
      </c>
      <c r="AC50" s="21" t="s">
        <v>92</v>
      </c>
      <c r="AD50" s="21" t="s">
        <v>94</v>
      </c>
      <c r="AE50" s="21" t="s">
        <v>246</v>
      </c>
      <c r="AF50" s="21" t="s">
        <v>140</v>
      </c>
      <c r="AG50" s="21">
        <v>802852449</v>
      </c>
      <c r="AH50" s="21" t="s">
        <v>130</v>
      </c>
      <c r="AI50" s="21" t="s">
        <v>492</v>
      </c>
      <c r="AJ50" s="21"/>
      <c r="AK50" s="28" t="s">
        <v>447</v>
      </c>
      <c r="AL50" s="21" t="s">
        <v>456</v>
      </c>
      <c r="AM50" s="21" t="s">
        <v>679</v>
      </c>
      <c r="AN50" s="21" t="s">
        <v>680</v>
      </c>
      <c r="AO50" s="23">
        <v>46304</v>
      </c>
      <c r="AP50" s="21">
        <v>29000</v>
      </c>
      <c r="AQ50" s="21" t="s">
        <v>638</v>
      </c>
      <c r="AR50" s="21" t="s">
        <v>89</v>
      </c>
      <c r="AS50" s="21" t="s">
        <v>726</v>
      </c>
      <c r="AT50" s="24">
        <v>46325</v>
      </c>
    </row>
    <row r="51" spans="1:46" x14ac:dyDescent="0.25">
      <c r="A51" s="20" t="s">
        <v>568</v>
      </c>
      <c r="B51" s="21" t="s">
        <v>583</v>
      </c>
      <c r="C51" s="1" t="s">
        <v>47</v>
      </c>
      <c r="D51" s="21">
        <v>12</v>
      </c>
      <c r="E51" s="21" t="s">
        <v>598</v>
      </c>
      <c r="F51" s="21" t="s">
        <v>77</v>
      </c>
      <c r="G51" s="22">
        <f>Table1[[#This Row],[ENR]]-Table1[[#This Row],[CREDIT]]</f>
        <v>2746.320000000007</v>
      </c>
      <c r="H51" s="21">
        <v>110000</v>
      </c>
      <c r="I51" s="35">
        <v>112746.32</v>
      </c>
      <c r="J51" s="22">
        <v>44607.01</v>
      </c>
      <c r="K51" s="22">
        <v>68139.31</v>
      </c>
      <c r="L51" s="22">
        <v>63070.36</v>
      </c>
      <c r="M51" s="21">
        <v>20630</v>
      </c>
      <c r="N51" s="22">
        <v>7926.1</v>
      </c>
      <c r="O51" s="1" t="s">
        <v>41</v>
      </c>
      <c r="P51" s="1" t="s">
        <v>42</v>
      </c>
      <c r="Q51" s="15">
        <v>0</v>
      </c>
      <c r="R51" s="22">
        <f>Table1[[#This Row],[STAB]]-Table1[[#This Row],[AMOUNT]]</f>
        <v>7926.1</v>
      </c>
      <c r="S51" s="1">
        <v>0</v>
      </c>
      <c r="T51" s="1" t="s">
        <v>79</v>
      </c>
      <c r="U51" s="1">
        <v>0</v>
      </c>
      <c r="V51" s="1" t="s">
        <v>267</v>
      </c>
      <c r="W51" s="1" t="s">
        <v>107</v>
      </c>
      <c r="X51" s="1" t="s">
        <v>200</v>
      </c>
      <c r="Y51" s="21" t="s">
        <v>2111</v>
      </c>
      <c r="Z51" s="21" t="s">
        <v>649</v>
      </c>
      <c r="AA51" s="21" t="s">
        <v>613</v>
      </c>
      <c r="AB51" s="21" t="s">
        <v>103</v>
      </c>
      <c r="AC51" s="21" t="s">
        <v>93</v>
      </c>
      <c r="AD51" s="21" t="s">
        <v>102</v>
      </c>
      <c r="AE51" s="21" t="s">
        <v>201</v>
      </c>
      <c r="AF51" s="21" t="s">
        <v>137</v>
      </c>
      <c r="AG51" s="21">
        <v>845041675</v>
      </c>
      <c r="AH51" s="21" t="s">
        <v>130</v>
      </c>
      <c r="AI51" s="21" t="s">
        <v>492</v>
      </c>
      <c r="AJ51" s="21"/>
      <c r="AK51" s="28" t="s">
        <v>43</v>
      </c>
      <c r="AL51" s="21"/>
      <c r="AM51" s="21"/>
      <c r="AN51" s="21"/>
      <c r="AO51" s="23">
        <v>45492</v>
      </c>
      <c r="AP51" s="21">
        <v>10</v>
      </c>
      <c r="AQ51" s="21" t="s">
        <v>631</v>
      </c>
      <c r="AR51" s="21" t="s">
        <v>89</v>
      </c>
      <c r="AS51" s="21" t="s">
        <v>726</v>
      </c>
      <c r="AT51" s="24">
        <v>46325</v>
      </c>
    </row>
    <row r="52" spans="1:46" x14ac:dyDescent="0.25">
      <c r="A52" s="20" t="s">
        <v>566</v>
      </c>
      <c r="B52" s="21" t="s">
        <v>581</v>
      </c>
      <c r="C52" s="1" t="s">
        <v>47</v>
      </c>
      <c r="D52" s="21">
        <v>12</v>
      </c>
      <c r="E52" s="21" t="s">
        <v>596</v>
      </c>
      <c r="F52" s="21" t="s">
        <v>77</v>
      </c>
      <c r="G52" s="22">
        <f>Table1[[#This Row],[ENR]]-Table1[[#This Row],[CREDIT]]</f>
        <v>-5143.2700000000041</v>
      </c>
      <c r="H52" s="21">
        <v>100000</v>
      </c>
      <c r="I52" s="35">
        <v>94856.73</v>
      </c>
      <c r="J52" s="22" t="s">
        <v>78</v>
      </c>
      <c r="K52" s="22">
        <v>94856.73</v>
      </c>
      <c r="L52" s="22">
        <v>85469.63</v>
      </c>
      <c r="M52" s="21">
        <v>14690</v>
      </c>
      <c r="N52" s="22">
        <v>5050</v>
      </c>
      <c r="O52" s="1" t="s">
        <v>41</v>
      </c>
      <c r="P52" s="1" t="s">
        <v>42</v>
      </c>
      <c r="Q52" s="15">
        <v>0</v>
      </c>
      <c r="R52" s="22">
        <f>Table1[[#This Row],[STAB]]-Table1[[#This Row],[AMOUNT]]</f>
        <v>5050</v>
      </c>
      <c r="S52" s="1">
        <v>0</v>
      </c>
      <c r="T52" s="1" t="s">
        <v>79</v>
      </c>
      <c r="U52" s="1">
        <v>0</v>
      </c>
      <c r="V52" s="1" t="s">
        <v>267</v>
      </c>
      <c r="W52" s="1" t="s">
        <v>266</v>
      </c>
      <c r="X52" s="1" t="s">
        <v>268</v>
      </c>
      <c r="Y52" s="21" t="s">
        <v>2111</v>
      </c>
      <c r="Z52" s="21" t="s">
        <v>647</v>
      </c>
      <c r="AA52" s="21" t="s">
        <v>611</v>
      </c>
      <c r="AB52" s="21" t="s">
        <v>176</v>
      </c>
      <c r="AC52" s="21" t="s">
        <v>91</v>
      </c>
      <c r="AD52" s="21" t="s">
        <v>179</v>
      </c>
      <c r="AE52" s="21" t="s">
        <v>1182</v>
      </c>
      <c r="AF52" s="21" t="s">
        <v>261</v>
      </c>
      <c r="AG52" s="21">
        <v>803037151</v>
      </c>
      <c r="AH52" s="21" t="s">
        <v>131</v>
      </c>
      <c r="AI52" s="21" t="s">
        <v>492</v>
      </c>
      <c r="AJ52" s="21"/>
      <c r="AK52" s="28" t="s">
        <v>447</v>
      </c>
      <c r="AL52" s="21" t="s">
        <v>458</v>
      </c>
      <c r="AM52" s="21" t="s">
        <v>677</v>
      </c>
      <c r="AN52" s="21" t="s">
        <v>671</v>
      </c>
      <c r="AO52" s="23">
        <v>45626</v>
      </c>
      <c r="AP52" s="21">
        <v>55624</v>
      </c>
      <c r="AQ52" s="21" t="s">
        <v>629</v>
      </c>
      <c r="AR52" s="21" t="s">
        <v>81</v>
      </c>
      <c r="AS52" s="21" t="s">
        <v>726</v>
      </c>
      <c r="AT52" s="24">
        <v>46325</v>
      </c>
    </row>
    <row r="53" spans="1:46" x14ac:dyDescent="0.25">
      <c r="A53" s="20" t="s">
        <v>578</v>
      </c>
      <c r="B53" s="21" t="s">
        <v>593</v>
      </c>
      <c r="C53" s="1" t="s">
        <v>47</v>
      </c>
      <c r="D53" s="21">
        <v>12</v>
      </c>
      <c r="E53" s="21" t="s">
        <v>608</v>
      </c>
      <c r="F53" s="21" t="s">
        <v>77</v>
      </c>
      <c r="G53" s="22">
        <f>Table1[[#This Row],[ENR]]-Table1[[#This Row],[CREDIT]]</f>
        <v>46676.210000000006</v>
      </c>
      <c r="H53" s="21">
        <v>20000</v>
      </c>
      <c r="I53" s="35">
        <v>66676.210000000006</v>
      </c>
      <c r="J53" s="22" t="s">
        <v>78</v>
      </c>
      <c r="K53" s="22">
        <v>66676.210000000006</v>
      </c>
      <c r="L53" s="22">
        <v>59607.37</v>
      </c>
      <c r="M53" s="21">
        <v>55340</v>
      </c>
      <c r="N53" s="22">
        <v>41070</v>
      </c>
      <c r="O53" s="1" t="s">
        <v>41</v>
      </c>
      <c r="P53" s="1" t="s">
        <v>42</v>
      </c>
      <c r="Q53" s="15">
        <v>0</v>
      </c>
      <c r="R53" s="22">
        <f>Table1[[#This Row],[STAB]]-Table1[[#This Row],[AMOUNT]]</f>
        <v>41070</v>
      </c>
      <c r="S53" s="1">
        <v>0</v>
      </c>
      <c r="T53" s="1" t="s">
        <v>79</v>
      </c>
      <c r="U53" s="1">
        <v>0</v>
      </c>
      <c r="V53" s="1" t="s">
        <v>267</v>
      </c>
      <c r="W53" s="1" t="s">
        <v>107</v>
      </c>
      <c r="X53" s="1" t="s">
        <v>200</v>
      </c>
      <c r="Y53" s="21" t="s">
        <v>2111</v>
      </c>
      <c r="Z53" s="21" t="s">
        <v>659</v>
      </c>
      <c r="AA53" s="21" t="s">
        <v>623</v>
      </c>
      <c r="AB53" s="21" t="s">
        <v>257</v>
      </c>
      <c r="AC53" s="21" t="s">
        <v>93</v>
      </c>
      <c r="AD53" s="21" t="s">
        <v>262</v>
      </c>
      <c r="AE53" s="21" t="s">
        <v>264</v>
      </c>
      <c r="AF53" s="21" t="s">
        <v>263</v>
      </c>
      <c r="AG53" s="21">
        <v>802862338</v>
      </c>
      <c r="AH53" s="21" t="s">
        <v>130</v>
      </c>
      <c r="AI53" s="21" t="s">
        <v>492</v>
      </c>
      <c r="AJ53" s="21"/>
      <c r="AK53" s="28" t="s">
        <v>43</v>
      </c>
      <c r="AL53" s="21"/>
      <c r="AM53" s="21"/>
      <c r="AN53" s="21"/>
      <c r="AO53" s="23">
        <v>45481</v>
      </c>
      <c r="AP53" s="21">
        <v>4000</v>
      </c>
      <c r="AQ53" s="21" t="s">
        <v>641</v>
      </c>
      <c r="AR53" s="21" t="s">
        <v>81</v>
      </c>
      <c r="AS53" s="21" t="s">
        <v>726</v>
      </c>
      <c r="AT53" s="24">
        <v>46325</v>
      </c>
    </row>
    <row r="54" spans="1:46" x14ac:dyDescent="0.25">
      <c r="A54" s="20" t="s">
        <v>570</v>
      </c>
      <c r="B54" s="21" t="s">
        <v>585</v>
      </c>
      <c r="C54" s="1" t="s">
        <v>47</v>
      </c>
      <c r="D54" s="21">
        <v>12</v>
      </c>
      <c r="E54" s="21" t="s">
        <v>600</v>
      </c>
      <c r="F54" s="21" t="s">
        <v>77</v>
      </c>
      <c r="G54" s="22">
        <f>Table1[[#This Row],[ENR]]-Table1[[#This Row],[CREDIT]]</f>
        <v>-52197.919999999998</v>
      </c>
      <c r="H54" s="21">
        <v>90000</v>
      </c>
      <c r="I54" s="35">
        <v>37802.080000000002</v>
      </c>
      <c r="J54" s="22">
        <v>2317.84</v>
      </c>
      <c r="K54" s="22">
        <v>35484.239999999998</v>
      </c>
      <c r="L54" s="22">
        <v>32367.11</v>
      </c>
      <c r="M54" s="21">
        <v>11860</v>
      </c>
      <c r="N54" s="22">
        <v>6680</v>
      </c>
      <c r="O54" s="1" t="s">
        <v>41</v>
      </c>
      <c r="P54" s="1" t="s">
        <v>42</v>
      </c>
      <c r="Q54" s="15">
        <v>0</v>
      </c>
      <c r="R54" s="22">
        <f>Table1[[#This Row],[STAB]]-Table1[[#This Row],[AMOUNT]]</f>
        <v>6680</v>
      </c>
      <c r="S54" s="1">
        <v>0</v>
      </c>
      <c r="T54" s="1" t="s">
        <v>79</v>
      </c>
      <c r="U54" s="1">
        <v>0</v>
      </c>
      <c r="V54" s="1" t="s">
        <v>267</v>
      </c>
      <c r="W54" s="1" t="s">
        <v>265</v>
      </c>
      <c r="X54" s="1" t="s">
        <v>269</v>
      </c>
      <c r="Y54" s="21" t="s">
        <v>2110</v>
      </c>
      <c r="Z54" s="21" t="s">
        <v>651</v>
      </c>
      <c r="AA54" s="21" t="s">
        <v>615</v>
      </c>
      <c r="AB54" s="21" t="s">
        <v>248</v>
      </c>
      <c r="AC54" s="21" t="s">
        <v>91</v>
      </c>
      <c r="AD54" s="21" t="s">
        <v>122</v>
      </c>
      <c r="AE54" s="21" t="s">
        <v>667</v>
      </c>
      <c r="AF54" s="21" t="s">
        <v>666</v>
      </c>
      <c r="AG54" s="21">
        <v>802663344</v>
      </c>
      <c r="AH54" s="21" t="s">
        <v>132</v>
      </c>
      <c r="AI54" s="21" t="s">
        <v>492</v>
      </c>
      <c r="AJ54" s="21"/>
      <c r="AK54" s="28" t="s">
        <v>447</v>
      </c>
      <c r="AL54" s="21" t="s">
        <v>458</v>
      </c>
      <c r="AM54" s="21" t="s">
        <v>1942</v>
      </c>
      <c r="AN54" s="21" t="s">
        <v>1941</v>
      </c>
      <c r="AO54" s="23">
        <v>45451</v>
      </c>
      <c r="AP54" s="21">
        <v>11133</v>
      </c>
      <c r="AQ54" s="21" t="s">
        <v>633</v>
      </c>
      <c r="AR54" s="21" t="s">
        <v>89</v>
      </c>
      <c r="AS54" s="21" t="s">
        <v>726</v>
      </c>
      <c r="AT54" s="24">
        <v>46325</v>
      </c>
    </row>
    <row r="55" spans="1:46" x14ac:dyDescent="0.25">
      <c r="A55" s="20" t="s">
        <v>576</v>
      </c>
      <c r="B55" s="21" t="s">
        <v>591</v>
      </c>
      <c r="C55" s="1" t="s">
        <v>47</v>
      </c>
      <c r="D55" s="21">
        <v>12</v>
      </c>
      <c r="E55" s="21" t="s">
        <v>606</v>
      </c>
      <c r="F55" s="21" t="s">
        <v>77</v>
      </c>
      <c r="G55" s="22">
        <f>Table1[[#This Row],[ENR]]-Table1[[#This Row],[CREDIT]]</f>
        <v>-42124.35</v>
      </c>
      <c r="H55" s="21">
        <v>79000</v>
      </c>
      <c r="I55" s="35">
        <v>36875.65</v>
      </c>
      <c r="J55" s="22">
        <v>28996.53</v>
      </c>
      <c r="K55" s="22">
        <v>7879.12</v>
      </c>
      <c r="L55" s="22">
        <v>6298.91</v>
      </c>
      <c r="M55" s="21">
        <v>7879.12</v>
      </c>
      <c r="N55" s="22">
        <v>3890.81</v>
      </c>
      <c r="O55" s="1" t="s">
        <v>49</v>
      </c>
      <c r="P55" s="1" t="s">
        <v>12</v>
      </c>
      <c r="Q55" s="15">
        <v>7879.12</v>
      </c>
      <c r="R55" s="22">
        <f>Table1[[#This Row],[STAB]]-Table1[[#This Row],[AMOUNT]]</f>
        <v>-3988.31</v>
      </c>
      <c r="S55" s="1" t="s">
        <v>671</v>
      </c>
      <c r="T55" s="1" t="s">
        <v>446</v>
      </c>
      <c r="U55" s="1">
        <v>0</v>
      </c>
      <c r="V55" s="1" t="s">
        <v>267</v>
      </c>
      <c r="W55" s="1" t="s">
        <v>645</v>
      </c>
      <c r="X55" s="1" t="s">
        <v>646</v>
      </c>
      <c r="Y55" s="21" t="s">
        <v>2111</v>
      </c>
      <c r="Z55" s="21" t="s">
        <v>657</v>
      </c>
      <c r="AA55" s="21" t="s">
        <v>621</v>
      </c>
      <c r="AB55" s="21" t="s">
        <v>71</v>
      </c>
      <c r="AC55" s="21" t="s">
        <v>92</v>
      </c>
      <c r="AD55" s="21" t="s">
        <v>95</v>
      </c>
      <c r="AE55" s="21" t="s">
        <v>190</v>
      </c>
      <c r="AF55" s="21" t="s">
        <v>134</v>
      </c>
      <c r="AG55" s="21">
        <v>801436997</v>
      </c>
      <c r="AH55" s="21" t="s">
        <v>130</v>
      </c>
      <c r="AI55" s="21" t="s">
        <v>492</v>
      </c>
      <c r="AJ55" s="21"/>
      <c r="AK55" s="28" t="s">
        <v>447</v>
      </c>
      <c r="AL55" s="21"/>
      <c r="AM55" s="21"/>
      <c r="AN55" s="21"/>
      <c r="AO55" s="23">
        <v>46266</v>
      </c>
      <c r="AP55" s="21">
        <v>1119.18</v>
      </c>
      <c r="AQ55" s="21" t="s">
        <v>639</v>
      </c>
      <c r="AR55" s="21" t="s">
        <v>89</v>
      </c>
      <c r="AS55" s="21" t="s">
        <v>726</v>
      </c>
      <c r="AT55" s="24">
        <v>46325</v>
      </c>
    </row>
    <row r="56" spans="1:46" x14ac:dyDescent="0.25">
      <c r="A56" s="20" t="s">
        <v>579</v>
      </c>
      <c r="B56" s="21" t="s">
        <v>594</v>
      </c>
      <c r="C56" s="1" t="s">
        <v>47</v>
      </c>
      <c r="D56" s="21">
        <v>12</v>
      </c>
      <c r="E56" s="21" t="s">
        <v>609</v>
      </c>
      <c r="F56" s="21" t="s">
        <v>77</v>
      </c>
      <c r="G56" s="22">
        <f>Table1[[#This Row],[ENR]]-Table1[[#This Row],[CREDIT]]</f>
        <v>-13781.129999999997</v>
      </c>
      <c r="H56" s="21">
        <v>50000</v>
      </c>
      <c r="I56" s="35">
        <v>36218.870000000003</v>
      </c>
      <c r="J56" s="22" t="s">
        <v>78</v>
      </c>
      <c r="K56" s="22">
        <v>36218.870000000003</v>
      </c>
      <c r="L56" s="22">
        <v>32327.14</v>
      </c>
      <c r="M56" s="21">
        <v>5760</v>
      </c>
      <c r="N56" s="22">
        <v>1570</v>
      </c>
      <c r="O56" s="1" t="s">
        <v>49</v>
      </c>
      <c r="P56" s="1" t="s">
        <v>12</v>
      </c>
      <c r="Q56" s="15">
        <v>5760</v>
      </c>
      <c r="R56" s="22">
        <f>Table1[[#This Row],[STAB]]-Table1[[#This Row],[AMOUNT]]</f>
        <v>-4190</v>
      </c>
      <c r="S56" s="1" t="s">
        <v>680</v>
      </c>
      <c r="T56" s="1" t="s">
        <v>446</v>
      </c>
      <c r="U56" s="1">
        <v>0</v>
      </c>
      <c r="V56" s="1" t="s">
        <v>267</v>
      </c>
      <c r="W56" s="1" t="s">
        <v>265</v>
      </c>
      <c r="X56" s="1" t="s">
        <v>269</v>
      </c>
      <c r="Y56" s="21" t="s">
        <v>2110</v>
      </c>
      <c r="Z56" s="21" t="s">
        <v>660</v>
      </c>
      <c r="AA56" s="21" t="s">
        <v>624</v>
      </c>
      <c r="AB56" s="21" t="s">
        <v>248</v>
      </c>
      <c r="AC56" s="21" t="s">
        <v>91</v>
      </c>
      <c r="AD56" s="21" t="s">
        <v>50</v>
      </c>
      <c r="AE56" s="21" t="s">
        <v>254</v>
      </c>
      <c r="AF56" s="21" t="s">
        <v>247</v>
      </c>
      <c r="AG56" s="21">
        <v>802551967</v>
      </c>
      <c r="AH56" s="21" t="s">
        <v>131</v>
      </c>
      <c r="AI56" s="21" t="s">
        <v>492</v>
      </c>
      <c r="AJ56" s="21"/>
      <c r="AK56" s="28" t="s">
        <v>447</v>
      </c>
      <c r="AL56" s="21" t="s">
        <v>458</v>
      </c>
      <c r="AM56" s="21" t="s">
        <v>681</v>
      </c>
      <c r="AN56" s="21" t="s">
        <v>680</v>
      </c>
      <c r="AO56" s="23">
        <v>45946</v>
      </c>
      <c r="AP56" s="21">
        <v>2050</v>
      </c>
      <c r="AQ56" s="21" t="s">
        <v>642</v>
      </c>
      <c r="AR56" s="21" t="s">
        <v>82</v>
      </c>
      <c r="AS56" s="21" t="s">
        <v>726</v>
      </c>
      <c r="AT56" s="24">
        <v>46325</v>
      </c>
    </row>
    <row r="57" spans="1:46" x14ac:dyDescent="0.25">
      <c r="A57" s="54" t="s">
        <v>571</v>
      </c>
      <c r="B57" s="28" t="s">
        <v>586</v>
      </c>
      <c r="C57" s="1" t="s">
        <v>47</v>
      </c>
      <c r="D57" s="28">
        <v>12</v>
      </c>
      <c r="E57" s="28" t="s">
        <v>601</v>
      </c>
      <c r="F57" s="28" t="s">
        <v>77</v>
      </c>
      <c r="G57" s="55">
        <f>Table1[[#This Row],[ENR]]-Table1[[#This Row],[CREDIT]]</f>
        <v>-15869.470000000001</v>
      </c>
      <c r="H57" s="28">
        <v>38000</v>
      </c>
      <c r="I57" s="56">
        <v>22130.53</v>
      </c>
      <c r="J57" s="55" t="s">
        <v>78</v>
      </c>
      <c r="K57" s="55">
        <v>22130.53</v>
      </c>
      <c r="L57" s="55">
        <v>19146.02</v>
      </c>
      <c r="M57" s="28">
        <v>5900</v>
      </c>
      <c r="N57" s="55">
        <v>2820</v>
      </c>
      <c r="O57" s="1" t="s">
        <v>41</v>
      </c>
      <c r="P57" s="1" t="s">
        <v>42</v>
      </c>
      <c r="Q57" s="15">
        <v>0</v>
      </c>
      <c r="R57" s="55">
        <f>Table1[[#This Row],[STAB]]-Table1[[#This Row],[AMOUNT]]</f>
        <v>2820</v>
      </c>
      <c r="S57" s="1">
        <v>0</v>
      </c>
      <c r="T57" s="1" t="s">
        <v>79</v>
      </c>
      <c r="U57" s="1">
        <v>0</v>
      </c>
      <c r="V57" s="1" t="s">
        <v>267</v>
      </c>
      <c r="W57" s="1" t="s">
        <v>645</v>
      </c>
      <c r="X57" s="1" t="s">
        <v>646</v>
      </c>
      <c r="Y57" s="21" t="s">
        <v>2111</v>
      </c>
      <c r="Z57" s="28" t="s">
        <v>652</v>
      </c>
      <c r="AA57" s="28" t="s">
        <v>616</v>
      </c>
      <c r="AB57" s="28" t="s">
        <v>435</v>
      </c>
      <c r="AC57" s="28" t="s">
        <v>443</v>
      </c>
      <c r="AD57" s="28" t="s">
        <v>75</v>
      </c>
      <c r="AE57" s="21" t="s">
        <v>441</v>
      </c>
      <c r="AF57" s="28" t="s">
        <v>442</v>
      </c>
      <c r="AG57" s="28">
        <v>802789320</v>
      </c>
      <c r="AH57" s="28" t="s">
        <v>130</v>
      </c>
      <c r="AI57" s="21" t="s">
        <v>492</v>
      </c>
      <c r="AJ57" s="28"/>
      <c r="AK57" s="28" t="s">
        <v>447</v>
      </c>
      <c r="AL57" s="28" t="s">
        <v>458</v>
      </c>
      <c r="AM57" s="28" t="s">
        <v>2108</v>
      </c>
      <c r="AN57" s="28" t="s">
        <v>2093</v>
      </c>
      <c r="AO57" s="57">
        <v>46301</v>
      </c>
      <c r="AP57" s="28">
        <v>5200</v>
      </c>
      <c r="AQ57" s="28" t="s">
        <v>634</v>
      </c>
      <c r="AR57" s="28" t="s">
        <v>89</v>
      </c>
      <c r="AS57" s="21" t="s">
        <v>726</v>
      </c>
      <c r="AT57" s="58">
        <v>46325</v>
      </c>
    </row>
    <row r="58" spans="1:46" x14ac:dyDescent="0.25">
      <c r="A58" s="20" t="s">
        <v>687</v>
      </c>
      <c r="B58" s="21" t="s">
        <v>693</v>
      </c>
      <c r="C58" s="1" t="s">
        <v>47</v>
      </c>
      <c r="D58" s="21">
        <v>14</v>
      </c>
      <c r="E58" s="21" t="s">
        <v>699</v>
      </c>
      <c r="F58" s="21" t="s">
        <v>77</v>
      </c>
      <c r="G58" s="22">
        <f>Table1[[#This Row],[ENR]]-Table1[[#This Row],[CREDIT]]</f>
        <v>-21254.92</v>
      </c>
      <c r="H58" s="21">
        <v>100000</v>
      </c>
      <c r="I58" s="35">
        <v>78745.08</v>
      </c>
      <c r="J58" s="22">
        <v>15659.51</v>
      </c>
      <c r="K58" s="22">
        <v>63085.57</v>
      </c>
      <c r="L58" s="22">
        <v>58075.37</v>
      </c>
      <c r="M58" s="21">
        <v>31440</v>
      </c>
      <c r="N58" s="22">
        <v>17185.87</v>
      </c>
      <c r="O58" s="1" t="s">
        <v>41</v>
      </c>
      <c r="P58" s="1" t="s">
        <v>42</v>
      </c>
      <c r="Q58" s="15">
        <v>0</v>
      </c>
      <c r="R58" s="22">
        <f>Table1[[#This Row],[STAB]]-Table1[[#This Row],[AMOUNT]]</f>
        <v>17185.87</v>
      </c>
      <c r="S58" s="1">
        <v>0</v>
      </c>
      <c r="T58" s="1" t="s">
        <v>79</v>
      </c>
      <c r="U58" s="1">
        <v>0</v>
      </c>
      <c r="V58" s="1" t="s">
        <v>267</v>
      </c>
      <c r="W58" s="1" t="s">
        <v>107</v>
      </c>
      <c r="X58" s="1" t="s">
        <v>200</v>
      </c>
      <c r="Y58" s="21" t="s">
        <v>2111</v>
      </c>
      <c r="Z58" s="21" t="s">
        <v>705</v>
      </c>
      <c r="AA58" s="21" t="s">
        <v>711</v>
      </c>
      <c r="AB58" s="21" t="s">
        <v>717</v>
      </c>
      <c r="AC58" s="21" t="s">
        <v>93</v>
      </c>
      <c r="AD58" s="21" t="s">
        <v>410</v>
      </c>
      <c r="AE58" s="21" t="s">
        <v>412</v>
      </c>
      <c r="AF58" s="21" t="s">
        <v>489</v>
      </c>
      <c r="AG58" s="21">
        <v>802175739</v>
      </c>
      <c r="AH58" s="21" t="s">
        <v>130</v>
      </c>
      <c r="AI58" s="21" t="s">
        <v>492</v>
      </c>
      <c r="AJ58" s="21"/>
      <c r="AK58" s="28" t="s">
        <v>43</v>
      </c>
      <c r="AL58" s="21"/>
      <c r="AM58" s="21"/>
      <c r="AN58" s="21"/>
      <c r="AO58" s="23">
        <v>46296</v>
      </c>
      <c r="AP58" s="21">
        <v>22094.13</v>
      </c>
      <c r="AQ58" s="21" t="s">
        <v>718</v>
      </c>
      <c r="AR58" s="21" t="s">
        <v>106</v>
      </c>
      <c r="AS58" s="21" t="s">
        <v>725</v>
      </c>
      <c r="AT58" s="24">
        <v>46327</v>
      </c>
    </row>
    <row r="59" spans="1:46" x14ac:dyDescent="0.25">
      <c r="A59" s="20" t="s">
        <v>688</v>
      </c>
      <c r="B59" s="21" t="s">
        <v>694</v>
      </c>
      <c r="C59" s="1" t="s">
        <v>47</v>
      </c>
      <c r="D59" s="21">
        <v>14</v>
      </c>
      <c r="E59" s="21" t="s">
        <v>700</v>
      </c>
      <c r="F59" s="21" t="s">
        <v>77</v>
      </c>
      <c r="G59" s="22">
        <f>Table1[[#This Row],[ENR]]-Table1[[#This Row],[CREDIT]]</f>
        <v>11919.839999999997</v>
      </c>
      <c r="H59" s="21">
        <v>50000</v>
      </c>
      <c r="I59" s="35">
        <v>61919.839999999997</v>
      </c>
      <c r="J59" s="22">
        <v>26519.8</v>
      </c>
      <c r="K59" s="22">
        <v>35400.04</v>
      </c>
      <c r="L59" s="22">
        <v>31497.75</v>
      </c>
      <c r="M59" s="21">
        <v>9520</v>
      </c>
      <c r="N59" s="22">
        <v>4160</v>
      </c>
      <c r="O59" s="1" t="s">
        <v>41</v>
      </c>
      <c r="P59" s="1" t="s">
        <v>42</v>
      </c>
      <c r="Q59" s="15">
        <v>0</v>
      </c>
      <c r="R59" s="22">
        <f>Table1[[#This Row],[STAB]]-Table1[[#This Row],[AMOUNT]]</f>
        <v>4160</v>
      </c>
      <c r="S59" s="1">
        <v>0</v>
      </c>
      <c r="T59" s="1" t="s">
        <v>79</v>
      </c>
      <c r="U59" s="1">
        <v>0</v>
      </c>
      <c r="V59" s="1" t="s">
        <v>267</v>
      </c>
      <c r="W59" s="1" t="s">
        <v>107</v>
      </c>
      <c r="X59" s="1" t="s">
        <v>200</v>
      </c>
      <c r="Y59" s="21" t="s">
        <v>2111</v>
      </c>
      <c r="Z59" s="21" t="s">
        <v>706</v>
      </c>
      <c r="AA59" s="21" t="s">
        <v>712</v>
      </c>
      <c r="AB59" s="21" t="s">
        <v>138</v>
      </c>
      <c r="AC59" s="21" t="s">
        <v>93</v>
      </c>
      <c r="AD59" s="21" t="s">
        <v>139</v>
      </c>
      <c r="AE59" s="21" t="s">
        <v>202</v>
      </c>
      <c r="AF59" s="21" t="s">
        <v>490</v>
      </c>
      <c r="AG59" s="21">
        <v>802823528</v>
      </c>
      <c r="AH59" s="21" t="s">
        <v>488</v>
      </c>
      <c r="AI59" s="21" t="s">
        <v>492</v>
      </c>
      <c r="AJ59" s="21"/>
      <c r="AK59" s="28" t="s">
        <v>43</v>
      </c>
      <c r="AL59" s="21"/>
      <c r="AM59" s="21"/>
      <c r="AN59" s="21"/>
      <c r="AO59" s="23">
        <v>46255</v>
      </c>
      <c r="AP59" s="21">
        <v>220.15</v>
      </c>
      <c r="AQ59" s="21" t="s">
        <v>719</v>
      </c>
      <c r="AR59" s="21" t="s">
        <v>106</v>
      </c>
      <c r="AS59" s="21" t="s">
        <v>725</v>
      </c>
      <c r="AT59" s="24">
        <v>46327</v>
      </c>
    </row>
    <row r="60" spans="1:46" x14ac:dyDescent="0.25">
      <c r="A60" s="20" t="s">
        <v>690</v>
      </c>
      <c r="B60" s="21" t="s">
        <v>696</v>
      </c>
      <c r="C60" s="1" t="s">
        <v>47</v>
      </c>
      <c r="D60" s="21">
        <v>14</v>
      </c>
      <c r="E60" s="21" t="s">
        <v>702</v>
      </c>
      <c r="F60" s="21" t="s">
        <v>77</v>
      </c>
      <c r="G60" s="22">
        <f>Table1[[#This Row],[ENR]]-Table1[[#This Row],[CREDIT]]</f>
        <v>-2507.6999999999971</v>
      </c>
      <c r="H60" s="21">
        <v>45000</v>
      </c>
      <c r="I60" s="35">
        <v>42492.3</v>
      </c>
      <c r="J60" s="22" t="s">
        <v>78</v>
      </c>
      <c r="K60" s="22">
        <v>42492.3</v>
      </c>
      <c r="L60" s="22">
        <v>39422.65</v>
      </c>
      <c r="M60" s="21">
        <v>7930</v>
      </c>
      <c r="N60" s="22">
        <v>4533</v>
      </c>
      <c r="O60" s="1" t="s">
        <v>41</v>
      </c>
      <c r="P60" s="1" t="s">
        <v>42</v>
      </c>
      <c r="Q60" s="15">
        <v>0</v>
      </c>
      <c r="R60" s="22">
        <f>Table1[[#This Row],[STAB]]-Table1[[#This Row],[AMOUNT]]</f>
        <v>4533</v>
      </c>
      <c r="S60" s="1">
        <v>0</v>
      </c>
      <c r="T60" s="1" t="s">
        <v>79</v>
      </c>
      <c r="U60" s="1">
        <v>0</v>
      </c>
      <c r="V60" s="1" t="s">
        <v>267</v>
      </c>
      <c r="W60" s="1" t="s">
        <v>265</v>
      </c>
      <c r="X60" s="1" t="s">
        <v>269</v>
      </c>
      <c r="Y60" s="21" t="s">
        <v>2111</v>
      </c>
      <c r="Z60" s="21" t="s">
        <v>708</v>
      </c>
      <c r="AA60" s="21" t="s">
        <v>714</v>
      </c>
      <c r="AB60" s="21" t="s">
        <v>70</v>
      </c>
      <c r="AC60" s="21" t="s">
        <v>91</v>
      </c>
      <c r="AD60" s="21" t="s">
        <v>51</v>
      </c>
      <c r="AE60" s="21" t="s">
        <v>189</v>
      </c>
      <c r="AF60" s="21" t="s">
        <v>136</v>
      </c>
      <c r="AG60" s="21">
        <v>801772792</v>
      </c>
      <c r="AH60" s="21" t="s">
        <v>132</v>
      </c>
      <c r="AI60" s="21" t="s">
        <v>492</v>
      </c>
      <c r="AJ60" s="21"/>
      <c r="AK60" s="28" t="s">
        <v>447</v>
      </c>
      <c r="AL60" s="21" t="s">
        <v>454</v>
      </c>
      <c r="AM60" s="21" t="s">
        <v>2089</v>
      </c>
      <c r="AN60" s="21" t="s">
        <v>2084</v>
      </c>
      <c r="AO60" s="23">
        <v>46293</v>
      </c>
      <c r="AP60" s="21">
        <v>2425</v>
      </c>
      <c r="AQ60" s="21" t="s">
        <v>721</v>
      </c>
      <c r="AR60" s="21" t="s">
        <v>724</v>
      </c>
      <c r="AS60" s="21" t="s">
        <v>725</v>
      </c>
      <c r="AT60" s="24">
        <v>46327</v>
      </c>
    </row>
    <row r="61" spans="1:46" x14ac:dyDescent="0.25">
      <c r="A61" s="20" t="s">
        <v>689</v>
      </c>
      <c r="B61" s="21" t="s">
        <v>695</v>
      </c>
      <c r="C61" s="1" t="s">
        <v>47</v>
      </c>
      <c r="D61" s="21">
        <v>14</v>
      </c>
      <c r="E61" s="21" t="s">
        <v>701</v>
      </c>
      <c r="F61" s="21" t="s">
        <v>77</v>
      </c>
      <c r="G61" s="22">
        <f>Table1[[#This Row],[ENR]]-Table1[[#This Row],[CREDIT]]</f>
        <v>-4273.3399999999965</v>
      </c>
      <c r="H61" s="21">
        <v>45000</v>
      </c>
      <c r="I61" s="35">
        <v>40726.660000000003</v>
      </c>
      <c r="J61" s="22" t="s">
        <v>78</v>
      </c>
      <c r="K61" s="22">
        <v>40726.660000000003</v>
      </c>
      <c r="L61" s="22">
        <v>37445.660000000003</v>
      </c>
      <c r="M61" s="21">
        <v>11550</v>
      </c>
      <c r="N61" s="22">
        <v>8409.1200000000008</v>
      </c>
      <c r="O61" s="1" t="s">
        <v>41</v>
      </c>
      <c r="P61" s="1" t="s">
        <v>42</v>
      </c>
      <c r="Q61" s="15">
        <v>0</v>
      </c>
      <c r="R61" s="22">
        <f>Table1[[#This Row],[STAB]]-Table1[[#This Row],[AMOUNT]]</f>
        <v>8409.1200000000008</v>
      </c>
      <c r="S61" s="1">
        <v>0</v>
      </c>
      <c r="T61" s="1" t="s">
        <v>79</v>
      </c>
      <c r="U61" s="1">
        <v>0</v>
      </c>
      <c r="V61" s="1" t="s">
        <v>267</v>
      </c>
      <c r="W61" s="1" t="s">
        <v>265</v>
      </c>
      <c r="X61" s="1" t="s">
        <v>269</v>
      </c>
      <c r="Y61" s="21" t="s">
        <v>2111</v>
      </c>
      <c r="Z61" s="21" t="s">
        <v>707</v>
      </c>
      <c r="AA61" s="21" t="s">
        <v>713</v>
      </c>
      <c r="AB61" s="21" t="s">
        <v>149</v>
      </c>
      <c r="AC61" s="21" t="s">
        <v>91</v>
      </c>
      <c r="AD61" s="1" t="s">
        <v>2080</v>
      </c>
      <c r="AE61" s="59" t="s">
        <v>2081</v>
      </c>
      <c r="AF61" s="21" t="s">
        <v>274</v>
      </c>
      <c r="AG61" s="21">
        <v>801354813</v>
      </c>
      <c r="AH61" s="21" t="s">
        <v>132</v>
      </c>
      <c r="AI61" s="21" t="s">
        <v>492</v>
      </c>
      <c r="AJ61" s="21"/>
      <c r="AK61" s="28" t="s">
        <v>43</v>
      </c>
      <c r="AL61" s="21"/>
      <c r="AM61" s="21"/>
      <c r="AN61" s="21"/>
      <c r="AO61" s="23">
        <v>46298</v>
      </c>
      <c r="AP61" s="21">
        <v>17220.88</v>
      </c>
      <c r="AQ61" s="21" t="s">
        <v>720</v>
      </c>
      <c r="AR61" s="21" t="s">
        <v>724</v>
      </c>
      <c r="AS61" s="21" t="s">
        <v>725</v>
      </c>
      <c r="AT61" s="24">
        <v>46327</v>
      </c>
    </row>
    <row r="62" spans="1:46" x14ac:dyDescent="0.25">
      <c r="A62" s="20" t="s">
        <v>692</v>
      </c>
      <c r="B62" s="21" t="s">
        <v>698</v>
      </c>
      <c r="C62" s="1" t="s">
        <v>47</v>
      </c>
      <c r="D62" s="21">
        <v>15</v>
      </c>
      <c r="E62" s="21" t="s">
        <v>704</v>
      </c>
      <c r="F62" s="21" t="s">
        <v>77</v>
      </c>
      <c r="G62" s="22">
        <f>Table1[[#This Row],[ENR]]-Table1[[#This Row],[CREDIT]]</f>
        <v>233957.66000000003</v>
      </c>
      <c r="H62" s="21">
        <v>300000</v>
      </c>
      <c r="I62" s="35">
        <v>533957.66</v>
      </c>
      <c r="J62" s="22">
        <v>202568.58</v>
      </c>
      <c r="K62" s="22">
        <v>331389.08</v>
      </c>
      <c r="L62" s="22">
        <v>306416.65000000002</v>
      </c>
      <c r="M62" s="21">
        <v>108010</v>
      </c>
      <c r="N62" s="22">
        <v>30600</v>
      </c>
      <c r="O62" s="1" t="s">
        <v>41</v>
      </c>
      <c r="P62" s="1" t="s">
        <v>42</v>
      </c>
      <c r="Q62" s="15">
        <v>0</v>
      </c>
      <c r="R62" s="22">
        <f>Table1[[#This Row],[STAB]]-Table1[[#This Row],[AMOUNT]]</f>
        <v>30600</v>
      </c>
      <c r="S62" s="1">
        <v>0</v>
      </c>
      <c r="T62" s="1" t="s">
        <v>79</v>
      </c>
      <c r="U62" s="1">
        <v>0</v>
      </c>
      <c r="V62" s="1" t="s">
        <v>267</v>
      </c>
      <c r="W62" s="1" t="s">
        <v>266</v>
      </c>
      <c r="X62" s="1" t="s">
        <v>268</v>
      </c>
      <c r="Y62" s="21" t="s">
        <v>2111</v>
      </c>
      <c r="Z62" s="21" t="s">
        <v>710</v>
      </c>
      <c r="AA62" s="21" t="s">
        <v>716</v>
      </c>
      <c r="AB62" s="21" t="s">
        <v>176</v>
      </c>
      <c r="AC62" s="21" t="s">
        <v>91</v>
      </c>
      <c r="AD62" s="21" t="s">
        <v>872</v>
      </c>
      <c r="AE62" s="21" t="s">
        <v>873</v>
      </c>
      <c r="AF62" s="21" t="s">
        <v>261</v>
      </c>
      <c r="AG62" s="21">
        <v>803037151</v>
      </c>
      <c r="AH62" s="21" t="s">
        <v>131</v>
      </c>
      <c r="AI62" s="21" t="s">
        <v>492</v>
      </c>
      <c r="AJ62" s="21"/>
      <c r="AK62" s="28" t="s">
        <v>447</v>
      </c>
      <c r="AL62" s="21" t="s">
        <v>458</v>
      </c>
      <c r="AM62" s="21" t="s">
        <v>2088</v>
      </c>
      <c r="AN62" s="21" t="s">
        <v>2084</v>
      </c>
      <c r="AO62" s="23">
        <v>46083</v>
      </c>
      <c r="AP62" s="21">
        <v>170800</v>
      </c>
      <c r="AQ62" s="21" t="s">
        <v>723</v>
      </c>
      <c r="AR62" s="21" t="s">
        <v>112</v>
      </c>
      <c r="AS62" s="21" t="s">
        <v>725</v>
      </c>
      <c r="AT62" s="24">
        <v>46328</v>
      </c>
    </row>
    <row r="63" spans="1:46" x14ac:dyDescent="0.25">
      <c r="A63" s="54" t="s">
        <v>691</v>
      </c>
      <c r="B63" s="28" t="s">
        <v>697</v>
      </c>
      <c r="C63" s="1" t="s">
        <v>47</v>
      </c>
      <c r="D63" s="28">
        <v>15</v>
      </c>
      <c r="E63" s="28" t="s">
        <v>703</v>
      </c>
      <c r="F63" s="28" t="s">
        <v>77</v>
      </c>
      <c r="G63" s="55">
        <f>Table1[[#This Row],[ENR]]-Table1[[#This Row],[CREDIT]]</f>
        <v>-299155.06</v>
      </c>
      <c r="H63" s="28">
        <v>470000</v>
      </c>
      <c r="I63" s="56">
        <v>170844.94</v>
      </c>
      <c r="J63" s="55">
        <v>66583.600000000006</v>
      </c>
      <c r="K63" s="55">
        <v>104261.34</v>
      </c>
      <c r="L63" s="55">
        <v>95422.1</v>
      </c>
      <c r="M63" s="28">
        <v>15710</v>
      </c>
      <c r="N63" s="55">
        <v>2530</v>
      </c>
      <c r="O63" s="1" t="s">
        <v>49</v>
      </c>
      <c r="P63" s="1" t="s">
        <v>13</v>
      </c>
      <c r="Q63" s="15">
        <v>2550</v>
      </c>
      <c r="R63" s="55">
        <f>Table1[[#This Row],[STAB]]-Table1[[#This Row],[AMOUNT]]</f>
        <v>-20</v>
      </c>
      <c r="S63" s="1" t="s">
        <v>728</v>
      </c>
      <c r="T63" s="1" t="s">
        <v>446</v>
      </c>
      <c r="U63" s="1">
        <v>0</v>
      </c>
      <c r="V63" s="1" t="s">
        <v>267</v>
      </c>
      <c r="W63" s="1" t="s">
        <v>265</v>
      </c>
      <c r="X63" s="1" t="s">
        <v>269</v>
      </c>
      <c r="Y63" s="21" t="s">
        <v>2111</v>
      </c>
      <c r="Z63" s="28" t="s">
        <v>709</v>
      </c>
      <c r="AA63" s="28" t="s">
        <v>715</v>
      </c>
      <c r="AB63" s="28" t="s">
        <v>80</v>
      </c>
      <c r="AC63" s="28" t="s">
        <v>91</v>
      </c>
      <c r="AD63" s="28" t="s">
        <v>111</v>
      </c>
      <c r="AE63" s="21" t="s">
        <v>565</v>
      </c>
      <c r="AF63" s="28" t="s">
        <v>563</v>
      </c>
      <c r="AG63" s="28">
        <v>802794852</v>
      </c>
      <c r="AH63" s="28" t="s">
        <v>130</v>
      </c>
      <c r="AI63" s="21" t="s">
        <v>492</v>
      </c>
      <c r="AJ63" s="28"/>
      <c r="AK63" s="28" t="s">
        <v>447</v>
      </c>
      <c r="AL63" s="28" t="s">
        <v>458</v>
      </c>
      <c r="AM63" s="28" t="s">
        <v>730</v>
      </c>
      <c r="AN63" s="28" t="s">
        <v>728</v>
      </c>
      <c r="AO63" s="57" t="s">
        <v>78</v>
      </c>
      <c r="AP63" s="28">
        <v>0</v>
      </c>
      <c r="AQ63" s="28" t="s">
        <v>722</v>
      </c>
      <c r="AR63" s="28" t="s">
        <v>112</v>
      </c>
      <c r="AS63" s="21" t="s">
        <v>725</v>
      </c>
      <c r="AT63" s="58">
        <v>46328</v>
      </c>
    </row>
    <row r="64" spans="1:46" x14ac:dyDescent="0.25">
      <c r="A64" s="20" t="s">
        <v>753</v>
      </c>
      <c r="B64" s="21" t="s">
        <v>776</v>
      </c>
      <c r="C64" s="1" t="s">
        <v>47</v>
      </c>
      <c r="D64" s="21">
        <v>16</v>
      </c>
      <c r="E64" s="21" t="s">
        <v>799</v>
      </c>
      <c r="F64" s="21" t="s">
        <v>77</v>
      </c>
      <c r="G64" s="22">
        <f>Table1[[#This Row],[ENR]]-Table1[[#This Row],[CREDIT]]</f>
        <v>512334.54000000004</v>
      </c>
      <c r="H64" s="21">
        <v>290000</v>
      </c>
      <c r="I64" s="35">
        <v>802334.54</v>
      </c>
      <c r="J64" s="22">
        <v>671260.99</v>
      </c>
      <c r="K64" s="22">
        <v>131073.54999999999</v>
      </c>
      <c r="L64" s="22">
        <v>115184.62</v>
      </c>
      <c r="M64" s="21">
        <v>92660</v>
      </c>
      <c r="N64" s="22">
        <v>45040</v>
      </c>
      <c r="O64" s="1" t="s">
        <v>41</v>
      </c>
      <c r="P64" s="1" t="s">
        <v>42</v>
      </c>
      <c r="Q64" s="15">
        <v>0</v>
      </c>
      <c r="R64" s="22">
        <f>Table1[[#This Row],[STAB]]-Table1[[#This Row],[AMOUNT]]</f>
        <v>45040</v>
      </c>
      <c r="S64" s="1">
        <v>0</v>
      </c>
      <c r="T64" s="1" t="s">
        <v>79</v>
      </c>
      <c r="U64" s="1">
        <v>0</v>
      </c>
      <c r="V64" s="1" t="s">
        <v>267</v>
      </c>
      <c r="W64" s="1" t="s">
        <v>107</v>
      </c>
      <c r="X64" s="1" t="s">
        <v>200</v>
      </c>
      <c r="Y64" s="21" t="s">
        <v>2111</v>
      </c>
      <c r="Z64" s="21" t="s">
        <v>822</v>
      </c>
      <c r="AA64" s="21" t="s">
        <v>845</v>
      </c>
      <c r="AB64" s="21" t="s">
        <v>434</v>
      </c>
      <c r="AC64" s="21" t="s">
        <v>93</v>
      </c>
      <c r="AD64" s="21" t="s">
        <v>460</v>
      </c>
      <c r="AE64" s="21" t="s">
        <v>444</v>
      </c>
      <c r="AF64" s="21" t="s">
        <v>181</v>
      </c>
      <c r="AG64" s="21">
        <v>802823180</v>
      </c>
      <c r="AH64" s="21" t="s">
        <v>132</v>
      </c>
      <c r="AI64" s="21" t="s">
        <v>492</v>
      </c>
      <c r="AJ64" s="21"/>
      <c r="AK64" s="28" t="s">
        <v>447</v>
      </c>
      <c r="AL64" s="21" t="s">
        <v>454</v>
      </c>
      <c r="AM64" s="21" t="s">
        <v>2087</v>
      </c>
      <c r="AN64" s="21" t="s">
        <v>2084</v>
      </c>
      <c r="AO64" s="23">
        <v>46058</v>
      </c>
      <c r="AP64" s="21">
        <v>29831</v>
      </c>
      <c r="AQ64" s="21" t="s">
        <v>869</v>
      </c>
      <c r="AR64" s="21" t="s">
        <v>81</v>
      </c>
      <c r="AS64" s="21" t="s">
        <v>871</v>
      </c>
      <c r="AT64" s="24">
        <v>46329</v>
      </c>
    </row>
    <row r="65" spans="1:46" x14ac:dyDescent="0.25">
      <c r="A65" s="20" t="s">
        <v>740</v>
      </c>
      <c r="B65" s="21" t="s">
        <v>763</v>
      </c>
      <c r="C65" s="1" t="s">
        <v>47</v>
      </c>
      <c r="D65" s="21">
        <v>16</v>
      </c>
      <c r="E65" s="21" t="s">
        <v>786</v>
      </c>
      <c r="F65" s="21" t="s">
        <v>77</v>
      </c>
      <c r="G65" s="22">
        <f>Table1[[#This Row],[ENR]]-Table1[[#This Row],[CREDIT]]</f>
        <v>412515.83</v>
      </c>
      <c r="H65" s="21">
        <v>100000</v>
      </c>
      <c r="I65" s="35">
        <v>512515.83</v>
      </c>
      <c r="J65" s="22">
        <v>377082.47</v>
      </c>
      <c r="K65" s="22">
        <v>135433.35999999999</v>
      </c>
      <c r="L65" s="22">
        <v>119764.31</v>
      </c>
      <c r="M65" s="21">
        <v>84980</v>
      </c>
      <c r="N65" s="22">
        <v>40420</v>
      </c>
      <c r="O65" s="1" t="s">
        <v>41</v>
      </c>
      <c r="P65" s="1" t="s">
        <v>42</v>
      </c>
      <c r="Q65" s="15">
        <v>0</v>
      </c>
      <c r="R65" s="22">
        <f>Table1[[#This Row],[STAB]]-Table1[[#This Row],[AMOUNT]]</f>
        <v>40420</v>
      </c>
      <c r="S65" s="1">
        <v>0</v>
      </c>
      <c r="T65" s="1" t="s">
        <v>79</v>
      </c>
      <c r="U65" s="1">
        <v>0</v>
      </c>
      <c r="V65" s="1" t="s">
        <v>267</v>
      </c>
      <c r="W65" s="1" t="s">
        <v>265</v>
      </c>
      <c r="X65" s="1" t="s">
        <v>269</v>
      </c>
      <c r="Y65" s="21" t="s">
        <v>2111</v>
      </c>
      <c r="Z65" s="21" t="s">
        <v>809</v>
      </c>
      <c r="AA65" s="21" t="s">
        <v>832</v>
      </c>
      <c r="AB65" s="21" t="s">
        <v>80</v>
      </c>
      <c r="AC65" s="21" t="s">
        <v>91</v>
      </c>
      <c r="AD65" s="21" t="s">
        <v>99</v>
      </c>
      <c r="AE65" s="21" t="s">
        <v>449</v>
      </c>
      <c r="AF65" s="21" t="s">
        <v>450</v>
      </c>
      <c r="AG65" s="21">
        <v>802898520</v>
      </c>
      <c r="AH65" s="21" t="s">
        <v>130</v>
      </c>
      <c r="AI65" s="21" t="s">
        <v>492</v>
      </c>
      <c r="AJ65" s="21"/>
      <c r="AK65" s="28" t="s">
        <v>447</v>
      </c>
      <c r="AL65" s="21" t="s">
        <v>458</v>
      </c>
      <c r="AM65" s="21" t="s">
        <v>2078</v>
      </c>
      <c r="AN65" s="21" t="s">
        <v>1956</v>
      </c>
      <c r="AO65" s="23">
        <v>45466</v>
      </c>
      <c r="AP65" s="21">
        <v>95412</v>
      </c>
      <c r="AQ65" s="21" t="s">
        <v>856</v>
      </c>
      <c r="AR65" s="21" t="s">
        <v>106</v>
      </c>
      <c r="AS65" s="21" t="s">
        <v>871</v>
      </c>
      <c r="AT65" s="24">
        <v>46329</v>
      </c>
    </row>
    <row r="66" spans="1:46" x14ac:dyDescent="0.25">
      <c r="A66" s="20" t="s">
        <v>750</v>
      </c>
      <c r="B66" s="21" t="s">
        <v>773</v>
      </c>
      <c r="C66" s="1" t="s">
        <v>47</v>
      </c>
      <c r="D66" s="21">
        <v>16</v>
      </c>
      <c r="E66" s="21" t="s">
        <v>796</v>
      </c>
      <c r="F66" s="21" t="s">
        <v>77</v>
      </c>
      <c r="G66" s="22">
        <f>Table1[[#This Row],[ENR]]-Table1[[#This Row],[CREDIT]]</f>
        <v>26216.190000000002</v>
      </c>
      <c r="H66" s="21">
        <v>300000</v>
      </c>
      <c r="I66" s="35">
        <v>326216.19</v>
      </c>
      <c r="J66" s="22" t="s">
        <v>78</v>
      </c>
      <c r="K66" s="22">
        <v>326216.19</v>
      </c>
      <c r="L66" s="22">
        <v>297343.38</v>
      </c>
      <c r="M66" s="21">
        <v>71810</v>
      </c>
      <c r="N66" s="22">
        <v>28350</v>
      </c>
      <c r="O66" s="1" t="s">
        <v>49</v>
      </c>
      <c r="P66" s="1" t="s">
        <v>13</v>
      </c>
      <c r="Q66" s="15">
        <v>32000</v>
      </c>
      <c r="R66" s="22">
        <f>Table1[[#This Row],[STAB]]-Table1[[#This Row],[AMOUNT]]</f>
        <v>-3650</v>
      </c>
      <c r="S66" s="1" t="s">
        <v>2093</v>
      </c>
      <c r="T66" s="1" t="s">
        <v>446</v>
      </c>
      <c r="U66" s="1">
        <v>0</v>
      </c>
      <c r="V66" s="1" t="s">
        <v>267</v>
      </c>
      <c r="W66" s="1" t="s">
        <v>107</v>
      </c>
      <c r="X66" s="1" t="s">
        <v>200</v>
      </c>
      <c r="Y66" s="21" t="s">
        <v>2111</v>
      </c>
      <c r="Z66" s="21" t="s">
        <v>819</v>
      </c>
      <c r="AA66" s="21" t="s">
        <v>842</v>
      </c>
      <c r="AB66" s="21" t="s">
        <v>256</v>
      </c>
      <c r="AC66" s="21" t="s">
        <v>93</v>
      </c>
      <c r="AD66" s="21" t="s">
        <v>460</v>
      </c>
      <c r="AE66" s="21" t="s">
        <v>444</v>
      </c>
      <c r="AF66" s="21" t="s">
        <v>181</v>
      </c>
      <c r="AG66" s="21">
        <v>802823180</v>
      </c>
      <c r="AH66" s="21" t="s">
        <v>132</v>
      </c>
      <c r="AI66" s="21" t="s">
        <v>492</v>
      </c>
      <c r="AJ66" s="21"/>
      <c r="AK66" s="28" t="s">
        <v>447</v>
      </c>
      <c r="AL66" s="21"/>
      <c r="AM66" s="21"/>
      <c r="AN66" s="21"/>
      <c r="AO66" s="23">
        <v>45468</v>
      </c>
      <c r="AP66" s="21">
        <v>14964.8</v>
      </c>
      <c r="AQ66" s="21" t="s">
        <v>866</v>
      </c>
      <c r="AR66" s="21" t="s">
        <v>870</v>
      </c>
      <c r="AS66" s="21" t="s">
        <v>871</v>
      </c>
      <c r="AT66" s="24">
        <v>46329</v>
      </c>
    </row>
    <row r="67" spans="1:46" x14ac:dyDescent="0.25">
      <c r="A67" s="20" t="s">
        <v>737</v>
      </c>
      <c r="B67" s="21" t="s">
        <v>760</v>
      </c>
      <c r="C67" s="1" t="s">
        <v>47</v>
      </c>
      <c r="D67" s="21">
        <v>16</v>
      </c>
      <c r="E67" s="21" t="s">
        <v>783</v>
      </c>
      <c r="F67" s="21" t="s">
        <v>77</v>
      </c>
      <c r="G67" s="22">
        <f>Table1[[#This Row],[ENR]]-Table1[[#This Row],[CREDIT]]</f>
        <v>-27902.049999999988</v>
      </c>
      <c r="H67" s="21">
        <v>250000</v>
      </c>
      <c r="I67" s="35">
        <v>222097.95</v>
      </c>
      <c r="J67" s="22">
        <v>184168.08</v>
      </c>
      <c r="K67" s="22">
        <v>37929.870000000003</v>
      </c>
      <c r="L67" s="22">
        <v>28283.18</v>
      </c>
      <c r="M67" s="21">
        <v>37929.870000000003</v>
      </c>
      <c r="N67" s="22">
        <v>17796.7</v>
      </c>
      <c r="O67" s="1" t="s">
        <v>49</v>
      </c>
      <c r="P67" s="1" t="s">
        <v>12</v>
      </c>
      <c r="Q67" s="15">
        <v>37929.870000000003</v>
      </c>
      <c r="R67" s="22">
        <f>Table1[[#This Row],[STAB]]-Table1[[#This Row],[AMOUNT]]</f>
        <v>-20133.170000000002</v>
      </c>
      <c r="S67" s="1" t="s">
        <v>1956</v>
      </c>
      <c r="T67" s="1" t="s">
        <v>673</v>
      </c>
      <c r="U67" s="1">
        <v>0</v>
      </c>
      <c r="V67" s="1" t="s">
        <v>267</v>
      </c>
      <c r="W67" s="1" t="s">
        <v>266</v>
      </c>
      <c r="X67" s="1" t="s">
        <v>268</v>
      </c>
      <c r="Y67" s="21" t="s">
        <v>2111</v>
      </c>
      <c r="Z67" s="21" t="s">
        <v>806</v>
      </c>
      <c r="AA67" s="21" t="s">
        <v>829</v>
      </c>
      <c r="AB67" s="21" t="s">
        <v>176</v>
      </c>
      <c r="AC67" s="21" t="s">
        <v>91</v>
      </c>
      <c r="AD67" s="21" t="s">
        <v>872</v>
      </c>
      <c r="AE67" s="21" t="s">
        <v>873</v>
      </c>
      <c r="AF67" s="21" t="s">
        <v>261</v>
      </c>
      <c r="AG67" s="21">
        <v>803037151</v>
      </c>
      <c r="AH67" s="21" t="s">
        <v>131</v>
      </c>
      <c r="AI67" s="21" t="s">
        <v>492</v>
      </c>
      <c r="AJ67" s="21"/>
      <c r="AK67" s="28" t="s">
        <v>447</v>
      </c>
      <c r="AL67" s="21"/>
      <c r="AM67" s="21"/>
      <c r="AN67" s="21"/>
      <c r="AO67" s="23">
        <v>45815</v>
      </c>
      <c r="AP67" s="21">
        <v>12453.87</v>
      </c>
      <c r="AQ67" s="21" t="s">
        <v>853</v>
      </c>
      <c r="AR67" s="21" t="s">
        <v>106</v>
      </c>
      <c r="AS67" s="21" t="s">
        <v>871</v>
      </c>
      <c r="AT67" s="24">
        <v>46329</v>
      </c>
    </row>
    <row r="68" spans="1:46" x14ac:dyDescent="0.25">
      <c r="A68" s="20" t="s">
        <v>742</v>
      </c>
      <c r="B68" s="21" t="s">
        <v>765</v>
      </c>
      <c r="C68" s="1" t="s">
        <v>47</v>
      </c>
      <c r="D68" s="21">
        <v>16</v>
      </c>
      <c r="E68" s="21" t="s">
        <v>788</v>
      </c>
      <c r="F68" s="21" t="s">
        <v>77</v>
      </c>
      <c r="G68" s="22">
        <f>Table1[[#This Row],[ENR]]-Table1[[#This Row],[CREDIT]]</f>
        <v>-63003.98000000001</v>
      </c>
      <c r="H68" s="21">
        <v>280000</v>
      </c>
      <c r="I68" s="35">
        <v>216996.02</v>
      </c>
      <c r="J68" s="22">
        <v>1826.3</v>
      </c>
      <c r="K68" s="22">
        <v>215169.72</v>
      </c>
      <c r="L68" s="22">
        <v>196318.93</v>
      </c>
      <c r="M68" s="21">
        <v>179810</v>
      </c>
      <c r="N68" s="22">
        <v>1940</v>
      </c>
      <c r="O68" s="1" t="s">
        <v>41</v>
      </c>
      <c r="P68" s="1" t="s">
        <v>42</v>
      </c>
      <c r="Q68" s="15">
        <v>0</v>
      </c>
      <c r="R68" s="22">
        <f>Table1[[#This Row],[STAB]]-Table1[[#This Row],[AMOUNT]]</f>
        <v>1940</v>
      </c>
      <c r="S68" s="1">
        <v>0</v>
      </c>
      <c r="T68" s="1" t="s">
        <v>79</v>
      </c>
      <c r="U68" s="1">
        <v>0</v>
      </c>
      <c r="V68" s="1" t="s">
        <v>267</v>
      </c>
      <c r="W68" s="1" t="s">
        <v>107</v>
      </c>
      <c r="X68" s="1" t="s">
        <v>200</v>
      </c>
      <c r="Y68" s="21" t="s">
        <v>2111</v>
      </c>
      <c r="Z68" s="21" t="s">
        <v>811</v>
      </c>
      <c r="AA68" s="21" t="s">
        <v>834</v>
      </c>
      <c r="AB68" s="21" t="s">
        <v>846</v>
      </c>
      <c r="AC68" s="21" t="s">
        <v>93</v>
      </c>
      <c r="AD68" s="21" t="s">
        <v>460</v>
      </c>
      <c r="AE68" s="21" t="s">
        <v>444</v>
      </c>
      <c r="AF68" s="21" t="s">
        <v>181</v>
      </c>
      <c r="AG68" s="21">
        <v>802823180</v>
      </c>
      <c r="AH68" s="21" t="s">
        <v>132</v>
      </c>
      <c r="AI68" s="21" t="s">
        <v>492</v>
      </c>
      <c r="AJ68" s="21"/>
      <c r="AK68" s="28" t="s">
        <v>447</v>
      </c>
      <c r="AL68" s="21" t="s">
        <v>463</v>
      </c>
      <c r="AM68" s="21" t="s">
        <v>1954</v>
      </c>
      <c r="AN68" s="21" t="s">
        <v>1949</v>
      </c>
      <c r="AO68" s="23">
        <v>45630</v>
      </c>
      <c r="AP68" s="21">
        <v>95311.71</v>
      </c>
      <c r="AQ68" s="21" t="s">
        <v>858</v>
      </c>
      <c r="AR68" s="21" t="s">
        <v>112</v>
      </c>
      <c r="AS68" s="21" t="s">
        <v>871</v>
      </c>
      <c r="AT68" s="24">
        <v>46329</v>
      </c>
    </row>
    <row r="69" spans="1:46" x14ac:dyDescent="0.25">
      <c r="A69" s="20" t="s">
        <v>739</v>
      </c>
      <c r="B69" s="21" t="s">
        <v>762</v>
      </c>
      <c r="C69" s="1" t="s">
        <v>47</v>
      </c>
      <c r="D69" s="21">
        <v>16</v>
      </c>
      <c r="E69" s="21" t="s">
        <v>785</v>
      </c>
      <c r="F69" s="21" t="s">
        <v>77</v>
      </c>
      <c r="G69" s="22">
        <f>Table1[[#This Row],[ENR]]-Table1[[#This Row],[CREDIT]]</f>
        <v>4690.4100000000035</v>
      </c>
      <c r="H69" s="21">
        <v>140000</v>
      </c>
      <c r="I69" s="35">
        <v>144690.41</v>
      </c>
      <c r="J69" s="22" t="s">
        <v>78</v>
      </c>
      <c r="K69" s="22">
        <v>144690.41</v>
      </c>
      <c r="L69" s="22">
        <v>134595</v>
      </c>
      <c r="M69" s="21">
        <v>21290</v>
      </c>
      <c r="N69" s="22">
        <v>4588.22</v>
      </c>
      <c r="O69" s="1" t="s">
        <v>49</v>
      </c>
      <c r="P69" s="1" t="s">
        <v>13</v>
      </c>
      <c r="Q69" s="15">
        <v>4600</v>
      </c>
      <c r="R69" s="22">
        <f>Table1[[#This Row],[STAB]]-Table1[[#This Row],[AMOUNT]]</f>
        <v>-11.779999999999745</v>
      </c>
      <c r="S69" s="1" t="s">
        <v>2093</v>
      </c>
      <c r="T69" s="1" t="s">
        <v>446</v>
      </c>
      <c r="U69" s="1">
        <v>0</v>
      </c>
      <c r="V69" s="1" t="s">
        <v>267</v>
      </c>
      <c r="W69" s="1" t="s">
        <v>645</v>
      </c>
      <c r="X69" s="1" t="s">
        <v>646</v>
      </c>
      <c r="Y69" s="21" t="s">
        <v>2111</v>
      </c>
      <c r="Z69" s="21" t="s">
        <v>808</v>
      </c>
      <c r="AA69" s="21" t="s">
        <v>831</v>
      </c>
      <c r="AB69" s="21" t="s">
        <v>435</v>
      </c>
      <c r="AC69" s="21" t="s">
        <v>443</v>
      </c>
      <c r="AD69" s="21" t="s">
        <v>75</v>
      </c>
      <c r="AE69" s="21" t="s">
        <v>441</v>
      </c>
      <c r="AF69" s="21" t="s">
        <v>442</v>
      </c>
      <c r="AG69" s="21">
        <v>802789320</v>
      </c>
      <c r="AH69" s="21" t="s">
        <v>130</v>
      </c>
      <c r="AI69" s="21" t="s">
        <v>492</v>
      </c>
      <c r="AJ69" s="21"/>
      <c r="AK69" s="28" t="s">
        <v>447</v>
      </c>
      <c r="AL69" s="21" t="s">
        <v>458</v>
      </c>
      <c r="AM69" s="21" t="s">
        <v>1933</v>
      </c>
      <c r="AN69" s="21" t="s">
        <v>1927</v>
      </c>
      <c r="AO69" s="23">
        <v>46277</v>
      </c>
      <c r="AP69" s="21">
        <v>42410</v>
      </c>
      <c r="AQ69" s="21" t="s">
        <v>855</v>
      </c>
      <c r="AR69" s="21" t="s">
        <v>106</v>
      </c>
      <c r="AS69" s="21" t="s">
        <v>871</v>
      </c>
      <c r="AT69" s="24">
        <v>46329</v>
      </c>
    </row>
    <row r="70" spans="1:46" x14ac:dyDescent="0.25">
      <c r="A70" s="20" t="s">
        <v>738</v>
      </c>
      <c r="B70" s="21" t="s">
        <v>761</v>
      </c>
      <c r="C70" s="1" t="s">
        <v>47</v>
      </c>
      <c r="D70" s="21">
        <v>16</v>
      </c>
      <c r="E70" s="21" t="s">
        <v>784</v>
      </c>
      <c r="F70" s="21" t="s">
        <v>77</v>
      </c>
      <c r="G70" s="22">
        <f>Table1[[#This Row],[ENR]]-Table1[[#This Row],[CREDIT]]</f>
        <v>3938.3699999999953</v>
      </c>
      <c r="H70" s="21">
        <v>130000</v>
      </c>
      <c r="I70" s="35">
        <v>133938.37</v>
      </c>
      <c r="J70" s="22" t="s">
        <v>78</v>
      </c>
      <c r="K70" s="22">
        <v>133938.37</v>
      </c>
      <c r="L70" s="22">
        <v>119762.25</v>
      </c>
      <c r="M70" s="21">
        <v>25270</v>
      </c>
      <c r="N70" s="22">
        <v>8630</v>
      </c>
      <c r="O70" s="1" t="s">
        <v>41</v>
      </c>
      <c r="P70" s="1" t="s">
        <v>42</v>
      </c>
      <c r="Q70" s="15">
        <v>0</v>
      </c>
      <c r="R70" s="22">
        <f>Table1[[#This Row],[STAB]]-Table1[[#This Row],[AMOUNT]]</f>
        <v>8630</v>
      </c>
      <c r="S70" s="1">
        <v>0</v>
      </c>
      <c r="T70" s="1" t="s">
        <v>79</v>
      </c>
      <c r="U70" s="1">
        <v>0</v>
      </c>
      <c r="V70" s="1" t="s">
        <v>267</v>
      </c>
      <c r="W70" s="1" t="s">
        <v>107</v>
      </c>
      <c r="X70" s="1" t="s">
        <v>200</v>
      </c>
      <c r="Y70" s="21" t="s">
        <v>2111</v>
      </c>
      <c r="Z70" s="21" t="s">
        <v>807</v>
      </c>
      <c r="AA70" s="21" t="s">
        <v>830</v>
      </c>
      <c r="AB70" s="21" t="s">
        <v>224</v>
      </c>
      <c r="AC70" s="21" t="s">
        <v>93</v>
      </c>
      <c r="AD70" s="21" t="s">
        <v>459</v>
      </c>
      <c r="AE70" s="21" t="s">
        <v>226</v>
      </c>
      <c r="AF70" s="21" t="s">
        <v>225</v>
      </c>
      <c r="AG70" s="21">
        <v>802388289</v>
      </c>
      <c r="AH70" s="21" t="s">
        <v>130</v>
      </c>
      <c r="AI70" s="21" t="s">
        <v>492</v>
      </c>
      <c r="AJ70" s="21"/>
      <c r="AK70" s="28" t="s">
        <v>447</v>
      </c>
      <c r="AL70" s="21" t="s">
        <v>458</v>
      </c>
      <c r="AM70" s="21" t="s">
        <v>2124</v>
      </c>
      <c r="AN70" s="21" t="s">
        <v>2115</v>
      </c>
      <c r="AO70" s="23">
        <v>46043</v>
      </c>
      <c r="AP70" s="21">
        <v>42500</v>
      </c>
      <c r="AQ70" s="21" t="s">
        <v>854</v>
      </c>
      <c r="AR70" s="21" t="s">
        <v>106</v>
      </c>
      <c r="AS70" s="21" t="s">
        <v>871</v>
      </c>
      <c r="AT70" s="24">
        <v>46329</v>
      </c>
    </row>
    <row r="71" spans="1:46" x14ac:dyDescent="0.25">
      <c r="A71" s="20" t="s">
        <v>745</v>
      </c>
      <c r="B71" s="21" t="s">
        <v>768</v>
      </c>
      <c r="C71" s="1" t="s">
        <v>47</v>
      </c>
      <c r="D71" s="21">
        <v>16</v>
      </c>
      <c r="E71" s="21" t="s">
        <v>791</v>
      </c>
      <c r="F71" s="21" t="s">
        <v>77</v>
      </c>
      <c r="G71" s="22">
        <f>Table1[[#This Row],[ENR]]-Table1[[#This Row],[CREDIT]]</f>
        <v>8461.2899999999936</v>
      </c>
      <c r="H71" s="21">
        <v>100000</v>
      </c>
      <c r="I71" s="35">
        <v>108461.29</v>
      </c>
      <c r="J71" s="22" t="s">
        <v>78</v>
      </c>
      <c r="K71" s="22">
        <v>108461.29</v>
      </c>
      <c r="L71" s="22">
        <v>99976.42</v>
      </c>
      <c r="M71" s="21">
        <v>26280</v>
      </c>
      <c r="N71" s="22">
        <v>5000</v>
      </c>
      <c r="O71" s="1" t="s">
        <v>41</v>
      </c>
      <c r="P71" s="1" t="s">
        <v>42</v>
      </c>
      <c r="Q71" s="15">
        <v>0</v>
      </c>
      <c r="R71" s="22">
        <f>Table1[[#This Row],[STAB]]-Table1[[#This Row],[AMOUNT]]</f>
        <v>5000</v>
      </c>
      <c r="S71" s="1">
        <v>0</v>
      </c>
      <c r="T71" s="1" t="s">
        <v>79</v>
      </c>
      <c r="U71" s="1">
        <v>0</v>
      </c>
      <c r="V71" s="1" t="s">
        <v>267</v>
      </c>
      <c r="W71" s="1" t="s">
        <v>265</v>
      </c>
      <c r="X71" s="1" t="s">
        <v>269</v>
      </c>
      <c r="Y71" s="21" t="s">
        <v>2111</v>
      </c>
      <c r="Z71" s="21" t="s">
        <v>814</v>
      </c>
      <c r="AA71" s="21" t="s">
        <v>837</v>
      </c>
      <c r="AB71" s="21" t="s">
        <v>80</v>
      </c>
      <c r="AC71" s="21" t="s">
        <v>91</v>
      </c>
      <c r="AD71" s="21" t="s">
        <v>111</v>
      </c>
      <c r="AE71" s="21" t="s">
        <v>565</v>
      </c>
      <c r="AF71" s="21" t="s">
        <v>563</v>
      </c>
      <c r="AG71" s="21">
        <v>802794852</v>
      </c>
      <c r="AH71" s="21" t="s">
        <v>130</v>
      </c>
      <c r="AI71" s="21" t="s">
        <v>492</v>
      </c>
      <c r="AJ71" s="21"/>
      <c r="AK71" s="28" t="s">
        <v>447</v>
      </c>
      <c r="AL71" s="21" t="s">
        <v>463</v>
      </c>
      <c r="AM71" s="21" t="s">
        <v>1924</v>
      </c>
      <c r="AN71" s="21" t="s">
        <v>1178</v>
      </c>
      <c r="AO71" s="23">
        <v>46238</v>
      </c>
      <c r="AP71" s="21">
        <v>94046</v>
      </c>
      <c r="AQ71" s="21" t="s">
        <v>861</v>
      </c>
      <c r="AR71" s="21" t="s">
        <v>81</v>
      </c>
      <c r="AS71" s="21" t="s">
        <v>871</v>
      </c>
      <c r="AT71" s="24">
        <v>46329</v>
      </c>
    </row>
    <row r="72" spans="1:46" x14ac:dyDescent="0.25">
      <c r="A72" s="20" t="s">
        <v>744</v>
      </c>
      <c r="B72" s="21" t="s">
        <v>767</v>
      </c>
      <c r="C72" s="1" t="s">
        <v>47</v>
      </c>
      <c r="D72" s="21">
        <v>16</v>
      </c>
      <c r="E72" s="21" t="s">
        <v>790</v>
      </c>
      <c r="F72" s="21" t="s">
        <v>77</v>
      </c>
      <c r="G72" s="22">
        <f>Table1[[#This Row],[ENR]]-Table1[[#This Row],[CREDIT]]</f>
        <v>6180.6900000000023</v>
      </c>
      <c r="H72" s="21">
        <v>100000</v>
      </c>
      <c r="I72" s="35">
        <v>106180.69</v>
      </c>
      <c r="J72" s="22">
        <v>31230.19</v>
      </c>
      <c r="K72" s="22">
        <v>74950.5</v>
      </c>
      <c r="L72" s="22">
        <v>67865.3</v>
      </c>
      <c r="M72" s="21">
        <v>26870</v>
      </c>
      <c r="N72" s="22">
        <v>1973.96</v>
      </c>
      <c r="O72" s="1" t="s">
        <v>49</v>
      </c>
      <c r="P72" s="1" t="s">
        <v>12</v>
      </c>
      <c r="Q72" s="15">
        <v>82892.710000000006</v>
      </c>
      <c r="R72" s="22">
        <f>Table1[[#This Row],[STAB]]-Table1[[#This Row],[AMOUNT]]</f>
        <v>-80918.75</v>
      </c>
      <c r="S72" s="1">
        <v>0</v>
      </c>
      <c r="T72" s="1" t="s">
        <v>79</v>
      </c>
      <c r="U72" s="1">
        <v>0</v>
      </c>
      <c r="V72" s="1" t="s">
        <v>267</v>
      </c>
      <c r="W72" s="1" t="s">
        <v>265</v>
      </c>
      <c r="X72" s="1" t="s">
        <v>269</v>
      </c>
      <c r="Y72" s="21" t="s">
        <v>2111</v>
      </c>
      <c r="Z72" s="21" t="s">
        <v>813</v>
      </c>
      <c r="AA72" s="21" t="s">
        <v>836</v>
      </c>
      <c r="AB72" s="21" t="s">
        <v>80</v>
      </c>
      <c r="AC72" s="21" t="s">
        <v>91</v>
      </c>
      <c r="AD72" s="21" t="s">
        <v>111</v>
      </c>
      <c r="AE72" s="21" t="s">
        <v>565</v>
      </c>
      <c r="AF72" s="21" t="s">
        <v>563</v>
      </c>
      <c r="AG72" s="21">
        <v>802794852</v>
      </c>
      <c r="AH72" s="21" t="s">
        <v>130</v>
      </c>
      <c r="AI72" s="21" t="s">
        <v>492</v>
      </c>
      <c r="AJ72" s="21"/>
      <c r="AK72" s="28" t="s">
        <v>447</v>
      </c>
      <c r="AL72" s="21" t="s">
        <v>458</v>
      </c>
      <c r="AM72" s="21" t="s">
        <v>1179</v>
      </c>
      <c r="AN72" s="21" t="s">
        <v>1178</v>
      </c>
      <c r="AO72" s="23">
        <v>45477</v>
      </c>
      <c r="AP72" s="21">
        <v>27864.97</v>
      </c>
      <c r="AQ72" s="21" t="s">
        <v>860</v>
      </c>
      <c r="AR72" s="21" t="s">
        <v>106</v>
      </c>
      <c r="AS72" s="21" t="s">
        <v>871</v>
      </c>
      <c r="AT72" s="24">
        <v>46329</v>
      </c>
    </row>
    <row r="73" spans="1:46" x14ac:dyDescent="0.25">
      <c r="A73" s="20" t="s">
        <v>736</v>
      </c>
      <c r="B73" s="21" t="s">
        <v>759</v>
      </c>
      <c r="C73" s="1" t="s">
        <v>83</v>
      </c>
      <c r="D73" s="21">
        <v>16</v>
      </c>
      <c r="E73" s="21" t="s">
        <v>782</v>
      </c>
      <c r="F73" s="21" t="s">
        <v>77</v>
      </c>
      <c r="G73" s="22">
        <f>Table1[[#This Row],[ENR]]-Table1[[#This Row],[CREDIT]]</f>
        <v>3647.7100000000064</v>
      </c>
      <c r="H73" s="21">
        <v>100000</v>
      </c>
      <c r="I73" s="35">
        <v>103647.71</v>
      </c>
      <c r="J73" s="22" t="s">
        <v>78</v>
      </c>
      <c r="K73" s="22">
        <v>103647.71</v>
      </c>
      <c r="L73" s="22">
        <v>93027.63</v>
      </c>
      <c r="M73" s="21">
        <v>28550</v>
      </c>
      <c r="N73" s="22">
        <v>15080</v>
      </c>
      <c r="O73" s="1" t="s">
        <v>41</v>
      </c>
      <c r="P73" s="1" t="s">
        <v>42</v>
      </c>
      <c r="Q73" s="15">
        <v>0</v>
      </c>
      <c r="R73" s="22">
        <f>Table1[[#This Row],[STAB]]-Table1[[#This Row],[AMOUNT]]</f>
        <v>15080</v>
      </c>
      <c r="S73" s="1">
        <v>0</v>
      </c>
      <c r="T73" s="1" t="s">
        <v>79</v>
      </c>
      <c r="U73" s="1">
        <v>0</v>
      </c>
      <c r="V73" s="1" t="s">
        <v>267</v>
      </c>
      <c r="W73" s="1" t="s">
        <v>265</v>
      </c>
      <c r="X73" s="1" t="s">
        <v>269</v>
      </c>
      <c r="Y73" s="21" t="s">
        <v>2111</v>
      </c>
      <c r="Z73" s="21" t="s">
        <v>805</v>
      </c>
      <c r="AA73" s="21" t="s">
        <v>828</v>
      </c>
      <c r="AB73" s="21" t="s">
        <v>80</v>
      </c>
      <c r="AC73" s="21" t="s">
        <v>91</v>
      </c>
      <c r="AD73" s="21" t="s">
        <v>99</v>
      </c>
      <c r="AE73" s="21" t="s">
        <v>449</v>
      </c>
      <c r="AF73" s="21" t="s">
        <v>450</v>
      </c>
      <c r="AG73" s="21">
        <v>802898520</v>
      </c>
      <c r="AH73" s="21" t="s">
        <v>130</v>
      </c>
      <c r="AI73" s="21" t="s">
        <v>492</v>
      </c>
      <c r="AJ73" s="21"/>
      <c r="AK73" s="28" t="s">
        <v>447</v>
      </c>
      <c r="AL73" s="21" t="s">
        <v>456</v>
      </c>
      <c r="AM73" s="21" t="s">
        <v>2092</v>
      </c>
      <c r="AN73" s="21" t="s">
        <v>2093</v>
      </c>
      <c r="AO73" s="23">
        <v>46213</v>
      </c>
      <c r="AP73" s="21">
        <v>23900</v>
      </c>
      <c r="AQ73" s="21" t="s">
        <v>852</v>
      </c>
      <c r="AR73" s="21" t="s">
        <v>106</v>
      </c>
      <c r="AS73" s="21" t="s">
        <v>871</v>
      </c>
      <c r="AT73" s="24">
        <v>46329</v>
      </c>
    </row>
    <row r="74" spans="1:46" x14ac:dyDescent="0.25">
      <c r="A74" s="20" t="s">
        <v>733</v>
      </c>
      <c r="B74" s="21" t="s">
        <v>756</v>
      </c>
      <c r="C74" s="1" t="s">
        <v>47</v>
      </c>
      <c r="D74" s="21">
        <v>16</v>
      </c>
      <c r="E74" s="21" t="s">
        <v>779</v>
      </c>
      <c r="F74" s="21" t="s">
        <v>77</v>
      </c>
      <c r="G74" s="22">
        <f>Table1[[#This Row],[ENR]]-Table1[[#This Row],[CREDIT]]</f>
        <v>3206.75</v>
      </c>
      <c r="H74" s="21">
        <v>100000</v>
      </c>
      <c r="I74" s="35">
        <v>103206.75</v>
      </c>
      <c r="J74" s="22" t="s">
        <v>78</v>
      </c>
      <c r="K74" s="22">
        <v>103206.75</v>
      </c>
      <c r="L74" s="22">
        <v>97544.94</v>
      </c>
      <c r="M74" s="21">
        <v>14870</v>
      </c>
      <c r="N74" s="22">
        <v>4840</v>
      </c>
      <c r="O74" s="1" t="s">
        <v>49</v>
      </c>
      <c r="P74" s="1" t="s">
        <v>13</v>
      </c>
      <c r="Q74" s="15">
        <v>10000</v>
      </c>
      <c r="R74" s="22">
        <f>Table1[[#This Row],[STAB]]-Table1[[#This Row],[AMOUNT]]</f>
        <v>-5160</v>
      </c>
      <c r="S74" s="1" t="s">
        <v>1949</v>
      </c>
      <c r="T74" s="1" t="s">
        <v>673</v>
      </c>
      <c r="U74" s="1">
        <v>0</v>
      </c>
      <c r="V74" s="1" t="s">
        <v>267</v>
      </c>
      <c r="W74" s="1" t="s">
        <v>265</v>
      </c>
      <c r="X74" s="1" t="s">
        <v>269</v>
      </c>
      <c r="Y74" s="21" t="s">
        <v>2111</v>
      </c>
      <c r="Z74" s="21" t="s">
        <v>802</v>
      </c>
      <c r="AA74" s="21" t="s">
        <v>825</v>
      </c>
      <c r="AB74" s="21" t="s">
        <v>846</v>
      </c>
      <c r="AC74" s="21" t="s">
        <v>92</v>
      </c>
      <c r="AD74" s="21" t="s">
        <v>94</v>
      </c>
      <c r="AE74" s="21" t="s">
        <v>246</v>
      </c>
      <c r="AF74" s="21" t="s">
        <v>140</v>
      </c>
      <c r="AG74" s="21">
        <v>802852449</v>
      </c>
      <c r="AH74" s="21" t="s">
        <v>130</v>
      </c>
      <c r="AI74" s="21" t="s">
        <v>492</v>
      </c>
      <c r="AJ74" s="21"/>
      <c r="AK74" s="28" t="s">
        <v>447</v>
      </c>
      <c r="AL74" s="21" t="s">
        <v>458</v>
      </c>
      <c r="AM74" s="21" t="s">
        <v>1950</v>
      </c>
      <c r="AN74" s="21" t="s">
        <v>1949</v>
      </c>
      <c r="AO74" s="23">
        <v>45189</v>
      </c>
      <c r="AP74" s="21">
        <v>4200</v>
      </c>
      <c r="AQ74" s="21" t="s">
        <v>849</v>
      </c>
      <c r="AR74" s="21" t="s">
        <v>106</v>
      </c>
      <c r="AS74" s="21" t="s">
        <v>871</v>
      </c>
      <c r="AT74" s="24">
        <v>46329</v>
      </c>
    </row>
    <row r="75" spans="1:46" x14ac:dyDescent="0.25">
      <c r="A75" s="20" t="s">
        <v>748</v>
      </c>
      <c r="B75" s="21" t="s">
        <v>771</v>
      </c>
      <c r="C75" s="1" t="s">
        <v>47</v>
      </c>
      <c r="D75" s="21">
        <v>16</v>
      </c>
      <c r="E75" s="21" t="s">
        <v>794</v>
      </c>
      <c r="F75" s="21" t="s">
        <v>77</v>
      </c>
      <c r="G75" s="22">
        <f>Table1[[#This Row],[ENR]]-Table1[[#This Row],[CREDIT]]</f>
        <v>7136.8800000000047</v>
      </c>
      <c r="H75" s="21">
        <v>90000</v>
      </c>
      <c r="I75" s="35">
        <v>97136.88</v>
      </c>
      <c r="J75" s="22" t="s">
        <v>78</v>
      </c>
      <c r="K75" s="22">
        <v>97136.88</v>
      </c>
      <c r="L75" s="22">
        <v>89736.08</v>
      </c>
      <c r="M75" s="21">
        <v>22940</v>
      </c>
      <c r="N75" s="22">
        <v>4610</v>
      </c>
      <c r="O75" s="1" t="s">
        <v>41</v>
      </c>
      <c r="P75" s="1" t="s">
        <v>42</v>
      </c>
      <c r="Q75" s="15">
        <v>0</v>
      </c>
      <c r="R75" s="22">
        <f>Table1[[#This Row],[STAB]]-Table1[[#This Row],[AMOUNT]]</f>
        <v>4610</v>
      </c>
      <c r="S75" s="1">
        <v>0</v>
      </c>
      <c r="T75" s="1" t="s">
        <v>79</v>
      </c>
      <c r="U75" s="1">
        <v>0</v>
      </c>
      <c r="V75" s="1" t="s">
        <v>267</v>
      </c>
      <c r="W75" s="1" t="s">
        <v>107</v>
      </c>
      <c r="X75" s="1" t="s">
        <v>200</v>
      </c>
      <c r="Y75" s="21" t="s">
        <v>2111</v>
      </c>
      <c r="Z75" s="21" t="s">
        <v>817</v>
      </c>
      <c r="AA75" s="21" t="s">
        <v>840</v>
      </c>
      <c r="AB75" s="21" t="s">
        <v>549</v>
      </c>
      <c r="AC75" s="21" t="s">
        <v>93</v>
      </c>
      <c r="AD75" s="28" t="s">
        <v>2082</v>
      </c>
      <c r="AE75" s="21" t="s">
        <v>2083</v>
      </c>
      <c r="AF75" s="21" t="s">
        <v>564</v>
      </c>
      <c r="AG75" s="21">
        <v>802349062</v>
      </c>
      <c r="AH75" s="21" t="s">
        <v>130</v>
      </c>
      <c r="AI75" s="21" t="s">
        <v>492</v>
      </c>
      <c r="AJ75" s="21"/>
      <c r="AK75" s="28" t="s">
        <v>43</v>
      </c>
      <c r="AL75" s="21"/>
      <c r="AM75" s="21"/>
      <c r="AN75" s="21"/>
      <c r="AO75" s="23" t="s">
        <v>78</v>
      </c>
      <c r="AP75" s="21">
        <v>0</v>
      </c>
      <c r="AQ75" s="21" t="s">
        <v>864</v>
      </c>
      <c r="AR75" s="21" t="s">
        <v>106</v>
      </c>
      <c r="AS75" s="21" t="s">
        <v>871</v>
      </c>
      <c r="AT75" s="24">
        <v>46329</v>
      </c>
    </row>
    <row r="76" spans="1:46" x14ac:dyDescent="0.25">
      <c r="A76" s="20" t="s">
        <v>734</v>
      </c>
      <c r="B76" s="21" t="s">
        <v>757</v>
      </c>
      <c r="C76" s="1" t="s">
        <v>83</v>
      </c>
      <c r="D76" s="21">
        <v>16</v>
      </c>
      <c r="E76" s="21" t="s">
        <v>780</v>
      </c>
      <c r="F76" s="21" t="s">
        <v>77</v>
      </c>
      <c r="G76" s="22">
        <f>Table1[[#This Row],[ENR]]-Table1[[#This Row],[CREDIT]]</f>
        <v>-3953.0099999999948</v>
      </c>
      <c r="H76" s="21">
        <v>100000</v>
      </c>
      <c r="I76" s="35">
        <v>96046.99</v>
      </c>
      <c r="J76" s="22" t="s">
        <v>78</v>
      </c>
      <c r="K76" s="22">
        <v>96046.99</v>
      </c>
      <c r="L76" s="22">
        <v>89966.04</v>
      </c>
      <c r="M76" s="21">
        <v>13100</v>
      </c>
      <c r="N76" s="22">
        <v>6500</v>
      </c>
      <c r="O76" s="1" t="s">
        <v>41</v>
      </c>
      <c r="P76" s="1" t="s">
        <v>42</v>
      </c>
      <c r="Q76" s="15">
        <v>0</v>
      </c>
      <c r="R76" s="22">
        <f>Table1[[#This Row],[STAB]]-Table1[[#This Row],[AMOUNT]]</f>
        <v>6500</v>
      </c>
      <c r="S76" s="1">
        <v>0</v>
      </c>
      <c r="T76" s="1" t="s">
        <v>79</v>
      </c>
      <c r="U76" s="1">
        <v>0</v>
      </c>
      <c r="V76" s="1" t="s">
        <v>267</v>
      </c>
      <c r="W76" s="1" t="s">
        <v>265</v>
      </c>
      <c r="X76" s="1" t="s">
        <v>269</v>
      </c>
      <c r="Y76" s="21" t="s">
        <v>2110</v>
      </c>
      <c r="Z76" s="21" t="s">
        <v>803</v>
      </c>
      <c r="AA76" s="21" t="s">
        <v>826</v>
      </c>
      <c r="AB76" s="21" t="s">
        <v>248</v>
      </c>
      <c r="AC76" s="21" t="s">
        <v>91</v>
      </c>
      <c r="AD76" s="21" t="s">
        <v>122</v>
      </c>
      <c r="AE76" s="21" t="s">
        <v>667</v>
      </c>
      <c r="AF76" s="21" t="s">
        <v>666</v>
      </c>
      <c r="AG76" s="21">
        <v>802663344</v>
      </c>
      <c r="AH76" s="21" t="s">
        <v>132</v>
      </c>
      <c r="AI76" s="21" t="s">
        <v>492</v>
      </c>
      <c r="AJ76" s="21"/>
      <c r="AK76" s="28" t="s">
        <v>43</v>
      </c>
      <c r="AL76" s="21"/>
      <c r="AM76" s="21"/>
      <c r="AN76" s="21"/>
      <c r="AO76" s="23">
        <v>46281</v>
      </c>
      <c r="AP76" s="21">
        <v>9770</v>
      </c>
      <c r="AQ76" s="21" t="s">
        <v>850</v>
      </c>
      <c r="AR76" s="21" t="s">
        <v>106</v>
      </c>
      <c r="AS76" s="21" t="s">
        <v>871</v>
      </c>
      <c r="AT76" s="24">
        <v>46329</v>
      </c>
    </row>
    <row r="77" spans="1:46" x14ac:dyDescent="0.25">
      <c r="A77" s="20" t="s">
        <v>747</v>
      </c>
      <c r="B77" s="21" t="s">
        <v>770</v>
      </c>
      <c r="C77" s="1" t="s">
        <v>47</v>
      </c>
      <c r="D77" s="21">
        <v>16</v>
      </c>
      <c r="E77" s="21" t="s">
        <v>793</v>
      </c>
      <c r="F77" s="21" t="s">
        <v>77</v>
      </c>
      <c r="G77" s="22">
        <f>Table1[[#This Row],[ENR]]-Table1[[#This Row],[CREDIT]]</f>
        <v>3276.2200000000012</v>
      </c>
      <c r="H77" s="21">
        <v>90000</v>
      </c>
      <c r="I77" s="35">
        <v>93276.22</v>
      </c>
      <c r="J77" s="22" t="s">
        <v>78</v>
      </c>
      <c r="K77" s="22">
        <v>93276.22</v>
      </c>
      <c r="L77" s="22">
        <v>84495.6</v>
      </c>
      <c r="M77" s="21">
        <v>18120</v>
      </c>
      <c r="N77" s="22">
        <v>6660</v>
      </c>
      <c r="O77" s="1" t="s">
        <v>41</v>
      </c>
      <c r="P77" s="1" t="s">
        <v>42</v>
      </c>
      <c r="Q77" s="15">
        <v>0</v>
      </c>
      <c r="R77" s="22">
        <f>Table1[[#This Row],[STAB]]-Table1[[#This Row],[AMOUNT]]</f>
        <v>6660</v>
      </c>
      <c r="S77" s="1">
        <v>0</v>
      </c>
      <c r="T77" s="1" t="s">
        <v>79</v>
      </c>
      <c r="U77" s="1">
        <v>0</v>
      </c>
      <c r="V77" s="1" t="s">
        <v>267</v>
      </c>
      <c r="W77" s="1" t="s">
        <v>265</v>
      </c>
      <c r="X77" s="1" t="s">
        <v>269</v>
      </c>
      <c r="Y77" s="21" t="s">
        <v>2111</v>
      </c>
      <c r="Z77" s="21" t="s">
        <v>816</v>
      </c>
      <c r="AA77" s="21" t="s">
        <v>839</v>
      </c>
      <c r="AB77" s="21" t="s">
        <v>80</v>
      </c>
      <c r="AC77" s="21" t="s">
        <v>91</v>
      </c>
      <c r="AD77" s="21" t="s">
        <v>99</v>
      </c>
      <c r="AE77" s="21" t="s">
        <v>449</v>
      </c>
      <c r="AF77" s="21" t="s">
        <v>450</v>
      </c>
      <c r="AG77" s="21">
        <v>802898520</v>
      </c>
      <c r="AH77" s="21" t="s">
        <v>130</v>
      </c>
      <c r="AI77" s="21" t="s">
        <v>492</v>
      </c>
      <c r="AJ77" s="21"/>
      <c r="AK77" s="28" t="s">
        <v>447</v>
      </c>
      <c r="AL77" s="21" t="s">
        <v>454</v>
      </c>
      <c r="AM77" s="21" t="s">
        <v>1977</v>
      </c>
      <c r="AN77" s="21" t="s">
        <v>1956</v>
      </c>
      <c r="AO77" s="23" t="s">
        <v>78</v>
      </c>
      <c r="AP77" s="21">
        <v>0</v>
      </c>
      <c r="AQ77" s="21" t="s">
        <v>863</v>
      </c>
      <c r="AR77" s="21" t="s">
        <v>106</v>
      </c>
      <c r="AS77" s="21" t="s">
        <v>871</v>
      </c>
      <c r="AT77" s="24">
        <v>46329</v>
      </c>
    </row>
    <row r="78" spans="1:46" x14ac:dyDescent="0.25">
      <c r="A78" s="20" t="s">
        <v>746</v>
      </c>
      <c r="B78" s="21" t="s">
        <v>769</v>
      </c>
      <c r="C78" s="1" t="s">
        <v>47</v>
      </c>
      <c r="D78" s="21">
        <v>16</v>
      </c>
      <c r="E78" s="21" t="s">
        <v>792</v>
      </c>
      <c r="F78" s="21" t="s">
        <v>77</v>
      </c>
      <c r="G78" s="22">
        <f>Table1[[#This Row],[ENR]]-Table1[[#This Row],[CREDIT]]</f>
        <v>-12734.630000000005</v>
      </c>
      <c r="H78" s="21">
        <v>100000</v>
      </c>
      <c r="I78" s="35">
        <v>87265.37</v>
      </c>
      <c r="J78" s="22" t="s">
        <v>78</v>
      </c>
      <c r="K78" s="22">
        <v>87265.37</v>
      </c>
      <c r="L78" s="22">
        <v>78296.539999999994</v>
      </c>
      <c r="M78" s="21">
        <v>13740</v>
      </c>
      <c r="N78" s="22">
        <v>4770</v>
      </c>
      <c r="O78" s="1" t="s">
        <v>41</v>
      </c>
      <c r="P78" s="1" t="s">
        <v>42</v>
      </c>
      <c r="Q78" s="15">
        <v>0</v>
      </c>
      <c r="R78" s="22">
        <f>Table1[[#This Row],[STAB]]-Table1[[#This Row],[AMOUNT]]</f>
        <v>4770</v>
      </c>
      <c r="S78" s="1">
        <v>0</v>
      </c>
      <c r="T78" s="1" t="s">
        <v>79</v>
      </c>
      <c r="U78" s="1">
        <v>0</v>
      </c>
      <c r="V78" s="1" t="s">
        <v>267</v>
      </c>
      <c r="W78" s="1" t="s">
        <v>265</v>
      </c>
      <c r="X78" s="1" t="s">
        <v>269</v>
      </c>
      <c r="Y78" s="21" t="s">
        <v>2111</v>
      </c>
      <c r="Z78" s="21" t="s">
        <v>815</v>
      </c>
      <c r="AA78" s="21" t="s">
        <v>838</v>
      </c>
      <c r="AB78" s="21" t="s">
        <v>548</v>
      </c>
      <c r="AC78" s="21" t="s">
        <v>91</v>
      </c>
      <c r="AD78" s="21" t="s">
        <v>664</v>
      </c>
      <c r="AE78" s="21" t="s">
        <v>668</v>
      </c>
      <c r="AF78" s="21" t="s">
        <v>180</v>
      </c>
      <c r="AG78" s="21">
        <v>802835406</v>
      </c>
      <c r="AH78" s="21" t="s">
        <v>131</v>
      </c>
      <c r="AI78" s="21" t="s">
        <v>492</v>
      </c>
      <c r="AJ78" s="21"/>
      <c r="AK78" s="28" t="s">
        <v>447</v>
      </c>
      <c r="AL78" s="21" t="s">
        <v>458</v>
      </c>
      <c r="AM78" s="21" t="s">
        <v>2125</v>
      </c>
      <c r="AN78" s="21" t="s">
        <v>2115</v>
      </c>
      <c r="AO78" s="23" t="s">
        <v>78</v>
      </c>
      <c r="AP78" s="21">
        <v>0</v>
      </c>
      <c r="AQ78" s="21" t="s">
        <v>862</v>
      </c>
      <c r="AR78" s="21" t="s">
        <v>81</v>
      </c>
      <c r="AS78" s="21" t="s">
        <v>871</v>
      </c>
      <c r="AT78" s="24">
        <v>46329</v>
      </c>
    </row>
    <row r="79" spans="1:46" x14ac:dyDescent="0.25">
      <c r="A79" s="20" t="s">
        <v>731</v>
      </c>
      <c r="B79" s="21" t="s">
        <v>754</v>
      </c>
      <c r="C79" s="1" t="s">
        <v>47</v>
      </c>
      <c r="D79" s="21">
        <v>16</v>
      </c>
      <c r="E79" s="21" t="s">
        <v>777</v>
      </c>
      <c r="F79" s="21" t="s">
        <v>77</v>
      </c>
      <c r="G79" s="22">
        <f>Table1[[#This Row],[ENR]]-Table1[[#This Row],[CREDIT]]</f>
        <v>-13719.919999999998</v>
      </c>
      <c r="H79" s="21">
        <v>90000</v>
      </c>
      <c r="I79" s="35">
        <v>76280.08</v>
      </c>
      <c r="J79" s="22">
        <v>36921.839999999997</v>
      </c>
      <c r="K79" s="22">
        <v>39358.239999999998</v>
      </c>
      <c r="L79" s="22">
        <v>35038.800000000003</v>
      </c>
      <c r="M79" s="21">
        <v>19600</v>
      </c>
      <c r="N79" s="22">
        <v>11070</v>
      </c>
      <c r="O79" s="1" t="s">
        <v>41</v>
      </c>
      <c r="P79" s="1" t="s">
        <v>42</v>
      </c>
      <c r="Q79" s="15">
        <v>0</v>
      </c>
      <c r="R79" s="22">
        <f>Table1[[#This Row],[STAB]]-Table1[[#This Row],[AMOUNT]]</f>
        <v>11070</v>
      </c>
      <c r="S79" s="1">
        <v>0</v>
      </c>
      <c r="T79" s="1" t="s">
        <v>79</v>
      </c>
      <c r="U79" s="1">
        <v>0</v>
      </c>
      <c r="V79" s="1" t="s">
        <v>267</v>
      </c>
      <c r="W79" s="1" t="s">
        <v>266</v>
      </c>
      <c r="X79" s="1" t="s">
        <v>268</v>
      </c>
      <c r="Y79" s="21" t="s">
        <v>2111</v>
      </c>
      <c r="Z79" s="21" t="s">
        <v>800</v>
      </c>
      <c r="AA79" s="21" t="s">
        <v>823</v>
      </c>
      <c r="AB79" s="21" t="s">
        <v>105</v>
      </c>
      <c r="AC79" s="21" t="s">
        <v>91</v>
      </c>
      <c r="AD79" s="21" t="s">
        <v>270</v>
      </c>
      <c r="AE79" s="21" t="s">
        <v>271</v>
      </c>
      <c r="AF79" s="21" t="s">
        <v>245</v>
      </c>
      <c r="AG79" s="21">
        <v>802555024</v>
      </c>
      <c r="AH79" s="21" t="s">
        <v>131</v>
      </c>
      <c r="AI79" s="21" t="s">
        <v>492</v>
      </c>
      <c r="AJ79" s="21"/>
      <c r="AK79" s="28" t="s">
        <v>43</v>
      </c>
      <c r="AL79" s="21"/>
      <c r="AM79" s="21"/>
      <c r="AN79" s="21"/>
      <c r="AO79" s="23">
        <v>46224</v>
      </c>
      <c r="AP79" s="21">
        <v>8185.4</v>
      </c>
      <c r="AQ79" s="21" t="s">
        <v>847</v>
      </c>
      <c r="AR79" s="21" t="s">
        <v>106</v>
      </c>
      <c r="AS79" s="21" t="s">
        <v>871</v>
      </c>
      <c r="AT79" s="24">
        <v>46329</v>
      </c>
    </row>
    <row r="80" spans="1:46" x14ac:dyDescent="0.25">
      <c r="A80" s="20" t="s">
        <v>735</v>
      </c>
      <c r="B80" s="21" t="s">
        <v>758</v>
      </c>
      <c r="C80" s="1" t="s">
        <v>83</v>
      </c>
      <c r="D80" s="21">
        <v>16</v>
      </c>
      <c r="E80" s="21" t="s">
        <v>781</v>
      </c>
      <c r="F80" s="21" t="s">
        <v>77</v>
      </c>
      <c r="G80" s="22">
        <f>Table1[[#This Row],[ENR]]-Table1[[#This Row],[CREDIT]]</f>
        <v>-19475.869999999995</v>
      </c>
      <c r="H80" s="21">
        <v>90000</v>
      </c>
      <c r="I80" s="35">
        <v>70524.13</v>
      </c>
      <c r="J80" s="22">
        <v>23028.68</v>
      </c>
      <c r="K80" s="22">
        <v>47495.45</v>
      </c>
      <c r="L80" s="22">
        <v>43498.63</v>
      </c>
      <c r="M80" s="21">
        <v>19580</v>
      </c>
      <c r="N80" s="22">
        <v>9790</v>
      </c>
      <c r="O80" s="1" t="s">
        <v>41</v>
      </c>
      <c r="P80" s="1" t="s">
        <v>42</v>
      </c>
      <c r="Q80" s="15">
        <v>0</v>
      </c>
      <c r="R80" s="22">
        <f>Table1[[#This Row],[STAB]]-Table1[[#This Row],[AMOUNT]]</f>
        <v>9790</v>
      </c>
      <c r="S80" s="1">
        <v>0</v>
      </c>
      <c r="T80" s="1" t="s">
        <v>79</v>
      </c>
      <c r="U80" s="1">
        <v>0</v>
      </c>
      <c r="V80" s="1" t="s">
        <v>267</v>
      </c>
      <c r="W80" s="1" t="s">
        <v>107</v>
      </c>
      <c r="X80" s="1" t="s">
        <v>200</v>
      </c>
      <c r="Y80" s="21" t="s">
        <v>2111</v>
      </c>
      <c r="Z80" s="21" t="s">
        <v>804</v>
      </c>
      <c r="AA80" s="21" t="s">
        <v>827</v>
      </c>
      <c r="AB80" s="21" t="s">
        <v>256</v>
      </c>
      <c r="AC80" s="21" t="s">
        <v>93</v>
      </c>
      <c r="AD80" s="21" t="s">
        <v>460</v>
      </c>
      <c r="AE80" s="21" t="s">
        <v>444</v>
      </c>
      <c r="AF80" s="21" t="s">
        <v>181</v>
      </c>
      <c r="AG80" s="21">
        <v>802823180</v>
      </c>
      <c r="AH80" s="21" t="s">
        <v>132</v>
      </c>
      <c r="AI80" s="21" t="s">
        <v>492</v>
      </c>
      <c r="AJ80" s="21"/>
      <c r="AK80" s="28" t="s">
        <v>43</v>
      </c>
      <c r="AL80" s="21"/>
      <c r="AM80" s="21"/>
      <c r="AN80" s="21"/>
      <c r="AO80" s="23">
        <v>46303</v>
      </c>
      <c r="AP80" s="21">
        <v>6400</v>
      </c>
      <c r="AQ80" s="21" t="s">
        <v>851</v>
      </c>
      <c r="AR80" s="21" t="s">
        <v>106</v>
      </c>
      <c r="AS80" s="21" t="s">
        <v>871</v>
      </c>
      <c r="AT80" s="24">
        <v>46329</v>
      </c>
    </row>
    <row r="81" spans="1:46" x14ac:dyDescent="0.25">
      <c r="A81" s="20" t="s">
        <v>741</v>
      </c>
      <c r="B81" s="21" t="s">
        <v>764</v>
      </c>
      <c r="C81" s="1" t="s">
        <v>47</v>
      </c>
      <c r="D81" s="21">
        <v>16</v>
      </c>
      <c r="E81" s="21" t="s">
        <v>787</v>
      </c>
      <c r="F81" s="21" t="s">
        <v>77</v>
      </c>
      <c r="G81" s="22">
        <f>Table1[[#This Row],[ENR]]-Table1[[#This Row],[CREDIT]]</f>
        <v>7695.0299999999988</v>
      </c>
      <c r="H81" s="21">
        <v>56000</v>
      </c>
      <c r="I81" s="35">
        <v>63695.03</v>
      </c>
      <c r="J81" s="22" t="s">
        <v>78</v>
      </c>
      <c r="K81" s="22">
        <v>63695.03</v>
      </c>
      <c r="L81" s="22">
        <v>54000</v>
      </c>
      <c r="M81" s="21">
        <v>22110</v>
      </c>
      <c r="N81" s="22">
        <v>11820</v>
      </c>
      <c r="O81" s="1" t="s">
        <v>41</v>
      </c>
      <c r="P81" s="1" t="s">
        <v>42</v>
      </c>
      <c r="Q81" s="15">
        <v>0</v>
      </c>
      <c r="R81" s="22">
        <f>Table1[[#This Row],[STAB]]-Table1[[#This Row],[AMOUNT]]</f>
        <v>11820</v>
      </c>
      <c r="S81" s="1">
        <v>0</v>
      </c>
      <c r="T81" s="1" t="s">
        <v>79</v>
      </c>
      <c r="U81" s="1">
        <v>0</v>
      </c>
      <c r="V81" s="1" t="s">
        <v>267</v>
      </c>
      <c r="W81" s="1" t="s">
        <v>265</v>
      </c>
      <c r="X81" s="1" t="s">
        <v>269</v>
      </c>
      <c r="Y81" s="21" t="s">
        <v>2111</v>
      </c>
      <c r="Z81" s="21" t="s">
        <v>810</v>
      </c>
      <c r="AA81" s="21" t="s">
        <v>833</v>
      </c>
      <c r="AB81" s="21" t="s">
        <v>176</v>
      </c>
      <c r="AC81" s="21" t="s">
        <v>91</v>
      </c>
      <c r="AD81" s="21" t="s">
        <v>664</v>
      </c>
      <c r="AE81" s="21" t="s">
        <v>668</v>
      </c>
      <c r="AF81" s="21" t="s">
        <v>180</v>
      </c>
      <c r="AG81" s="21">
        <v>802835406</v>
      </c>
      <c r="AH81" s="21" t="s">
        <v>131</v>
      </c>
      <c r="AI81" s="21" t="s">
        <v>492</v>
      </c>
      <c r="AJ81" s="21"/>
      <c r="AK81" s="28" t="s">
        <v>43</v>
      </c>
      <c r="AL81" s="21"/>
      <c r="AM81" s="21"/>
      <c r="AN81" s="21"/>
      <c r="AO81" s="23">
        <v>45463</v>
      </c>
      <c r="AP81" s="21">
        <v>52484</v>
      </c>
      <c r="AQ81" s="21" t="s">
        <v>857</v>
      </c>
      <c r="AR81" s="21" t="s">
        <v>106</v>
      </c>
      <c r="AS81" s="21" t="s">
        <v>871</v>
      </c>
      <c r="AT81" s="24">
        <v>46329</v>
      </c>
    </row>
    <row r="82" spans="1:46" x14ac:dyDescent="0.25">
      <c r="A82" s="20" t="s">
        <v>743</v>
      </c>
      <c r="B82" s="21" t="s">
        <v>766</v>
      </c>
      <c r="C82" s="1" t="s">
        <v>47</v>
      </c>
      <c r="D82" s="21">
        <v>16</v>
      </c>
      <c r="E82" s="21" t="s">
        <v>789</v>
      </c>
      <c r="F82" s="21" t="s">
        <v>77</v>
      </c>
      <c r="G82" s="22">
        <f>Table1[[#This Row],[ENR]]-Table1[[#This Row],[CREDIT]]</f>
        <v>4330.1699999999983</v>
      </c>
      <c r="H82" s="21">
        <v>50000</v>
      </c>
      <c r="I82" s="35">
        <v>54330.17</v>
      </c>
      <c r="J82" s="22" t="s">
        <v>78</v>
      </c>
      <c r="K82" s="22">
        <v>54330.17</v>
      </c>
      <c r="L82" s="22">
        <v>45815.68</v>
      </c>
      <c r="M82" s="21">
        <v>17070</v>
      </c>
      <c r="N82" s="22">
        <v>7780</v>
      </c>
      <c r="O82" s="1" t="s">
        <v>49</v>
      </c>
      <c r="P82" s="1" t="s">
        <v>12</v>
      </c>
      <c r="Q82" s="15">
        <v>26600</v>
      </c>
      <c r="R82" s="22">
        <f>Table1[[#This Row],[STAB]]-Table1[[#This Row],[AMOUNT]]</f>
        <v>-18820</v>
      </c>
      <c r="S82" s="1">
        <v>0</v>
      </c>
      <c r="T82" s="1" t="s">
        <v>79</v>
      </c>
      <c r="U82" s="1">
        <v>0</v>
      </c>
      <c r="V82" s="1" t="s">
        <v>267</v>
      </c>
      <c r="W82" s="1" t="s">
        <v>266</v>
      </c>
      <c r="X82" s="1" t="s">
        <v>268</v>
      </c>
      <c r="Y82" s="21" t="s">
        <v>2111</v>
      </c>
      <c r="Z82" s="21" t="s">
        <v>812</v>
      </c>
      <c r="AA82" s="21" t="s">
        <v>835</v>
      </c>
      <c r="AB82" s="21" t="s">
        <v>105</v>
      </c>
      <c r="AC82" s="21" t="s">
        <v>91</v>
      </c>
      <c r="AD82" s="21" t="s">
        <v>270</v>
      </c>
      <c r="AE82" s="21" t="s">
        <v>271</v>
      </c>
      <c r="AF82" s="21" t="s">
        <v>245</v>
      </c>
      <c r="AG82" s="21">
        <v>802555024</v>
      </c>
      <c r="AH82" s="21" t="s">
        <v>131</v>
      </c>
      <c r="AI82" s="21" t="s">
        <v>492</v>
      </c>
      <c r="AJ82" s="21"/>
      <c r="AK82" s="28" t="s">
        <v>447</v>
      </c>
      <c r="AL82" s="21" t="s">
        <v>458</v>
      </c>
      <c r="AM82" s="21" t="s">
        <v>2095</v>
      </c>
      <c r="AN82" s="21" t="s">
        <v>2093</v>
      </c>
      <c r="AO82" s="23">
        <v>45630</v>
      </c>
      <c r="AP82" s="21">
        <v>4000</v>
      </c>
      <c r="AQ82" s="21" t="s">
        <v>859</v>
      </c>
      <c r="AR82" s="21" t="s">
        <v>106</v>
      </c>
      <c r="AS82" s="21" t="s">
        <v>871</v>
      </c>
      <c r="AT82" s="24">
        <v>46329</v>
      </c>
    </row>
    <row r="83" spans="1:46" x14ac:dyDescent="0.25">
      <c r="A83" s="20" t="s">
        <v>752</v>
      </c>
      <c r="B83" s="21" t="s">
        <v>775</v>
      </c>
      <c r="C83" s="1" t="s">
        <v>47</v>
      </c>
      <c r="D83" s="21">
        <v>16</v>
      </c>
      <c r="E83" s="21" t="s">
        <v>798</v>
      </c>
      <c r="F83" s="21" t="s">
        <v>77</v>
      </c>
      <c r="G83" s="22">
        <f>Table1[[#This Row],[ENR]]-Table1[[#This Row],[CREDIT]]</f>
        <v>-39538.18</v>
      </c>
      <c r="H83" s="21">
        <v>90000</v>
      </c>
      <c r="I83" s="35">
        <v>50461.82</v>
      </c>
      <c r="J83" s="22" t="s">
        <v>78</v>
      </c>
      <c r="K83" s="22">
        <v>50461.82</v>
      </c>
      <c r="L83" s="22">
        <v>46165.94</v>
      </c>
      <c r="M83" s="21">
        <v>40420</v>
      </c>
      <c r="N83" s="22">
        <v>20460</v>
      </c>
      <c r="O83" s="1" t="s">
        <v>41</v>
      </c>
      <c r="P83" s="1" t="s">
        <v>42</v>
      </c>
      <c r="Q83" s="15">
        <v>0</v>
      </c>
      <c r="R83" s="22">
        <f>Table1[[#This Row],[STAB]]-Table1[[#This Row],[AMOUNT]]</f>
        <v>20460</v>
      </c>
      <c r="S83" s="1">
        <v>0</v>
      </c>
      <c r="T83" s="1" t="s">
        <v>79</v>
      </c>
      <c r="U83" s="1">
        <v>0</v>
      </c>
      <c r="V83" s="1" t="s">
        <v>267</v>
      </c>
      <c r="W83" s="1" t="s">
        <v>266</v>
      </c>
      <c r="X83" s="1" t="s">
        <v>268</v>
      </c>
      <c r="Y83" s="21" t="s">
        <v>2111</v>
      </c>
      <c r="Z83" s="21" t="s">
        <v>821</v>
      </c>
      <c r="AA83" s="21" t="s">
        <v>844</v>
      </c>
      <c r="AB83" s="21" t="s">
        <v>105</v>
      </c>
      <c r="AC83" s="21" t="s">
        <v>91</v>
      </c>
      <c r="AD83" s="21" t="s">
        <v>270</v>
      </c>
      <c r="AE83" s="21" t="s">
        <v>271</v>
      </c>
      <c r="AF83" s="21" t="s">
        <v>245</v>
      </c>
      <c r="AG83" s="21">
        <v>802555024</v>
      </c>
      <c r="AH83" s="21" t="s">
        <v>131</v>
      </c>
      <c r="AI83" s="21" t="s">
        <v>492</v>
      </c>
      <c r="AJ83" s="21"/>
      <c r="AK83" s="28" t="s">
        <v>447</v>
      </c>
      <c r="AL83" s="21" t="s">
        <v>458</v>
      </c>
      <c r="AM83" s="21" t="s">
        <v>1923</v>
      </c>
      <c r="AN83" s="21" t="s">
        <v>1178</v>
      </c>
      <c r="AO83" s="23">
        <v>46301</v>
      </c>
      <c r="AP83" s="21">
        <v>38580</v>
      </c>
      <c r="AQ83" s="21" t="s">
        <v>868</v>
      </c>
      <c r="AR83" s="21" t="s">
        <v>81</v>
      </c>
      <c r="AS83" s="21" t="s">
        <v>871</v>
      </c>
      <c r="AT83" s="24">
        <v>46329</v>
      </c>
    </row>
    <row r="84" spans="1:46" x14ac:dyDescent="0.25">
      <c r="A84" s="20" t="s">
        <v>751</v>
      </c>
      <c r="B84" s="21" t="s">
        <v>774</v>
      </c>
      <c r="C84" s="1" t="s">
        <v>83</v>
      </c>
      <c r="D84" s="21">
        <v>16</v>
      </c>
      <c r="E84" s="21" t="s">
        <v>797</v>
      </c>
      <c r="F84" s="21" t="s">
        <v>77</v>
      </c>
      <c r="G84" s="22">
        <f>Table1[[#This Row],[ENR]]-Table1[[#This Row],[CREDIT]]</f>
        <v>-71314.94</v>
      </c>
      <c r="H84" s="21">
        <v>120000</v>
      </c>
      <c r="I84" s="35">
        <v>48685.06</v>
      </c>
      <c r="J84" s="22" t="s">
        <v>78</v>
      </c>
      <c r="K84" s="22">
        <v>48685.06</v>
      </c>
      <c r="L84" s="22">
        <v>42604.68</v>
      </c>
      <c r="M84" s="21">
        <v>10650</v>
      </c>
      <c r="N84" s="22">
        <v>5350</v>
      </c>
      <c r="O84" s="1" t="s">
        <v>49</v>
      </c>
      <c r="P84" s="1" t="s">
        <v>12</v>
      </c>
      <c r="Q84" s="15">
        <v>10650</v>
      </c>
      <c r="R84" s="22">
        <f>Table1[[#This Row],[STAB]]-Table1[[#This Row],[AMOUNT]]</f>
        <v>-5300</v>
      </c>
      <c r="S84" s="1" t="s">
        <v>1956</v>
      </c>
      <c r="T84" s="1" t="s">
        <v>446</v>
      </c>
      <c r="U84" s="1">
        <v>0</v>
      </c>
      <c r="V84" s="1" t="s">
        <v>267</v>
      </c>
      <c r="W84" s="1" t="s">
        <v>265</v>
      </c>
      <c r="X84" s="1" t="s">
        <v>269</v>
      </c>
      <c r="Y84" s="21" t="s">
        <v>2111</v>
      </c>
      <c r="Z84" s="21" t="s">
        <v>820</v>
      </c>
      <c r="AA84" s="21" t="s">
        <v>843</v>
      </c>
      <c r="AB84" s="21" t="s">
        <v>548</v>
      </c>
      <c r="AC84" s="21" t="s">
        <v>91</v>
      </c>
      <c r="AD84" s="21" t="s">
        <v>50</v>
      </c>
      <c r="AE84" s="21" t="s">
        <v>254</v>
      </c>
      <c r="AF84" s="21" t="s">
        <v>247</v>
      </c>
      <c r="AG84" s="21">
        <v>802551967</v>
      </c>
      <c r="AH84" s="21" t="s">
        <v>131</v>
      </c>
      <c r="AI84" s="21" t="s">
        <v>492</v>
      </c>
      <c r="AJ84" s="21"/>
      <c r="AK84" s="28" t="s">
        <v>447</v>
      </c>
      <c r="AL84" s="21"/>
      <c r="AM84" s="21"/>
      <c r="AN84" s="21"/>
      <c r="AO84" s="23">
        <v>46232</v>
      </c>
      <c r="AP84" s="21">
        <v>431.08</v>
      </c>
      <c r="AQ84" s="21" t="s">
        <v>867</v>
      </c>
      <c r="AR84" s="21" t="s">
        <v>106</v>
      </c>
      <c r="AS84" s="21" t="s">
        <v>871</v>
      </c>
      <c r="AT84" s="24">
        <v>46329</v>
      </c>
    </row>
    <row r="85" spans="1:46" x14ac:dyDescent="0.25">
      <c r="A85" s="20" t="s">
        <v>749</v>
      </c>
      <c r="B85" s="21" t="s">
        <v>772</v>
      </c>
      <c r="C85" s="1" t="s">
        <v>47</v>
      </c>
      <c r="D85" s="21">
        <v>16</v>
      </c>
      <c r="E85" s="21" t="s">
        <v>795</v>
      </c>
      <c r="F85" s="21" t="s">
        <v>77</v>
      </c>
      <c r="G85" s="22">
        <f>Table1[[#This Row],[ENR]]-Table1[[#This Row],[CREDIT]]</f>
        <v>-4096.8600000000006</v>
      </c>
      <c r="H85" s="21">
        <v>50000</v>
      </c>
      <c r="I85" s="35">
        <v>45903.14</v>
      </c>
      <c r="J85" s="22" t="s">
        <v>78</v>
      </c>
      <c r="K85" s="22">
        <v>45903.14</v>
      </c>
      <c r="L85" s="22">
        <v>39868.949999999997</v>
      </c>
      <c r="M85" s="21">
        <v>9930</v>
      </c>
      <c r="N85" s="22">
        <v>4880</v>
      </c>
      <c r="O85" s="1" t="s">
        <v>41</v>
      </c>
      <c r="P85" s="1" t="s">
        <v>42</v>
      </c>
      <c r="Q85" s="15">
        <v>0</v>
      </c>
      <c r="R85" s="22">
        <f>Table1[[#This Row],[STAB]]-Table1[[#This Row],[AMOUNT]]</f>
        <v>4880</v>
      </c>
      <c r="S85" s="1">
        <v>0</v>
      </c>
      <c r="T85" s="1" t="s">
        <v>79</v>
      </c>
      <c r="U85" s="1">
        <v>0</v>
      </c>
      <c r="V85" s="1" t="s">
        <v>267</v>
      </c>
      <c r="W85" s="1" t="s">
        <v>266</v>
      </c>
      <c r="X85" s="1" t="s">
        <v>268</v>
      </c>
      <c r="Y85" s="21" t="s">
        <v>2111</v>
      </c>
      <c r="Z85" s="21" t="s">
        <v>818</v>
      </c>
      <c r="AA85" s="21" t="s">
        <v>841</v>
      </c>
      <c r="AB85" s="21" t="s">
        <v>105</v>
      </c>
      <c r="AC85" s="21" t="s">
        <v>91</v>
      </c>
      <c r="AD85" s="21" t="s">
        <v>270</v>
      </c>
      <c r="AE85" s="21" t="s">
        <v>271</v>
      </c>
      <c r="AF85" s="21" t="s">
        <v>245</v>
      </c>
      <c r="AG85" s="21">
        <v>802555024</v>
      </c>
      <c r="AH85" s="21" t="s">
        <v>131</v>
      </c>
      <c r="AI85" s="21" t="s">
        <v>492</v>
      </c>
      <c r="AJ85" s="21"/>
      <c r="AK85" s="28" t="s">
        <v>43</v>
      </c>
      <c r="AL85" s="21"/>
      <c r="AM85" s="21"/>
      <c r="AN85" s="21"/>
      <c r="AO85" s="23">
        <v>45666</v>
      </c>
      <c r="AP85" s="21">
        <v>49588</v>
      </c>
      <c r="AQ85" s="21" t="s">
        <v>865</v>
      </c>
      <c r="AR85" s="21" t="s">
        <v>106</v>
      </c>
      <c r="AS85" s="21" t="s">
        <v>871</v>
      </c>
      <c r="AT85" s="24">
        <v>46329</v>
      </c>
    </row>
    <row r="86" spans="1:46" x14ac:dyDescent="0.25">
      <c r="A86" s="54" t="s">
        <v>732</v>
      </c>
      <c r="B86" s="28" t="s">
        <v>755</v>
      </c>
      <c r="C86" s="1" t="s">
        <v>47</v>
      </c>
      <c r="D86" s="28">
        <v>16</v>
      </c>
      <c r="E86" s="28" t="s">
        <v>778</v>
      </c>
      <c r="F86" s="28" t="s">
        <v>77</v>
      </c>
      <c r="G86" s="55">
        <f>Table1[[#This Row],[ENR]]-Table1[[#This Row],[CREDIT]]</f>
        <v>-872.7300000000032</v>
      </c>
      <c r="H86" s="28">
        <v>37000</v>
      </c>
      <c r="I86" s="56">
        <v>36127.269999999997</v>
      </c>
      <c r="J86" s="55" t="s">
        <v>78</v>
      </c>
      <c r="K86" s="55">
        <v>36127.269999999997</v>
      </c>
      <c r="L86" s="55">
        <v>33227.769999999997</v>
      </c>
      <c r="M86" s="28">
        <v>9930</v>
      </c>
      <c r="N86" s="55">
        <v>7000</v>
      </c>
      <c r="O86" s="1" t="s">
        <v>41</v>
      </c>
      <c r="P86" s="1" t="s">
        <v>42</v>
      </c>
      <c r="Q86" s="15">
        <v>0</v>
      </c>
      <c r="R86" s="55">
        <f>Table1[[#This Row],[STAB]]-Table1[[#This Row],[AMOUNT]]</f>
        <v>7000</v>
      </c>
      <c r="S86" s="1">
        <v>0</v>
      </c>
      <c r="T86" s="1" t="s">
        <v>79</v>
      </c>
      <c r="U86" s="1">
        <v>0</v>
      </c>
      <c r="V86" s="1" t="s">
        <v>267</v>
      </c>
      <c r="W86" s="1" t="s">
        <v>265</v>
      </c>
      <c r="X86" s="1" t="s">
        <v>269</v>
      </c>
      <c r="Y86" s="21" t="s">
        <v>2111</v>
      </c>
      <c r="Z86" s="28" t="s">
        <v>801</v>
      </c>
      <c r="AA86" s="28" t="s">
        <v>824</v>
      </c>
      <c r="AB86" s="28" t="s">
        <v>80</v>
      </c>
      <c r="AC86" s="28" t="s">
        <v>91</v>
      </c>
      <c r="AD86" s="28" t="s">
        <v>99</v>
      </c>
      <c r="AE86" s="21" t="s">
        <v>449</v>
      </c>
      <c r="AF86" s="28" t="s">
        <v>450</v>
      </c>
      <c r="AG86" s="28">
        <v>802898520</v>
      </c>
      <c r="AH86" s="28" t="s">
        <v>130</v>
      </c>
      <c r="AI86" s="21" t="s">
        <v>492</v>
      </c>
      <c r="AJ86" s="28"/>
      <c r="AK86" s="28" t="s">
        <v>447</v>
      </c>
      <c r="AL86" s="28" t="s">
        <v>463</v>
      </c>
      <c r="AM86" s="28" t="s">
        <v>2085</v>
      </c>
      <c r="AN86" s="28" t="s">
        <v>2084</v>
      </c>
      <c r="AO86" s="57">
        <v>46250</v>
      </c>
      <c r="AP86" s="28">
        <v>1931</v>
      </c>
      <c r="AQ86" s="28" t="s">
        <v>848</v>
      </c>
      <c r="AR86" s="28" t="s">
        <v>106</v>
      </c>
      <c r="AS86" s="21" t="s">
        <v>871</v>
      </c>
      <c r="AT86" s="58">
        <v>46329</v>
      </c>
    </row>
    <row r="87" spans="1:46" x14ac:dyDescent="0.25">
      <c r="A87" s="20" t="s">
        <v>874</v>
      </c>
      <c r="B87" s="21" t="s">
        <v>920</v>
      </c>
      <c r="C87" s="1" t="s">
        <v>47</v>
      </c>
      <c r="D87" s="21">
        <v>18</v>
      </c>
      <c r="E87" s="21" t="s">
        <v>966</v>
      </c>
      <c r="F87" s="21" t="s">
        <v>77</v>
      </c>
      <c r="G87" s="22">
        <f>Table1[[#This Row],[ENR]]-Table1[[#This Row],[CREDIT]]</f>
        <v>255863.54000000004</v>
      </c>
      <c r="H87" s="21">
        <v>500000</v>
      </c>
      <c r="I87" s="35">
        <v>755863.54</v>
      </c>
      <c r="J87" s="22">
        <v>421457.65</v>
      </c>
      <c r="K87" s="22">
        <v>334405.89</v>
      </c>
      <c r="L87" s="22">
        <v>293622.40000000002</v>
      </c>
      <c r="M87" s="21">
        <v>100950</v>
      </c>
      <c r="N87" s="22">
        <v>53420</v>
      </c>
      <c r="O87" s="1" t="s">
        <v>41</v>
      </c>
      <c r="P87" s="1" t="s">
        <v>42</v>
      </c>
      <c r="Q87" s="15">
        <v>0</v>
      </c>
      <c r="R87" s="22">
        <f>Table1[[#This Row],[STAB]]-Table1[[#This Row],[AMOUNT]]</f>
        <v>53420</v>
      </c>
      <c r="S87" s="1">
        <v>0</v>
      </c>
      <c r="T87" s="1" t="s">
        <v>79</v>
      </c>
      <c r="U87" s="1">
        <v>0</v>
      </c>
      <c r="V87" s="1" t="s">
        <v>267</v>
      </c>
      <c r="W87" s="1" t="s">
        <v>107</v>
      </c>
      <c r="X87" s="1" t="s">
        <v>200</v>
      </c>
      <c r="Y87" s="21" t="s">
        <v>2111</v>
      </c>
      <c r="Z87" s="21" t="s">
        <v>1013</v>
      </c>
      <c r="AA87" s="21" t="s">
        <v>1058</v>
      </c>
      <c r="AB87" s="21" t="s">
        <v>256</v>
      </c>
      <c r="AC87" s="21" t="s">
        <v>93</v>
      </c>
      <c r="AD87" s="21" t="s">
        <v>460</v>
      </c>
      <c r="AE87" s="21" t="s">
        <v>444</v>
      </c>
      <c r="AF87" s="21" t="s">
        <v>181</v>
      </c>
      <c r="AG87" s="21">
        <v>802823180</v>
      </c>
      <c r="AH87" s="21" t="s">
        <v>132</v>
      </c>
      <c r="AI87" s="21" t="s">
        <v>492</v>
      </c>
      <c r="AJ87" s="21"/>
      <c r="AK87" s="28" t="s">
        <v>43</v>
      </c>
      <c r="AL87" s="21"/>
      <c r="AM87" s="21"/>
      <c r="AN87" s="21"/>
      <c r="AO87" s="23">
        <v>46263</v>
      </c>
      <c r="AP87" s="21">
        <v>200000</v>
      </c>
      <c r="AQ87" s="21" t="s">
        <v>1110</v>
      </c>
      <c r="AR87" s="21" t="s">
        <v>81</v>
      </c>
      <c r="AS87" s="21" t="s">
        <v>871</v>
      </c>
      <c r="AT87" s="24"/>
    </row>
    <row r="88" spans="1:46" x14ac:dyDescent="0.25">
      <c r="A88" s="20" t="s">
        <v>875</v>
      </c>
      <c r="B88" s="21" t="s">
        <v>921</v>
      </c>
      <c r="C88" s="1" t="s">
        <v>47</v>
      </c>
      <c r="D88" s="21">
        <v>18</v>
      </c>
      <c r="E88" s="21" t="s">
        <v>967</v>
      </c>
      <c r="F88" s="21" t="s">
        <v>77</v>
      </c>
      <c r="G88" s="22">
        <f>Table1[[#This Row],[ENR]]-Table1[[#This Row],[CREDIT]]</f>
        <v>2429.0200000000004</v>
      </c>
      <c r="H88" s="21">
        <v>30000</v>
      </c>
      <c r="I88" s="35">
        <v>32429.02</v>
      </c>
      <c r="J88" s="22" t="s">
        <v>78</v>
      </c>
      <c r="K88" s="22">
        <v>32429.02</v>
      </c>
      <c r="L88" s="22">
        <v>29056.49</v>
      </c>
      <c r="M88" s="21">
        <v>8520</v>
      </c>
      <c r="N88" s="22">
        <v>1460</v>
      </c>
      <c r="O88" s="1" t="s">
        <v>41</v>
      </c>
      <c r="P88" s="1" t="s">
        <v>42</v>
      </c>
      <c r="Q88" s="15">
        <v>0</v>
      </c>
      <c r="R88" s="22">
        <f>Table1[[#This Row],[STAB]]-Table1[[#This Row],[AMOUNT]]</f>
        <v>1460</v>
      </c>
      <c r="S88" s="1">
        <v>0</v>
      </c>
      <c r="T88" s="1" t="s">
        <v>79</v>
      </c>
      <c r="U88" s="1">
        <v>0</v>
      </c>
      <c r="V88" s="1" t="s">
        <v>267</v>
      </c>
      <c r="W88" s="1" t="s">
        <v>265</v>
      </c>
      <c r="X88" s="1" t="s">
        <v>269</v>
      </c>
      <c r="Y88" s="21" t="s">
        <v>2111</v>
      </c>
      <c r="Z88" s="21" t="s">
        <v>1014</v>
      </c>
      <c r="AA88" s="21" t="s">
        <v>1059</v>
      </c>
      <c r="AB88" s="21" t="s">
        <v>1104</v>
      </c>
      <c r="AC88" s="21" t="s">
        <v>91</v>
      </c>
      <c r="AD88" s="21" t="s">
        <v>86</v>
      </c>
      <c r="AE88" s="21" t="s">
        <v>1166</v>
      </c>
      <c r="AF88" s="21" t="s">
        <v>1162</v>
      </c>
      <c r="AG88" s="21">
        <v>802370852</v>
      </c>
      <c r="AH88" s="21" t="s">
        <v>132</v>
      </c>
      <c r="AI88" s="21" t="s">
        <v>492</v>
      </c>
      <c r="AJ88" s="21"/>
      <c r="AK88" s="28" t="s">
        <v>43</v>
      </c>
      <c r="AL88" s="21"/>
      <c r="AM88" s="21"/>
      <c r="AN88" s="21"/>
      <c r="AO88" s="23">
        <v>45463</v>
      </c>
      <c r="AP88" s="21">
        <v>4629</v>
      </c>
      <c r="AQ88" s="21" t="s">
        <v>1111</v>
      </c>
      <c r="AR88" s="21" t="s">
        <v>177</v>
      </c>
      <c r="AS88" s="21" t="s">
        <v>871</v>
      </c>
      <c r="AT88" s="24"/>
    </row>
    <row r="89" spans="1:46" x14ac:dyDescent="0.25">
      <c r="A89" s="20" t="s">
        <v>876</v>
      </c>
      <c r="B89" s="21" t="s">
        <v>922</v>
      </c>
      <c r="C89" s="1" t="s">
        <v>47</v>
      </c>
      <c r="D89" s="21">
        <v>18</v>
      </c>
      <c r="E89" s="21" t="s">
        <v>968</v>
      </c>
      <c r="F89" s="21" t="s">
        <v>77</v>
      </c>
      <c r="G89" s="22">
        <f>Table1[[#This Row],[ENR]]-Table1[[#This Row],[CREDIT]]</f>
        <v>-16353.230000000003</v>
      </c>
      <c r="H89" s="21">
        <v>70000</v>
      </c>
      <c r="I89" s="35">
        <v>53646.77</v>
      </c>
      <c r="J89" s="22" t="s">
        <v>78</v>
      </c>
      <c r="K89" s="22">
        <v>53646.77</v>
      </c>
      <c r="L89" s="22">
        <v>48828.79</v>
      </c>
      <c r="M89" s="21">
        <v>12290</v>
      </c>
      <c r="N89" s="22">
        <v>6210</v>
      </c>
      <c r="O89" s="1" t="s">
        <v>41</v>
      </c>
      <c r="P89" s="1" t="s">
        <v>42</v>
      </c>
      <c r="Q89" s="15">
        <v>0</v>
      </c>
      <c r="R89" s="22">
        <f>Table1[[#This Row],[STAB]]-Table1[[#This Row],[AMOUNT]]</f>
        <v>6210</v>
      </c>
      <c r="S89" s="1">
        <v>0</v>
      </c>
      <c r="T89" s="1" t="s">
        <v>79</v>
      </c>
      <c r="U89" s="1">
        <v>0</v>
      </c>
      <c r="V89" s="1" t="s">
        <v>267</v>
      </c>
      <c r="W89" s="1" t="s">
        <v>645</v>
      </c>
      <c r="X89" s="1" t="s">
        <v>646</v>
      </c>
      <c r="Y89" s="21" t="s">
        <v>2111</v>
      </c>
      <c r="Z89" s="21" t="s">
        <v>1015</v>
      </c>
      <c r="AA89" s="21" t="s">
        <v>1060</v>
      </c>
      <c r="AB89" s="21" t="s">
        <v>1105</v>
      </c>
      <c r="AC89" s="21" t="s">
        <v>92</v>
      </c>
      <c r="AD89" s="21" t="s">
        <v>1158</v>
      </c>
      <c r="AE89" s="21" t="s">
        <v>1167</v>
      </c>
      <c r="AF89" s="21" t="s">
        <v>491</v>
      </c>
      <c r="AG89" s="21">
        <v>802663436</v>
      </c>
      <c r="AH89" s="21" t="s">
        <v>132</v>
      </c>
      <c r="AI89" s="21" t="s">
        <v>492</v>
      </c>
      <c r="AJ89" s="21"/>
      <c r="AK89" s="28" t="s">
        <v>43</v>
      </c>
      <c r="AL89" s="21"/>
      <c r="AM89" s="21"/>
      <c r="AN89" s="21"/>
      <c r="AO89" s="23">
        <v>46310</v>
      </c>
      <c r="AP89" s="21">
        <v>9150</v>
      </c>
      <c r="AQ89" s="21" t="s">
        <v>1112</v>
      </c>
      <c r="AR89" s="21" t="s">
        <v>89</v>
      </c>
      <c r="AS89" s="21" t="s">
        <v>871</v>
      </c>
      <c r="AT89" s="24"/>
    </row>
    <row r="90" spans="1:46" x14ac:dyDescent="0.25">
      <c r="A90" s="20" t="s">
        <v>877</v>
      </c>
      <c r="B90" s="21" t="s">
        <v>923</v>
      </c>
      <c r="C90" s="1" t="s">
        <v>47</v>
      </c>
      <c r="D90" s="21">
        <v>18</v>
      </c>
      <c r="E90" s="21" t="s">
        <v>969</v>
      </c>
      <c r="F90" s="21" t="s">
        <v>77</v>
      </c>
      <c r="G90" s="22">
        <f>Table1[[#This Row],[ENR]]-Table1[[#This Row],[CREDIT]]</f>
        <v>278695.18999999994</v>
      </c>
      <c r="H90" s="21">
        <v>510000</v>
      </c>
      <c r="I90" s="35">
        <v>788695.19</v>
      </c>
      <c r="J90" s="22">
        <v>714339.01</v>
      </c>
      <c r="K90" s="22">
        <v>74356.179999999993</v>
      </c>
      <c r="L90" s="22">
        <v>64896.800000000003</v>
      </c>
      <c r="M90" s="21">
        <v>72260</v>
      </c>
      <c r="N90" s="22">
        <v>30000</v>
      </c>
      <c r="O90" s="1" t="s">
        <v>41</v>
      </c>
      <c r="P90" s="1" t="s">
        <v>42</v>
      </c>
      <c r="Q90" s="15">
        <v>0</v>
      </c>
      <c r="R90" s="22">
        <f>Table1[[#This Row],[STAB]]-Table1[[#This Row],[AMOUNT]]</f>
        <v>30000</v>
      </c>
      <c r="S90" s="1">
        <v>0</v>
      </c>
      <c r="T90" s="1" t="s">
        <v>79</v>
      </c>
      <c r="U90" s="1">
        <v>0</v>
      </c>
      <c r="V90" s="1" t="s">
        <v>267</v>
      </c>
      <c r="W90" s="1" t="s">
        <v>265</v>
      </c>
      <c r="X90" s="1" t="s">
        <v>269</v>
      </c>
      <c r="Y90" s="21" t="s">
        <v>2111</v>
      </c>
      <c r="Z90" s="21" t="s">
        <v>1016</v>
      </c>
      <c r="AA90" s="21" t="s">
        <v>1061</v>
      </c>
      <c r="AB90" s="21" t="s">
        <v>70</v>
      </c>
      <c r="AC90" s="21" t="s">
        <v>91</v>
      </c>
      <c r="AD90" s="21" t="s">
        <v>51</v>
      </c>
      <c r="AE90" s="21" t="s">
        <v>189</v>
      </c>
      <c r="AF90" s="21" t="s">
        <v>136</v>
      </c>
      <c r="AG90" s="21">
        <v>801772792</v>
      </c>
      <c r="AH90" s="21" t="s">
        <v>132</v>
      </c>
      <c r="AI90" s="21" t="s">
        <v>492</v>
      </c>
      <c r="AJ90" s="21"/>
      <c r="AK90" s="28" t="s">
        <v>43</v>
      </c>
      <c r="AL90" s="21"/>
      <c r="AM90" s="21"/>
      <c r="AN90" s="21"/>
      <c r="AO90" s="23">
        <v>45506</v>
      </c>
      <c r="AP90" s="21">
        <v>25058</v>
      </c>
      <c r="AQ90" s="21" t="s">
        <v>1113</v>
      </c>
      <c r="AR90" s="21" t="s">
        <v>89</v>
      </c>
      <c r="AS90" s="21" t="s">
        <v>871</v>
      </c>
      <c r="AT90" s="24"/>
    </row>
    <row r="91" spans="1:46" x14ac:dyDescent="0.25">
      <c r="A91" s="20" t="s">
        <v>878</v>
      </c>
      <c r="B91" s="21" t="s">
        <v>924</v>
      </c>
      <c r="C91" s="1" t="s">
        <v>47</v>
      </c>
      <c r="D91" s="21">
        <v>18</v>
      </c>
      <c r="E91" s="21" t="s">
        <v>970</v>
      </c>
      <c r="F91" s="21" t="s">
        <v>77</v>
      </c>
      <c r="G91" s="22">
        <f>Table1[[#This Row],[ENR]]-Table1[[#This Row],[CREDIT]]</f>
        <v>56407.030000000028</v>
      </c>
      <c r="H91" s="21">
        <v>500000</v>
      </c>
      <c r="I91" s="35">
        <v>556407.03</v>
      </c>
      <c r="J91" s="22" t="s">
        <v>78</v>
      </c>
      <c r="K91" s="22">
        <v>556407.03</v>
      </c>
      <c r="L91" s="22">
        <v>493962.76</v>
      </c>
      <c r="M91" s="21">
        <v>162680</v>
      </c>
      <c r="N91" s="22">
        <v>93290</v>
      </c>
      <c r="O91" s="1" t="s">
        <v>41</v>
      </c>
      <c r="P91" s="1" t="s">
        <v>42</v>
      </c>
      <c r="Q91" s="15">
        <v>0</v>
      </c>
      <c r="R91" s="22">
        <f>Table1[[#This Row],[STAB]]-Table1[[#This Row],[AMOUNT]]</f>
        <v>93290</v>
      </c>
      <c r="S91" s="1">
        <v>0</v>
      </c>
      <c r="T91" s="1" t="s">
        <v>79</v>
      </c>
      <c r="U91" s="1">
        <v>0</v>
      </c>
      <c r="V91" s="1" t="s">
        <v>267</v>
      </c>
      <c r="W91" s="1" t="s">
        <v>645</v>
      </c>
      <c r="X91" s="1" t="s">
        <v>646</v>
      </c>
      <c r="Y91" s="21" t="s">
        <v>2111</v>
      </c>
      <c r="Z91" s="21" t="s">
        <v>1017</v>
      </c>
      <c r="AA91" s="21" t="s">
        <v>1062</v>
      </c>
      <c r="AB91" s="21" t="s">
        <v>1106</v>
      </c>
      <c r="AC91" s="21" t="s">
        <v>92</v>
      </c>
      <c r="AD91" s="21" t="s">
        <v>259</v>
      </c>
      <c r="AE91" s="21" t="s">
        <v>260</v>
      </c>
      <c r="AF91" s="21" t="s">
        <v>140</v>
      </c>
      <c r="AG91" s="21">
        <v>802852449</v>
      </c>
      <c r="AH91" s="21" t="s">
        <v>130</v>
      </c>
      <c r="AI91" s="21" t="s">
        <v>492</v>
      </c>
      <c r="AJ91" s="21"/>
      <c r="AK91" s="28" t="s">
        <v>43</v>
      </c>
      <c r="AL91" s="21"/>
      <c r="AM91" s="21"/>
      <c r="AN91" s="21"/>
      <c r="AO91" s="23">
        <v>45477</v>
      </c>
      <c r="AP91" s="21">
        <v>17294.71</v>
      </c>
      <c r="AQ91" s="21" t="s">
        <v>1114</v>
      </c>
      <c r="AR91" s="21" t="s">
        <v>81</v>
      </c>
      <c r="AS91" s="21" t="s">
        <v>871</v>
      </c>
      <c r="AT91" s="24"/>
    </row>
    <row r="92" spans="1:46" x14ac:dyDescent="0.25">
      <c r="A92" s="20" t="s">
        <v>879</v>
      </c>
      <c r="B92" s="21" t="s">
        <v>925</v>
      </c>
      <c r="C92" s="1" t="s">
        <v>47</v>
      </c>
      <c r="D92" s="21">
        <v>18</v>
      </c>
      <c r="E92" s="21" t="s">
        <v>971</v>
      </c>
      <c r="F92" s="21" t="s">
        <v>77</v>
      </c>
      <c r="G92" s="22">
        <f>Table1[[#This Row],[ENR]]-Table1[[#This Row],[CREDIT]]</f>
        <v>1032.5599999999977</v>
      </c>
      <c r="H92" s="21">
        <v>60000</v>
      </c>
      <c r="I92" s="35">
        <v>61032.56</v>
      </c>
      <c r="J92" s="22" t="s">
        <v>78</v>
      </c>
      <c r="K92" s="22">
        <v>61032.56</v>
      </c>
      <c r="L92" s="22">
        <v>55985.52</v>
      </c>
      <c r="M92" s="21">
        <v>13190</v>
      </c>
      <c r="N92" s="22">
        <v>6440</v>
      </c>
      <c r="O92" s="1" t="s">
        <v>41</v>
      </c>
      <c r="P92" s="1" t="s">
        <v>42</v>
      </c>
      <c r="Q92" s="15">
        <v>0</v>
      </c>
      <c r="R92" s="22">
        <f>Table1[[#This Row],[STAB]]-Table1[[#This Row],[AMOUNT]]</f>
        <v>6440</v>
      </c>
      <c r="S92" s="1">
        <v>0</v>
      </c>
      <c r="T92" s="1" t="s">
        <v>79</v>
      </c>
      <c r="U92" s="1">
        <v>0</v>
      </c>
      <c r="V92" s="1" t="s">
        <v>267</v>
      </c>
      <c r="W92" s="1" t="s">
        <v>265</v>
      </c>
      <c r="X92" s="1" t="s">
        <v>269</v>
      </c>
      <c r="Y92" s="21" t="s">
        <v>2111</v>
      </c>
      <c r="Z92" s="21" t="s">
        <v>1018</v>
      </c>
      <c r="AA92" s="21" t="s">
        <v>1063</v>
      </c>
      <c r="AB92" s="21" t="s">
        <v>70</v>
      </c>
      <c r="AC92" s="21" t="s">
        <v>91</v>
      </c>
      <c r="AD92" s="21" t="s">
        <v>51</v>
      </c>
      <c r="AE92" s="21" t="s">
        <v>189</v>
      </c>
      <c r="AF92" s="21" t="s">
        <v>136</v>
      </c>
      <c r="AG92" s="21">
        <v>801772792</v>
      </c>
      <c r="AH92" s="21" t="s">
        <v>132</v>
      </c>
      <c r="AI92" s="21" t="s">
        <v>492</v>
      </c>
      <c r="AJ92" s="21"/>
      <c r="AK92" s="28" t="s">
        <v>43</v>
      </c>
      <c r="AL92" s="21"/>
      <c r="AM92" s="21"/>
      <c r="AN92" s="21"/>
      <c r="AO92" s="23">
        <v>46125</v>
      </c>
      <c r="AP92" s="21">
        <v>16850</v>
      </c>
      <c r="AQ92" s="21" t="s">
        <v>1115</v>
      </c>
      <c r="AR92" s="21" t="s">
        <v>177</v>
      </c>
      <c r="AS92" s="21" t="s">
        <v>871</v>
      </c>
      <c r="AT92" s="24"/>
    </row>
    <row r="93" spans="1:46" x14ac:dyDescent="0.25">
      <c r="A93" s="20" t="s">
        <v>880</v>
      </c>
      <c r="B93" s="21" t="s">
        <v>926</v>
      </c>
      <c r="C93" s="1" t="s">
        <v>47</v>
      </c>
      <c r="D93" s="21">
        <v>18</v>
      </c>
      <c r="E93" s="21" t="s">
        <v>972</v>
      </c>
      <c r="F93" s="21" t="s">
        <v>77</v>
      </c>
      <c r="G93" s="22">
        <f>Table1[[#This Row],[ENR]]-Table1[[#This Row],[CREDIT]]</f>
        <v>207152.2</v>
      </c>
      <c r="H93" s="21">
        <v>70000</v>
      </c>
      <c r="I93" s="35">
        <v>277152.2</v>
      </c>
      <c r="J93" s="22">
        <v>213533.95</v>
      </c>
      <c r="K93" s="22">
        <v>63618.25</v>
      </c>
      <c r="L93" s="22">
        <v>54470.06</v>
      </c>
      <c r="M93" s="21">
        <v>55210</v>
      </c>
      <c r="N93" s="22">
        <v>32688</v>
      </c>
      <c r="O93" s="1" t="s">
        <v>41</v>
      </c>
      <c r="P93" s="1" t="s">
        <v>42</v>
      </c>
      <c r="Q93" s="15">
        <v>30000</v>
      </c>
      <c r="R93" s="22">
        <f>Table1[[#This Row],[STAB]]-Table1[[#This Row],[AMOUNT]]</f>
        <v>2688</v>
      </c>
      <c r="S93" s="1">
        <v>0</v>
      </c>
      <c r="T93" s="1" t="s">
        <v>79</v>
      </c>
      <c r="U93" s="1">
        <v>0</v>
      </c>
      <c r="V93" s="1" t="s">
        <v>267</v>
      </c>
      <c r="W93" s="1" t="s">
        <v>645</v>
      </c>
      <c r="X93" s="1" t="s">
        <v>646</v>
      </c>
      <c r="Y93" s="21" t="s">
        <v>2111</v>
      </c>
      <c r="Z93" s="21" t="s">
        <v>1019</v>
      </c>
      <c r="AA93" s="21" t="s">
        <v>1064</v>
      </c>
      <c r="AB93" s="21" t="s">
        <v>71</v>
      </c>
      <c r="AC93" s="21" t="s">
        <v>92</v>
      </c>
      <c r="AD93" s="21" t="s">
        <v>95</v>
      </c>
      <c r="AE93" s="21" t="s">
        <v>190</v>
      </c>
      <c r="AF93" s="21" t="s">
        <v>134</v>
      </c>
      <c r="AG93" s="21">
        <v>801436997</v>
      </c>
      <c r="AH93" s="21" t="s">
        <v>130</v>
      </c>
      <c r="AI93" s="21" t="s">
        <v>492</v>
      </c>
      <c r="AJ93" s="21"/>
      <c r="AK93" s="28" t="s">
        <v>447</v>
      </c>
      <c r="AL93" s="21" t="s">
        <v>458</v>
      </c>
      <c r="AM93" s="21" t="s">
        <v>1930</v>
      </c>
      <c r="AN93" s="21" t="s">
        <v>1927</v>
      </c>
      <c r="AO93" s="23">
        <v>46307</v>
      </c>
      <c r="AP93" s="21">
        <v>310</v>
      </c>
      <c r="AQ93" s="21" t="s">
        <v>1116</v>
      </c>
      <c r="AR93" s="21" t="s">
        <v>106</v>
      </c>
      <c r="AS93" s="21" t="s">
        <v>871</v>
      </c>
      <c r="AT93" s="24"/>
    </row>
    <row r="94" spans="1:46" x14ac:dyDescent="0.25">
      <c r="A94" s="20" t="s">
        <v>881</v>
      </c>
      <c r="B94" s="21" t="s">
        <v>927</v>
      </c>
      <c r="C94" s="1" t="s">
        <v>47</v>
      </c>
      <c r="D94" s="21">
        <v>18</v>
      </c>
      <c r="E94" s="21" t="s">
        <v>973</v>
      </c>
      <c r="F94" s="21" t="s">
        <v>77</v>
      </c>
      <c r="G94" s="22">
        <f>Table1[[#This Row],[ENR]]-Table1[[#This Row],[CREDIT]]</f>
        <v>35128.420000000042</v>
      </c>
      <c r="H94" s="21">
        <v>490000</v>
      </c>
      <c r="I94" s="35">
        <v>525128.42000000004</v>
      </c>
      <c r="J94" s="22" t="s">
        <v>78</v>
      </c>
      <c r="K94" s="22">
        <v>525128.42000000004</v>
      </c>
      <c r="L94" s="22">
        <v>489882</v>
      </c>
      <c r="M94" s="21">
        <v>116390</v>
      </c>
      <c r="N94" s="22">
        <v>24500</v>
      </c>
      <c r="O94" s="1" t="s">
        <v>41</v>
      </c>
      <c r="P94" s="1" t="s">
        <v>42</v>
      </c>
      <c r="Q94" s="15">
        <v>0</v>
      </c>
      <c r="R94" s="22">
        <f>Table1[[#This Row],[STAB]]-Table1[[#This Row],[AMOUNT]]</f>
        <v>24500</v>
      </c>
      <c r="S94" s="1">
        <v>0</v>
      </c>
      <c r="T94" s="1" t="s">
        <v>79</v>
      </c>
      <c r="U94" s="1">
        <v>0</v>
      </c>
      <c r="V94" s="1" t="s">
        <v>267</v>
      </c>
      <c r="W94" s="1" t="s">
        <v>265</v>
      </c>
      <c r="X94" s="1" t="s">
        <v>269</v>
      </c>
      <c r="Y94" s="21" t="s">
        <v>2111</v>
      </c>
      <c r="Z94" s="21" t="s">
        <v>1020</v>
      </c>
      <c r="AA94" s="21" t="s">
        <v>1065</v>
      </c>
      <c r="AB94" s="21" t="s">
        <v>1104</v>
      </c>
      <c r="AC94" s="21" t="s">
        <v>91</v>
      </c>
      <c r="AD94" s="21" t="s">
        <v>50</v>
      </c>
      <c r="AE94" s="21" t="s">
        <v>254</v>
      </c>
      <c r="AF94" s="21" t="s">
        <v>247</v>
      </c>
      <c r="AG94" s="21">
        <v>802551967</v>
      </c>
      <c r="AH94" s="21" t="s">
        <v>131</v>
      </c>
      <c r="AI94" s="21" t="s">
        <v>492</v>
      </c>
      <c r="AJ94" s="21"/>
      <c r="AK94" s="28" t="s">
        <v>43</v>
      </c>
      <c r="AL94" s="21"/>
      <c r="AM94" s="21"/>
      <c r="AN94" s="21"/>
      <c r="AO94" s="23">
        <v>45448</v>
      </c>
      <c r="AP94" s="21">
        <v>60000</v>
      </c>
      <c r="AQ94" s="21" t="s">
        <v>1117</v>
      </c>
      <c r="AR94" s="21" t="s">
        <v>177</v>
      </c>
      <c r="AS94" s="21" t="s">
        <v>871</v>
      </c>
      <c r="AT94" s="24"/>
    </row>
    <row r="95" spans="1:46" x14ac:dyDescent="0.25">
      <c r="A95" s="20" t="s">
        <v>882</v>
      </c>
      <c r="B95" s="21" t="s">
        <v>928</v>
      </c>
      <c r="C95" s="1" t="s">
        <v>47</v>
      </c>
      <c r="D95" s="21">
        <v>18</v>
      </c>
      <c r="E95" s="21" t="s">
        <v>974</v>
      </c>
      <c r="F95" s="21" t="s">
        <v>77</v>
      </c>
      <c r="G95" s="22">
        <f>Table1[[#This Row],[ENR]]-Table1[[#This Row],[CREDIT]]</f>
        <v>227852.65999999997</v>
      </c>
      <c r="H95" s="21">
        <v>270000</v>
      </c>
      <c r="I95" s="35">
        <v>497852.66</v>
      </c>
      <c r="J95" s="22">
        <v>196710.86</v>
      </c>
      <c r="K95" s="22">
        <v>301141.8</v>
      </c>
      <c r="L95" s="22">
        <v>275266.76</v>
      </c>
      <c r="M95" s="21">
        <v>110700</v>
      </c>
      <c r="N95" s="22">
        <v>35040</v>
      </c>
      <c r="O95" s="1" t="s">
        <v>41</v>
      </c>
      <c r="P95" s="1" t="s">
        <v>42</v>
      </c>
      <c r="Q95" s="15">
        <v>0</v>
      </c>
      <c r="R95" s="22">
        <f>Table1[[#This Row],[STAB]]-Table1[[#This Row],[AMOUNT]]</f>
        <v>35040</v>
      </c>
      <c r="S95" s="1">
        <v>0</v>
      </c>
      <c r="T95" s="1" t="s">
        <v>79</v>
      </c>
      <c r="U95" s="1">
        <v>0</v>
      </c>
      <c r="V95" s="1" t="s">
        <v>267</v>
      </c>
      <c r="W95" s="1" t="s">
        <v>265</v>
      </c>
      <c r="X95" s="1" t="s">
        <v>269</v>
      </c>
      <c r="Y95" s="21" t="s">
        <v>2111</v>
      </c>
      <c r="Z95" s="21" t="s">
        <v>1021</v>
      </c>
      <c r="AA95" s="21" t="s">
        <v>1066</v>
      </c>
      <c r="AB95" s="21" t="s">
        <v>80</v>
      </c>
      <c r="AC95" s="21" t="s">
        <v>91</v>
      </c>
      <c r="AD95" s="21" t="s">
        <v>111</v>
      </c>
      <c r="AE95" s="21" t="s">
        <v>565</v>
      </c>
      <c r="AF95" s="21" t="s">
        <v>563</v>
      </c>
      <c r="AG95" s="21">
        <v>802794852</v>
      </c>
      <c r="AH95" s="21" t="s">
        <v>130</v>
      </c>
      <c r="AI95" s="21" t="s">
        <v>492</v>
      </c>
      <c r="AJ95" s="21"/>
      <c r="AK95" s="28" t="s">
        <v>447</v>
      </c>
      <c r="AL95" s="21" t="s">
        <v>458</v>
      </c>
      <c r="AM95" s="21" t="s">
        <v>1180</v>
      </c>
      <c r="AN95" s="21" t="s">
        <v>1178</v>
      </c>
      <c r="AO95" s="23">
        <v>45966</v>
      </c>
      <c r="AP95" s="21">
        <v>100000</v>
      </c>
      <c r="AQ95" s="21" t="s">
        <v>1118</v>
      </c>
      <c r="AR95" s="21" t="s">
        <v>88</v>
      </c>
      <c r="AS95" s="21" t="s">
        <v>871</v>
      </c>
      <c r="AT95" s="24"/>
    </row>
    <row r="96" spans="1:46" x14ac:dyDescent="0.25">
      <c r="A96" s="20" t="s">
        <v>883</v>
      </c>
      <c r="B96" s="21" t="s">
        <v>929</v>
      </c>
      <c r="C96" s="1" t="s">
        <v>47</v>
      </c>
      <c r="D96" s="21">
        <v>18</v>
      </c>
      <c r="E96" s="21" t="s">
        <v>975</v>
      </c>
      <c r="F96" s="21" t="s">
        <v>77</v>
      </c>
      <c r="G96" s="22">
        <f>Table1[[#This Row],[ENR]]-Table1[[#This Row],[CREDIT]]</f>
        <v>18978.850000000006</v>
      </c>
      <c r="H96" s="21">
        <v>150000</v>
      </c>
      <c r="I96" s="35">
        <v>168978.85</v>
      </c>
      <c r="J96" s="22">
        <v>148794.39000000001</v>
      </c>
      <c r="K96" s="22">
        <v>20184.46</v>
      </c>
      <c r="L96" s="22">
        <v>11263.61</v>
      </c>
      <c r="M96" s="21">
        <v>20184.46</v>
      </c>
      <c r="N96" s="22">
        <v>9926.7800000000007</v>
      </c>
      <c r="O96" s="1" t="s">
        <v>41</v>
      </c>
      <c r="P96" s="1" t="s">
        <v>42</v>
      </c>
      <c r="Q96" s="15">
        <v>0</v>
      </c>
      <c r="R96" s="22">
        <f>Table1[[#This Row],[STAB]]-Table1[[#This Row],[AMOUNT]]</f>
        <v>9926.7800000000007</v>
      </c>
      <c r="S96" s="1">
        <v>0</v>
      </c>
      <c r="T96" s="1" t="s">
        <v>79</v>
      </c>
      <c r="U96" s="1">
        <v>0</v>
      </c>
      <c r="V96" s="1" t="s">
        <v>267</v>
      </c>
      <c r="W96" s="1" t="s">
        <v>265</v>
      </c>
      <c r="X96" s="1" t="s">
        <v>269</v>
      </c>
      <c r="Y96" s="21" t="s">
        <v>2111</v>
      </c>
      <c r="Z96" s="21" t="s">
        <v>1022</v>
      </c>
      <c r="AA96" s="21" t="s">
        <v>1067</v>
      </c>
      <c r="AB96" s="21" t="s">
        <v>80</v>
      </c>
      <c r="AC96" s="21" t="s">
        <v>91</v>
      </c>
      <c r="AD96" s="21" t="s">
        <v>111</v>
      </c>
      <c r="AE96" s="21" t="s">
        <v>565</v>
      </c>
      <c r="AF96" s="21" t="s">
        <v>563</v>
      </c>
      <c r="AG96" s="21">
        <v>802794852</v>
      </c>
      <c r="AH96" s="21" t="s">
        <v>130</v>
      </c>
      <c r="AI96" s="21" t="s">
        <v>492</v>
      </c>
      <c r="AJ96" s="21"/>
      <c r="AK96" s="28" t="s">
        <v>447</v>
      </c>
      <c r="AL96" s="21" t="s">
        <v>463</v>
      </c>
      <c r="AM96" s="21" t="s">
        <v>1925</v>
      </c>
      <c r="AN96" s="21" t="s">
        <v>1178</v>
      </c>
      <c r="AO96" s="23" t="s">
        <v>78</v>
      </c>
      <c r="AP96" s="21">
        <v>0</v>
      </c>
      <c r="AQ96" s="21" t="s">
        <v>1119</v>
      </c>
      <c r="AR96" s="21" t="s">
        <v>88</v>
      </c>
      <c r="AS96" s="21" t="s">
        <v>871</v>
      </c>
      <c r="AT96" s="24"/>
    </row>
    <row r="97" spans="1:46" x14ac:dyDescent="0.25">
      <c r="A97" s="20" t="s">
        <v>884</v>
      </c>
      <c r="B97" s="21" t="s">
        <v>930</v>
      </c>
      <c r="C97" s="1" t="s">
        <v>47</v>
      </c>
      <c r="D97" s="21">
        <v>18</v>
      </c>
      <c r="E97" s="21" t="s">
        <v>976</v>
      </c>
      <c r="F97" s="21" t="s">
        <v>77</v>
      </c>
      <c r="G97" s="22">
        <f>Table1[[#This Row],[ENR]]-Table1[[#This Row],[CREDIT]]</f>
        <v>28048.719999999972</v>
      </c>
      <c r="H97" s="21">
        <v>490000</v>
      </c>
      <c r="I97" s="35">
        <v>518048.72</v>
      </c>
      <c r="J97" s="22">
        <v>220558.86</v>
      </c>
      <c r="K97" s="22">
        <v>297489.86</v>
      </c>
      <c r="L97" s="22">
        <v>263319.40999999997</v>
      </c>
      <c r="M97" s="21">
        <v>105570</v>
      </c>
      <c r="N97" s="22">
        <v>50740</v>
      </c>
      <c r="O97" s="1" t="s">
        <v>41</v>
      </c>
      <c r="P97" s="1" t="s">
        <v>42</v>
      </c>
      <c r="Q97" s="15">
        <v>0</v>
      </c>
      <c r="R97" s="22">
        <f>Table1[[#This Row],[STAB]]-Table1[[#This Row],[AMOUNT]]</f>
        <v>50740</v>
      </c>
      <c r="S97" s="1">
        <v>0</v>
      </c>
      <c r="T97" s="1" t="s">
        <v>79</v>
      </c>
      <c r="U97" s="1">
        <v>0</v>
      </c>
      <c r="V97" s="1" t="s">
        <v>267</v>
      </c>
      <c r="W97" s="1" t="s">
        <v>265</v>
      </c>
      <c r="X97" s="1" t="s">
        <v>269</v>
      </c>
      <c r="Y97" s="21" t="s">
        <v>2111</v>
      </c>
      <c r="Z97" s="21" t="s">
        <v>1023</v>
      </c>
      <c r="AA97" s="21" t="s">
        <v>1068</v>
      </c>
      <c r="AB97" s="21" t="s">
        <v>149</v>
      </c>
      <c r="AC97" s="21" t="s">
        <v>91</v>
      </c>
      <c r="AD97" s="1" t="s">
        <v>2080</v>
      </c>
      <c r="AE97" s="59" t="s">
        <v>2081</v>
      </c>
      <c r="AF97" s="21" t="s">
        <v>274</v>
      </c>
      <c r="AG97" s="21">
        <v>801354813</v>
      </c>
      <c r="AH97" s="21" t="s">
        <v>132</v>
      </c>
      <c r="AI97" s="21" t="s">
        <v>492</v>
      </c>
      <c r="AJ97" s="21"/>
      <c r="AK97" s="28" t="s">
        <v>43</v>
      </c>
      <c r="AL97" s="21"/>
      <c r="AM97" s="21"/>
      <c r="AN97" s="21"/>
      <c r="AO97" s="23">
        <v>45172</v>
      </c>
      <c r="AP97" s="21">
        <v>219115.77</v>
      </c>
      <c r="AQ97" s="21" t="s">
        <v>1120</v>
      </c>
      <c r="AR97" s="21" t="s">
        <v>88</v>
      </c>
      <c r="AS97" s="21" t="s">
        <v>871</v>
      </c>
      <c r="AT97" s="24"/>
    </row>
    <row r="98" spans="1:46" x14ac:dyDescent="0.25">
      <c r="A98" s="20" t="s">
        <v>885</v>
      </c>
      <c r="B98" s="21" t="s">
        <v>931</v>
      </c>
      <c r="C98" s="1" t="s">
        <v>47</v>
      </c>
      <c r="D98" s="21">
        <v>18</v>
      </c>
      <c r="E98" s="21" t="s">
        <v>977</v>
      </c>
      <c r="F98" s="21" t="s">
        <v>77</v>
      </c>
      <c r="G98" s="22">
        <f>Table1[[#This Row],[ENR]]-Table1[[#This Row],[CREDIT]]</f>
        <v>21323.459999999992</v>
      </c>
      <c r="H98" s="21">
        <v>220000</v>
      </c>
      <c r="I98" s="35">
        <v>241323.46</v>
      </c>
      <c r="J98" s="22" t="s">
        <v>78</v>
      </c>
      <c r="K98" s="22">
        <v>241323.46</v>
      </c>
      <c r="L98" s="22">
        <v>219352.15</v>
      </c>
      <c r="M98" s="21">
        <v>55440</v>
      </c>
      <c r="N98" s="22">
        <v>22200</v>
      </c>
      <c r="O98" s="1" t="s">
        <v>49</v>
      </c>
      <c r="P98" s="1" t="s">
        <v>12</v>
      </c>
      <c r="Q98" s="15">
        <v>55440</v>
      </c>
      <c r="R98" s="22">
        <f>Table1[[#This Row],[STAB]]-Table1[[#This Row],[AMOUNT]]</f>
        <v>-33240</v>
      </c>
      <c r="S98" s="1" t="s">
        <v>1176</v>
      </c>
      <c r="T98" s="1" t="s">
        <v>446</v>
      </c>
      <c r="U98" s="1">
        <v>0</v>
      </c>
      <c r="V98" s="1" t="s">
        <v>267</v>
      </c>
      <c r="W98" s="1" t="s">
        <v>265</v>
      </c>
      <c r="X98" s="1" t="s">
        <v>269</v>
      </c>
      <c r="Y98" s="21" t="s">
        <v>2111</v>
      </c>
      <c r="Z98" s="21" t="s">
        <v>1024</v>
      </c>
      <c r="AA98" s="21" t="s">
        <v>1069</v>
      </c>
      <c r="AB98" s="21" t="s">
        <v>1107</v>
      </c>
      <c r="AC98" s="21" t="s">
        <v>252</v>
      </c>
      <c r="AD98" s="21" t="s">
        <v>250</v>
      </c>
      <c r="AE98" s="21" t="s">
        <v>251</v>
      </c>
      <c r="AF98" s="21" t="s">
        <v>135</v>
      </c>
      <c r="AG98" s="21">
        <v>802823175</v>
      </c>
      <c r="AH98" s="21" t="s">
        <v>132</v>
      </c>
      <c r="AI98" s="21" t="s">
        <v>492</v>
      </c>
      <c r="AJ98" s="21"/>
      <c r="AK98" s="28" t="s">
        <v>447</v>
      </c>
      <c r="AL98" s="21"/>
      <c r="AM98" s="21"/>
      <c r="AN98" s="21"/>
      <c r="AO98" s="23">
        <v>45540</v>
      </c>
      <c r="AP98" s="21">
        <v>37582.17</v>
      </c>
      <c r="AQ98" s="21" t="s">
        <v>1121</v>
      </c>
      <c r="AR98" s="21" t="s">
        <v>88</v>
      </c>
      <c r="AS98" s="21" t="s">
        <v>871</v>
      </c>
      <c r="AT98" s="24"/>
    </row>
    <row r="99" spans="1:46" x14ac:dyDescent="0.25">
      <c r="A99" s="20" t="s">
        <v>886</v>
      </c>
      <c r="B99" s="21" t="s">
        <v>932</v>
      </c>
      <c r="C99" s="1" t="s">
        <v>47</v>
      </c>
      <c r="D99" s="21">
        <v>18</v>
      </c>
      <c r="E99" s="21" t="s">
        <v>978</v>
      </c>
      <c r="F99" s="21" t="s">
        <v>77</v>
      </c>
      <c r="G99" s="22">
        <f>Table1[[#This Row],[ENR]]-Table1[[#This Row],[CREDIT]]</f>
        <v>23128.630000000005</v>
      </c>
      <c r="H99" s="21">
        <v>270000</v>
      </c>
      <c r="I99" s="35">
        <v>293128.63</v>
      </c>
      <c r="J99" s="22" t="s">
        <v>78</v>
      </c>
      <c r="K99" s="22">
        <v>293128.63</v>
      </c>
      <c r="L99" s="22">
        <v>256136.15</v>
      </c>
      <c r="M99" s="21">
        <v>83490</v>
      </c>
      <c r="N99" s="22">
        <v>45240</v>
      </c>
      <c r="O99" s="1" t="s">
        <v>41</v>
      </c>
      <c r="P99" s="1" t="s">
        <v>42</v>
      </c>
      <c r="Q99" s="15">
        <v>0</v>
      </c>
      <c r="R99" s="22">
        <f>Table1[[#This Row],[STAB]]-Table1[[#This Row],[AMOUNT]]</f>
        <v>45240</v>
      </c>
      <c r="S99" s="1">
        <v>0</v>
      </c>
      <c r="T99" s="1" t="s">
        <v>79</v>
      </c>
      <c r="U99" s="1">
        <v>0</v>
      </c>
      <c r="V99" s="1" t="s">
        <v>267</v>
      </c>
      <c r="W99" s="1" t="s">
        <v>645</v>
      </c>
      <c r="X99" s="1" t="s">
        <v>646</v>
      </c>
      <c r="Y99" s="21" t="s">
        <v>2110</v>
      </c>
      <c r="Z99" s="21" t="s">
        <v>1025</v>
      </c>
      <c r="AA99" s="21" t="s">
        <v>1070</v>
      </c>
      <c r="AB99" s="21" t="s">
        <v>104</v>
      </c>
      <c r="AC99" s="21" t="s">
        <v>258</v>
      </c>
      <c r="AD99" s="21" t="s">
        <v>461</v>
      </c>
      <c r="AE99" s="21" t="s">
        <v>1168</v>
      </c>
      <c r="AF99" s="21" t="s">
        <v>133</v>
      </c>
      <c r="AG99" s="21">
        <v>802913252</v>
      </c>
      <c r="AH99" s="21" t="s">
        <v>130</v>
      </c>
      <c r="AI99" s="21" t="s">
        <v>492</v>
      </c>
      <c r="AJ99" s="21"/>
      <c r="AK99" s="28" t="s">
        <v>43</v>
      </c>
      <c r="AL99" s="21"/>
      <c r="AM99" s="21"/>
      <c r="AN99" s="21"/>
      <c r="AO99" s="23">
        <v>46221</v>
      </c>
      <c r="AP99" s="21">
        <v>49100</v>
      </c>
      <c r="AQ99" s="21" t="s">
        <v>1122</v>
      </c>
      <c r="AR99" s="21" t="s">
        <v>88</v>
      </c>
      <c r="AS99" s="21" t="s">
        <v>871</v>
      </c>
      <c r="AT99" s="24"/>
    </row>
    <row r="100" spans="1:46" x14ac:dyDescent="0.25">
      <c r="A100" s="20" t="s">
        <v>887</v>
      </c>
      <c r="B100" s="21" t="s">
        <v>933</v>
      </c>
      <c r="C100" s="1" t="s">
        <v>47</v>
      </c>
      <c r="D100" s="21">
        <v>18</v>
      </c>
      <c r="E100" s="21" t="s">
        <v>979</v>
      </c>
      <c r="F100" s="21" t="s">
        <v>77</v>
      </c>
      <c r="G100" s="22">
        <f>Table1[[#This Row],[ENR]]-Table1[[#This Row],[CREDIT]]</f>
        <v>43560.390000000014</v>
      </c>
      <c r="H100" s="21">
        <v>480000</v>
      </c>
      <c r="I100" s="35">
        <v>523560.39</v>
      </c>
      <c r="J100" s="22">
        <v>139936.97</v>
      </c>
      <c r="K100" s="22">
        <v>383623.42</v>
      </c>
      <c r="L100" s="22">
        <v>337642.63</v>
      </c>
      <c r="M100" s="21">
        <v>107610</v>
      </c>
      <c r="N100" s="22">
        <v>46770</v>
      </c>
      <c r="O100" s="1" t="s">
        <v>41</v>
      </c>
      <c r="P100" s="1" t="s">
        <v>42</v>
      </c>
      <c r="Q100" s="15">
        <v>0</v>
      </c>
      <c r="R100" s="22">
        <f>Table1[[#This Row],[STAB]]-Table1[[#This Row],[AMOUNT]]</f>
        <v>46770</v>
      </c>
      <c r="S100" s="1">
        <v>0</v>
      </c>
      <c r="T100" s="1" t="s">
        <v>79</v>
      </c>
      <c r="U100" s="1">
        <v>0</v>
      </c>
      <c r="V100" s="1" t="s">
        <v>267</v>
      </c>
      <c r="W100" s="1" t="s">
        <v>265</v>
      </c>
      <c r="X100" s="1" t="s">
        <v>269</v>
      </c>
      <c r="Y100" s="21" t="s">
        <v>2111</v>
      </c>
      <c r="Z100" s="21" t="s">
        <v>1026</v>
      </c>
      <c r="AA100" s="21" t="s">
        <v>1071</v>
      </c>
      <c r="AB100" s="21" t="s">
        <v>1108</v>
      </c>
      <c r="AC100" s="21" t="s">
        <v>91</v>
      </c>
      <c r="AD100" s="21" t="s">
        <v>1160</v>
      </c>
      <c r="AE100" s="21" t="s">
        <v>1169</v>
      </c>
      <c r="AF100" s="21" t="s">
        <v>1163</v>
      </c>
      <c r="AG100" s="21">
        <v>801772794</v>
      </c>
      <c r="AH100" s="21" t="s">
        <v>1161</v>
      </c>
      <c r="AI100" s="21" t="s">
        <v>492</v>
      </c>
      <c r="AJ100" s="21"/>
      <c r="AK100" s="28" t="s">
        <v>447</v>
      </c>
      <c r="AL100" s="21" t="s">
        <v>463</v>
      </c>
      <c r="AM100" s="21" t="s">
        <v>1967</v>
      </c>
      <c r="AN100" s="21" t="s">
        <v>1949</v>
      </c>
      <c r="AO100" s="23">
        <v>46282</v>
      </c>
      <c r="AP100" s="21">
        <v>10000</v>
      </c>
      <c r="AQ100" s="21" t="s">
        <v>1123</v>
      </c>
      <c r="AR100" s="21" t="s">
        <v>88</v>
      </c>
      <c r="AS100" s="21" t="s">
        <v>871</v>
      </c>
      <c r="AT100" s="24"/>
    </row>
    <row r="101" spans="1:46" x14ac:dyDescent="0.25">
      <c r="A101" s="20" t="s">
        <v>888</v>
      </c>
      <c r="B101" s="21" t="s">
        <v>934</v>
      </c>
      <c r="C101" s="1" t="s">
        <v>47</v>
      </c>
      <c r="D101" s="21">
        <v>18</v>
      </c>
      <c r="E101" s="21" t="s">
        <v>980</v>
      </c>
      <c r="F101" s="21" t="s">
        <v>77</v>
      </c>
      <c r="G101" s="22">
        <f>Table1[[#This Row],[ENR]]-Table1[[#This Row],[CREDIT]]</f>
        <v>-36150.450000000012</v>
      </c>
      <c r="H101" s="21">
        <v>180000</v>
      </c>
      <c r="I101" s="35">
        <v>143849.54999999999</v>
      </c>
      <c r="J101" s="22">
        <v>102303.29</v>
      </c>
      <c r="K101" s="22">
        <v>41546.26</v>
      </c>
      <c r="L101" s="22">
        <v>31487.46</v>
      </c>
      <c r="M101" s="21">
        <v>21480</v>
      </c>
      <c r="N101" s="22">
        <v>7170</v>
      </c>
      <c r="O101" s="1" t="s">
        <v>41</v>
      </c>
      <c r="P101" s="1" t="s">
        <v>42</v>
      </c>
      <c r="Q101" s="15">
        <v>0</v>
      </c>
      <c r="R101" s="22">
        <f>Table1[[#This Row],[STAB]]-Table1[[#This Row],[AMOUNT]]</f>
        <v>7170</v>
      </c>
      <c r="S101" s="1">
        <v>0</v>
      </c>
      <c r="T101" s="1" t="s">
        <v>79</v>
      </c>
      <c r="U101" s="1">
        <v>0</v>
      </c>
      <c r="V101" s="1" t="s">
        <v>267</v>
      </c>
      <c r="W101" s="1" t="s">
        <v>265</v>
      </c>
      <c r="X101" s="1" t="s">
        <v>269</v>
      </c>
      <c r="Y101" s="21" t="s">
        <v>2110</v>
      </c>
      <c r="Z101" s="21" t="s">
        <v>1027</v>
      </c>
      <c r="AA101" s="21" t="s">
        <v>1072</v>
      </c>
      <c r="AB101" s="21" t="s">
        <v>104</v>
      </c>
      <c r="AC101" s="21" t="s">
        <v>91</v>
      </c>
      <c r="AD101" s="21" t="s">
        <v>113</v>
      </c>
      <c r="AE101" s="21" t="s">
        <v>1170</v>
      </c>
      <c r="AF101" s="21" t="s">
        <v>133</v>
      </c>
      <c r="AG101" s="21">
        <v>802913252</v>
      </c>
      <c r="AH101" s="21" t="s">
        <v>130</v>
      </c>
      <c r="AI101" s="21" t="s">
        <v>492</v>
      </c>
      <c r="AJ101" s="21"/>
      <c r="AK101" s="28" t="s">
        <v>447</v>
      </c>
      <c r="AL101" s="21" t="s">
        <v>458</v>
      </c>
      <c r="AM101" s="21" t="s">
        <v>1928</v>
      </c>
      <c r="AN101" s="21" t="s">
        <v>1927</v>
      </c>
      <c r="AO101" s="23">
        <v>46221</v>
      </c>
      <c r="AP101" s="21">
        <v>33911</v>
      </c>
      <c r="AQ101" s="21" t="s">
        <v>1124</v>
      </c>
      <c r="AR101" s="21" t="s">
        <v>88</v>
      </c>
      <c r="AS101" s="21" t="s">
        <v>871</v>
      </c>
      <c r="AT101" s="24"/>
    </row>
    <row r="102" spans="1:46" x14ac:dyDescent="0.25">
      <c r="A102" s="20" t="s">
        <v>889</v>
      </c>
      <c r="B102" s="21" t="s">
        <v>935</v>
      </c>
      <c r="C102" s="1" t="s">
        <v>83</v>
      </c>
      <c r="D102" s="21">
        <v>18</v>
      </c>
      <c r="E102" s="21" t="s">
        <v>981</v>
      </c>
      <c r="F102" s="21" t="s">
        <v>77</v>
      </c>
      <c r="G102" s="22">
        <f>Table1[[#This Row],[ENR]]-Table1[[#This Row],[CREDIT]]</f>
        <v>-13878.809999999998</v>
      </c>
      <c r="H102" s="21">
        <v>220000</v>
      </c>
      <c r="I102" s="35">
        <v>206121.19</v>
      </c>
      <c r="J102" s="22" t="s">
        <v>78</v>
      </c>
      <c r="K102" s="22">
        <v>206121.19</v>
      </c>
      <c r="L102" s="22">
        <v>195831.98</v>
      </c>
      <c r="M102" s="21">
        <v>34440</v>
      </c>
      <c r="N102" s="22">
        <v>22530</v>
      </c>
      <c r="O102" s="1" t="s">
        <v>41</v>
      </c>
      <c r="P102" s="1" t="s">
        <v>42</v>
      </c>
      <c r="Q102" s="15">
        <v>0</v>
      </c>
      <c r="R102" s="22">
        <f>Table1[[#This Row],[STAB]]-Table1[[#This Row],[AMOUNT]]</f>
        <v>22530</v>
      </c>
      <c r="S102" s="1">
        <v>0</v>
      </c>
      <c r="T102" s="1" t="s">
        <v>79</v>
      </c>
      <c r="U102" s="1">
        <v>0</v>
      </c>
      <c r="V102" s="1" t="s">
        <v>267</v>
      </c>
      <c r="W102" s="1" t="s">
        <v>266</v>
      </c>
      <c r="X102" s="1" t="s">
        <v>268</v>
      </c>
      <c r="Y102" s="21" t="s">
        <v>2111</v>
      </c>
      <c r="Z102" s="21" t="s">
        <v>1028</v>
      </c>
      <c r="AA102" s="21" t="s">
        <v>1073</v>
      </c>
      <c r="AB102" s="21" t="s">
        <v>72</v>
      </c>
      <c r="AC102" s="21" t="s">
        <v>91</v>
      </c>
      <c r="AD102" s="21" t="s">
        <v>113</v>
      </c>
      <c r="AE102" s="21" t="s">
        <v>1170</v>
      </c>
      <c r="AF102" s="21" t="s">
        <v>133</v>
      </c>
      <c r="AG102" s="21">
        <v>802913252</v>
      </c>
      <c r="AH102" s="21" t="s">
        <v>130</v>
      </c>
      <c r="AI102" s="21" t="s">
        <v>492</v>
      </c>
      <c r="AJ102" s="21"/>
      <c r="AK102" s="28" t="s">
        <v>447</v>
      </c>
      <c r="AL102" s="21" t="s">
        <v>458</v>
      </c>
      <c r="AM102" s="21" t="s">
        <v>1926</v>
      </c>
      <c r="AN102" s="21" t="s">
        <v>1927</v>
      </c>
      <c r="AO102" s="23">
        <v>45632</v>
      </c>
      <c r="AP102" s="21">
        <v>100000</v>
      </c>
      <c r="AQ102" s="21" t="s">
        <v>1125</v>
      </c>
      <c r="AR102" s="21" t="s">
        <v>81</v>
      </c>
      <c r="AS102" s="21" t="s">
        <v>871</v>
      </c>
      <c r="AT102" s="24"/>
    </row>
    <row r="103" spans="1:46" x14ac:dyDescent="0.25">
      <c r="A103" s="20" t="s">
        <v>890</v>
      </c>
      <c r="B103" s="21" t="s">
        <v>936</v>
      </c>
      <c r="C103" s="1" t="s">
        <v>47</v>
      </c>
      <c r="D103" s="21">
        <v>18</v>
      </c>
      <c r="E103" s="21" t="s">
        <v>982</v>
      </c>
      <c r="F103" s="21" t="s">
        <v>77</v>
      </c>
      <c r="G103" s="22">
        <f>Table1[[#This Row],[ENR]]-Table1[[#This Row],[CREDIT]]</f>
        <v>15363.559999999998</v>
      </c>
      <c r="H103" s="21">
        <v>180000</v>
      </c>
      <c r="I103" s="35">
        <v>195363.56</v>
      </c>
      <c r="J103" s="22" t="s">
        <v>78</v>
      </c>
      <c r="K103" s="22">
        <v>195363.56</v>
      </c>
      <c r="L103" s="22">
        <v>176109.07</v>
      </c>
      <c r="M103" s="21">
        <v>44560</v>
      </c>
      <c r="N103" s="22">
        <v>17560</v>
      </c>
      <c r="O103" s="1" t="s">
        <v>41</v>
      </c>
      <c r="P103" s="1" t="s">
        <v>42</v>
      </c>
      <c r="Q103" s="15">
        <v>7600</v>
      </c>
      <c r="R103" s="22">
        <f>Table1[[#This Row],[STAB]]-Table1[[#This Row],[AMOUNT]]</f>
        <v>9960</v>
      </c>
      <c r="S103" s="1" t="s">
        <v>2093</v>
      </c>
      <c r="T103" s="1" t="s">
        <v>673</v>
      </c>
      <c r="U103" s="1">
        <v>0</v>
      </c>
      <c r="V103" s="1" t="s">
        <v>267</v>
      </c>
      <c r="W103" s="1" t="s">
        <v>265</v>
      </c>
      <c r="X103" s="1" t="s">
        <v>269</v>
      </c>
      <c r="Y103" s="21" t="s">
        <v>2110</v>
      </c>
      <c r="Z103" s="21" t="s">
        <v>1029</v>
      </c>
      <c r="AA103" s="21" t="s">
        <v>1074</v>
      </c>
      <c r="AB103" s="21" t="s">
        <v>104</v>
      </c>
      <c r="AC103" s="21" t="s">
        <v>252</v>
      </c>
      <c r="AD103" s="21" t="s">
        <v>2079</v>
      </c>
      <c r="AE103" s="21" t="s">
        <v>273</v>
      </c>
      <c r="AF103" s="21" t="s">
        <v>135</v>
      </c>
      <c r="AG103" s="21">
        <v>802823175</v>
      </c>
      <c r="AH103" s="21" t="s">
        <v>132</v>
      </c>
      <c r="AI103" s="21" t="s">
        <v>492</v>
      </c>
      <c r="AJ103" s="21"/>
      <c r="AK103" s="28" t="s">
        <v>447</v>
      </c>
      <c r="AL103" s="21" t="s">
        <v>458</v>
      </c>
      <c r="AM103" s="21" t="s">
        <v>2096</v>
      </c>
      <c r="AN103" s="21" t="s">
        <v>2093</v>
      </c>
      <c r="AO103" s="23">
        <v>45462</v>
      </c>
      <c r="AP103" s="21">
        <v>5021.1000000000004</v>
      </c>
      <c r="AQ103" s="21" t="s">
        <v>1126</v>
      </c>
      <c r="AR103" s="21" t="s">
        <v>88</v>
      </c>
      <c r="AS103" s="21" t="s">
        <v>871</v>
      </c>
      <c r="AT103" s="24"/>
    </row>
    <row r="104" spans="1:46" x14ac:dyDescent="0.25">
      <c r="A104" s="20" t="s">
        <v>891</v>
      </c>
      <c r="B104" s="21" t="s">
        <v>937</v>
      </c>
      <c r="C104" s="1" t="s">
        <v>47</v>
      </c>
      <c r="D104" s="21">
        <v>18</v>
      </c>
      <c r="E104" s="21" t="s">
        <v>983</v>
      </c>
      <c r="F104" s="21" t="s">
        <v>77</v>
      </c>
      <c r="G104" s="22">
        <f>Table1[[#This Row],[ENR]]-Table1[[#This Row],[CREDIT]]</f>
        <v>-14328.5</v>
      </c>
      <c r="H104" s="21">
        <v>240000</v>
      </c>
      <c r="I104" s="35">
        <v>225671.5</v>
      </c>
      <c r="J104" s="22" t="s">
        <v>78</v>
      </c>
      <c r="K104" s="22">
        <v>225671.5</v>
      </c>
      <c r="L104" s="22">
        <v>219915.51</v>
      </c>
      <c r="M104" s="21">
        <v>13340</v>
      </c>
      <c r="N104" s="22">
        <v>780</v>
      </c>
      <c r="O104" s="1" t="s">
        <v>41</v>
      </c>
      <c r="P104" s="1" t="s">
        <v>42</v>
      </c>
      <c r="Q104" s="15">
        <v>0</v>
      </c>
      <c r="R104" s="22">
        <f>Table1[[#This Row],[STAB]]-Table1[[#This Row],[AMOUNT]]</f>
        <v>780</v>
      </c>
      <c r="S104" s="1">
        <v>0</v>
      </c>
      <c r="T104" s="1" t="s">
        <v>79</v>
      </c>
      <c r="U104" s="1">
        <v>0</v>
      </c>
      <c r="V104" s="1" t="s">
        <v>267</v>
      </c>
      <c r="W104" s="1" t="s">
        <v>645</v>
      </c>
      <c r="X104" s="1" t="s">
        <v>646</v>
      </c>
      <c r="Y104" s="21" t="s">
        <v>2110</v>
      </c>
      <c r="Z104" s="21" t="s">
        <v>1030</v>
      </c>
      <c r="AA104" s="21" t="s">
        <v>1075</v>
      </c>
      <c r="AB104" s="21" t="s">
        <v>104</v>
      </c>
      <c r="AC104" s="21" t="s">
        <v>258</v>
      </c>
      <c r="AD104" s="21" t="s">
        <v>461</v>
      </c>
      <c r="AE104" s="21" t="s">
        <v>1168</v>
      </c>
      <c r="AF104" s="21" t="s">
        <v>133</v>
      </c>
      <c r="AG104" s="21">
        <v>802913252</v>
      </c>
      <c r="AH104" s="21" t="s">
        <v>130</v>
      </c>
      <c r="AI104" s="21" t="s">
        <v>492</v>
      </c>
      <c r="AJ104" s="21"/>
      <c r="AK104" s="28" t="s">
        <v>43</v>
      </c>
      <c r="AL104" s="21"/>
      <c r="AM104" s="21"/>
      <c r="AN104" s="21"/>
      <c r="AO104" s="23">
        <v>46183</v>
      </c>
      <c r="AP104" s="21">
        <v>30000</v>
      </c>
      <c r="AQ104" s="21" t="s">
        <v>1127</v>
      </c>
      <c r="AR104" s="21" t="s">
        <v>88</v>
      </c>
      <c r="AS104" s="21" t="s">
        <v>871</v>
      </c>
      <c r="AT104" s="24"/>
    </row>
    <row r="105" spans="1:46" x14ac:dyDescent="0.25">
      <c r="A105" s="20" t="s">
        <v>892</v>
      </c>
      <c r="B105" s="21" t="s">
        <v>938</v>
      </c>
      <c r="C105" s="1" t="s">
        <v>83</v>
      </c>
      <c r="D105" s="21">
        <v>18</v>
      </c>
      <c r="E105" s="21" t="s">
        <v>984</v>
      </c>
      <c r="F105" s="21" t="s">
        <v>77</v>
      </c>
      <c r="G105" s="22">
        <f>Table1[[#This Row],[ENR]]-Table1[[#This Row],[CREDIT]]</f>
        <v>4172.1000000000058</v>
      </c>
      <c r="H105" s="21">
        <v>175000</v>
      </c>
      <c r="I105" s="35">
        <v>179172.1</v>
      </c>
      <c r="J105" s="22" t="s">
        <v>78</v>
      </c>
      <c r="K105" s="22">
        <v>179172.1</v>
      </c>
      <c r="L105" s="22">
        <v>170161.73</v>
      </c>
      <c r="M105" s="21">
        <v>31220</v>
      </c>
      <c r="N105" s="22">
        <v>16580</v>
      </c>
      <c r="O105" s="1" t="s">
        <v>41</v>
      </c>
      <c r="P105" s="1" t="s">
        <v>42</v>
      </c>
      <c r="Q105" s="15">
        <v>0</v>
      </c>
      <c r="R105" s="22">
        <f>Table1[[#This Row],[STAB]]-Table1[[#This Row],[AMOUNT]]</f>
        <v>16580</v>
      </c>
      <c r="S105" s="1">
        <v>0</v>
      </c>
      <c r="T105" s="1" t="s">
        <v>79</v>
      </c>
      <c r="U105" s="1">
        <v>0</v>
      </c>
      <c r="V105" s="1" t="s">
        <v>267</v>
      </c>
      <c r="W105" s="1" t="s">
        <v>265</v>
      </c>
      <c r="X105" s="1" t="s">
        <v>269</v>
      </c>
      <c r="Y105" s="21" t="s">
        <v>2110</v>
      </c>
      <c r="Z105" s="21" t="s">
        <v>1031</v>
      </c>
      <c r="AA105" s="21" t="s">
        <v>1076</v>
      </c>
      <c r="AB105" s="21" t="s">
        <v>248</v>
      </c>
      <c r="AC105" s="21" t="s">
        <v>91</v>
      </c>
      <c r="AD105" s="21" t="s">
        <v>122</v>
      </c>
      <c r="AE105" s="21" t="s">
        <v>667</v>
      </c>
      <c r="AF105" s="21" t="s">
        <v>666</v>
      </c>
      <c r="AG105" s="21">
        <v>802663344</v>
      </c>
      <c r="AH105" s="21" t="s">
        <v>132</v>
      </c>
      <c r="AI105" s="21" t="s">
        <v>492</v>
      </c>
      <c r="AJ105" s="21"/>
      <c r="AK105" s="28" t="s">
        <v>43</v>
      </c>
      <c r="AL105" s="21"/>
      <c r="AM105" s="21"/>
      <c r="AN105" s="21"/>
      <c r="AO105" s="23">
        <v>45429</v>
      </c>
      <c r="AP105" s="21">
        <v>2850</v>
      </c>
      <c r="AQ105" s="21" t="s">
        <v>1128</v>
      </c>
      <c r="AR105" s="21" t="s">
        <v>644</v>
      </c>
      <c r="AS105" s="21" t="s">
        <v>871</v>
      </c>
      <c r="AT105" s="24"/>
    </row>
    <row r="106" spans="1:46" x14ac:dyDescent="0.25">
      <c r="A106" s="20" t="s">
        <v>893</v>
      </c>
      <c r="B106" s="21" t="s">
        <v>939</v>
      </c>
      <c r="C106" s="1" t="s">
        <v>47</v>
      </c>
      <c r="D106" s="21">
        <v>18</v>
      </c>
      <c r="E106" s="21" t="s">
        <v>985</v>
      </c>
      <c r="F106" s="21" t="s">
        <v>77</v>
      </c>
      <c r="G106" s="22">
        <f>Table1[[#This Row],[ENR]]-Table1[[#This Row],[CREDIT]]</f>
        <v>-73636.28</v>
      </c>
      <c r="H106" s="21">
        <v>290000</v>
      </c>
      <c r="I106" s="35">
        <v>216363.72</v>
      </c>
      <c r="J106" s="22">
        <v>150552.32999999999</v>
      </c>
      <c r="K106" s="22">
        <v>65811.39</v>
      </c>
      <c r="L106" s="22">
        <v>58753.79</v>
      </c>
      <c r="M106" s="21">
        <v>17470</v>
      </c>
      <c r="N106" s="22">
        <v>580</v>
      </c>
      <c r="O106" s="1" t="s">
        <v>41</v>
      </c>
      <c r="P106" s="1" t="s">
        <v>42</v>
      </c>
      <c r="Q106" s="15">
        <v>0</v>
      </c>
      <c r="R106" s="22">
        <f>Table1[[#This Row],[STAB]]-Table1[[#This Row],[AMOUNT]]</f>
        <v>580</v>
      </c>
      <c r="S106" s="1">
        <v>0</v>
      </c>
      <c r="T106" s="1" t="s">
        <v>79</v>
      </c>
      <c r="U106" s="1">
        <v>0</v>
      </c>
      <c r="V106" s="1" t="s">
        <v>267</v>
      </c>
      <c r="W106" s="1" t="s">
        <v>645</v>
      </c>
      <c r="X106" s="1" t="s">
        <v>646</v>
      </c>
      <c r="Y106" s="21" t="s">
        <v>2111</v>
      </c>
      <c r="Z106" s="21" t="s">
        <v>1032</v>
      </c>
      <c r="AA106" s="21" t="s">
        <v>1077</v>
      </c>
      <c r="AB106" s="21" t="s">
        <v>1105</v>
      </c>
      <c r="AC106" s="21" t="s">
        <v>92</v>
      </c>
      <c r="AD106" s="21" t="s">
        <v>1158</v>
      </c>
      <c r="AE106" s="21" t="s">
        <v>1167</v>
      </c>
      <c r="AF106" s="21" t="s">
        <v>491</v>
      </c>
      <c r="AG106" s="21">
        <v>802663436</v>
      </c>
      <c r="AH106" s="21" t="s">
        <v>132</v>
      </c>
      <c r="AI106" s="21" t="s">
        <v>492</v>
      </c>
      <c r="AJ106" s="21"/>
      <c r="AK106" s="28" t="s">
        <v>43</v>
      </c>
      <c r="AL106" s="21"/>
      <c r="AM106" s="21"/>
      <c r="AN106" s="21"/>
      <c r="AO106" s="23">
        <v>46274</v>
      </c>
      <c r="AP106" s="21">
        <v>32000</v>
      </c>
      <c r="AQ106" s="21" t="s">
        <v>1129</v>
      </c>
      <c r="AR106" s="21" t="s">
        <v>88</v>
      </c>
      <c r="AS106" s="21" t="s">
        <v>871</v>
      </c>
      <c r="AT106" s="24"/>
    </row>
    <row r="107" spans="1:46" x14ac:dyDescent="0.25">
      <c r="A107" s="20" t="s">
        <v>894</v>
      </c>
      <c r="B107" s="21" t="s">
        <v>940</v>
      </c>
      <c r="C107" s="1" t="s">
        <v>83</v>
      </c>
      <c r="D107" s="21">
        <v>18</v>
      </c>
      <c r="E107" s="21" t="s">
        <v>986</v>
      </c>
      <c r="F107" s="21" t="s">
        <v>77</v>
      </c>
      <c r="G107" s="22">
        <f>Table1[[#This Row],[ENR]]-Table1[[#This Row],[CREDIT]]</f>
        <v>4029.7600000000093</v>
      </c>
      <c r="H107" s="21">
        <v>260000</v>
      </c>
      <c r="I107" s="35">
        <v>264029.76</v>
      </c>
      <c r="J107" s="22" t="s">
        <v>78</v>
      </c>
      <c r="K107" s="22">
        <v>264029.76</v>
      </c>
      <c r="L107" s="22">
        <v>251485.59</v>
      </c>
      <c r="M107" s="21">
        <v>29410</v>
      </c>
      <c r="N107" s="22">
        <v>9812.25</v>
      </c>
      <c r="O107" s="1" t="s">
        <v>41</v>
      </c>
      <c r="P107" s="1" t="s">
        <v>42</v>
      </c>
      <c r="Q107" s="15">
        <v>0</v>
      </c>
      <c r="R107" s="22">
        <f>Table1[[#This Row],[STAB]]-Table1[[#This Row],[AMOUNT]]</f>
        <v>9812.25</v>
      </c>
      <c r="S107" s="1">
        <v>0</v>
      </c>
      <c r="T107" s="1" t="s">
        <v>79</v>
      </c>
      <c r="U107" s="1">
        <v>0</v>
      </c>
      <c r="V107" s="1" t="s">
        <v>267</v>
      </c>
      <c r="W107" s="1" t="s">
        <v>645</v>
      </c>
      <c r="X107" s="1" t="s">
        <v>646</v>
      </c>
      <c r="Y107" s="21" t="s">
        <v>2111</v>
      </c>
      <c r="Z107" s="21" t="s">
        <v>1033</v>
      </c>
      <c r="AA107" s="21" t="s">
        <v>1078</v>
      </c>
      <c r="AB107" s="21" t="s">
        <v>628</v>
      </c>
      <c r="AC107" s="21" t="s">
        <v>662</v>
      </c>
      <c r="AD107" s="21" t="s">
        <v>626</v>
      </c>
      <c r="AE107" s="21"/>
      <c r="AF107" s="21" t="s">
        <v>151</v>
      </c>
      <c r="AG107" s="21">
        <v>801723195</v>
      </c>
      <c r="AH107" s="21" t="s">
        <v>132</v>
      </c>
      <c r="AI107" s="21" t="s">
        <v>492</v>
      </c>
      <c r="AJ107" s="21"/>
      <c r="AK107" s="28" t="s">
        <v>43</v>
      </c>
      <c r="AL107" s="21"/>
      <c r="AM107" s="21"/>
      <c r="AN107" s="21"/>
      <c r="AO107" s="23">
        <v>45540</v>
      </c>
      <c r="AP107" s="21">
        <v>3800</v>
      </c>
      <c r="AQ107" s="21" t="s">
        <v>1130</v>
      </c>
      <c r="AR107" s="21" t="s">
        <v>88</v>
      </c>
      <c r="AS107" s="21" t="s">
        <v>871</v>
      </c>
      <c r="AT107" s="24"/>
    </row>
    <row r="108" spans="1:46" x14ac:dyDescent="0.25">
      <c r="A108" s="20" t="s">
        <v>895</v>
      </c>
      <c r="B108" s="21" t="s">
        <v>941</v>
      </c>
      <c r="C108" s="1" t="s">
        <v>47</v>
      </c>
      <c r="D108" s="21">
        <v>18</v>
      </c>
      <c r="E108" s="21" t="s">
        <v>987</v>
      </c>
      <c r="F108" s="21" t="s">
        <v>77</v>
      </c>
      <c r="G108" s="22">
        <f>Table1[[#This Row],[ENR]]-Table1[[#This Row],[CREDIT]]</f>
        <v>10293.070000000007</v>
      </c>
      <c r="H108" s="21">
        <v>230000</v>
      </c>
      <c r="I108" s="35">
        <v>240293.07</v>
      </c>
      <c r="J108" s="22">
        <v>90113.32</v>
      </c>
      <c r="K108" s="22">
        <v>150179.75</v>
      </c>
      <c r="L108" s="22">
        <v>139183.82999999999</v>
      </c>
      <c r="M108" s="21">
        <v>44280</v>
      </c>
      <c r="N108" s="22">
        <v>19870</v>
      </c>
      <c r="O108" s="1" t="s">
        <v>41</v>
      </c>
      <c r="P108" s="1" t="s">
        <v>42</v>
      </c>
      <c r="Q108" s="15">
        <v>0</v>
      </c>
      <c r="R108" s="22">
        <f>Table1[[#This Row],[STAB]]-Table1[[#This Row],[AMOUNT]]</f>
        <v>19870</v>
      </c>
      <c r="S108" s="1">
        <v>0</v>
      </c>
      <c r="T108" s="1" t="s">
        <v>79</v>
      </c>
      <c r="U108" s="1">
        <v>0</v>
      </c>
      <c r="V108" s="1" t="s">
        <v>267</v>
      </c>
      <c r="W108" s="1" t="s">
        <v>645</v>
      </c>
      <c r="X108" s="1" t="s">
        <v>646</v>
      </c>
      <c r="Y108" s="21" t="s">
        <v>2111</v>
      </c>
      <c r="Z108" s="21" t="s">
        <v>1034</v>
      </c>
      <c r="AA108" s="21" t="s">
        <v>1079</v>
      </c>
      <c r="AB108" s="21" t="s">
        <v>433</v>
      </c>
      <c r="AC108" s="21" t="s">
        <v>443</v>
      </c>
      <c r="AD108" s="21" t="s">
        <v>75</v>
      </c>
      <c r="AE108" s="21" t="s">
        <v>441</v>
      </c>
      <c r="AF108" s="21" t="s">
        <v>442</v>
      </c>
      <c r="AG108" s="21">
        <v>802789320</v>
      </c>
      <c r="AH108" s="21" t="s">
        <v>130</v>
      </c>
      <c r="AI108" s="21" t="s">
        <v>492</v>
      </c>
      <c r="AJ108" s="21"/>
      <c r="AK108" s="28" t="s">
        <v>43</v>
      </c>
      <c r="AL108" s="21"/>
      <c r="AM108" s="21"/>
      <c r="AN108" s="21"/>
      <c r="AO108" s="23">
        <v>46293</v>
      </c>
      <c r="AP108" s="21">
        <v>62800</v>
      </c>
      <c r="AQ108" s="21" t="s">
        <v>1131</v>
      </c>
      <c r="AR108" s="21" t="s">
        <v>88</v>
      </c>
      <c r="AS108" s="21" t="s">
        <v>871</v>
      </c>
      <c r="AT108" s="24"/>
    </row>
    <row r="109" spans="1:46" x14ac:dyDescent="0.25">
      <c r="A109" s="20" t="s">
        <v>896</v>
      </c>
      <c r="B109" s="21" t="s">
        <v>942</v>
      </c>
      <c r="C109" s="1" t="s">
        <v>47</v>
      </c>
      <c r="D109" s="21">
        <v>18</v>
      </c>
      <c r="E109" s="21" t="s">
        <v>988</v>
      </c>
      <c r="F109" s="21" t="s">
        <v>77</v>
      </c>
      <c r="G109" s="22">
        <f>Table1[[#This Row],[ENR]]-Table1[[#This Row],[CREDIT]]</f>
        <v>-4308.6300000000047</v>
      </c>
      <c r="H109" s="21">
        <v>300000</v>
      </c>
      <c r="I109" s="35">
        <v>295691.37</v>
      </c>
      <c r="J109" s="22" t="s">
        <v>78</v>
      </c>
      <c r="K109" s="22">
        <v>295691.37</v>
      </c>
      <c r="L109" s="22">
        <v>272739</v>
      </c>
      <c r="M109" s="21">
        <v>49550</v>
      </c>
      <c r="N109" s="22">
        <v>13640</v>
      </c>
      <c r="O109" s="1" t="s">
        <v>41</v>
      </c>
      <c r="P109" s="1" t="s">
        <v>42</v>
      </c>
      <c r="Q109" s="15">
        <v>0</v>
      </c>
      <c r="R109" s="22">
        <f>Table1[[#This Row],[STAB]]-Table1[[#This Row],[AMOUNT]]</f>
        <v>13640</v>
      </c>
      <c r="S109" s="1">
        <v>0</v>
      </c>
      <c r="T109" s="1" t="s">
        <v>79</v>
      </c>
      <c r="U109" s="1">
        <v>0</v>
      </c>
      <c r="V109" s="1" t="s">
        <v>267</v>
      </c>
      <c r="W109" s="1" t="s">
        <v>265</v>
      </c>
      <c r="X109" s="1" t="s">
        <v>269</v>
      </c>
      <c r="Y109" s="21" t="s">
        <v>2111</v>
      </c>
      <c r="Z109" s="21" t="s">
        <v>1035</v>
      </c>
      <c r="AA109" s="21" t="s">
        <v>1080</v>
      </c>
      <c r="AB109" s="21" t="s">
        <v>1107</v>
      </c>
      <c r="AC109" s="21" t="s">
        <v>252</v>
      </c>
      <c r="AD109" s="21" t="s">
        <v>250</v>
      </c>
      <c r="AE109" s="21" t="s">
        <v>251</v>
      </c>
      <c r="AF109" s="21" t="s">
        <v>135</v>
      </c>
      <c r="AG109" s="21">
        <v>802823175</v>
      </c>
      <c r="AH109" s="21" t="s">
        <v>132</v>
      </c>
      <c r="AI109" s="21" t="s">
        <v>492</v>
      </c>
      <c r="AJ109" s="21"/>
      <c r="AK109" s="28" t="s">
        <v>447</v>
      </c>
      <c r="AL109" s="21" t="s">
        <v>458</v>
      </c>
      <c r="AM109" s="21" t="s">
        <v>1951</v>
      </c>
      <c r="AN109" s="21" t="s">
        <v>1949</v>
      </c>
      <c r="AO109" s="23">
        <v>45626</v>
      </c>
      <c r="AP109" s="21">
        <v>180000</v>
      </c>
      <c r="AQ109" s="21" t="s">
        <v>1132</v>
      </c>
      <c r="AR109" s="21" t="s">
        <v>88</v>
      </c>
      <c r="AS109" s="21" t="s">
        <v>871</v>
      </c>
      <c r="AT109" s="24"/>
    </row>
    <row r="110" spans="1:46" x14ac:dyDescent="0.25">
      <c r="A110" s="20" t="s">
        <v>897</v>
      </c>
      <c r="B110" s="21" t="s">
        <v>943</v>
      </c>
      <c r="C110" s="1" t="s">
        <v>47</v>
      </c>
      <c r="D110" s="21">
        <v>18</v>
      </c>
      <c r="E110" s="21" t="s">
        <v>989</v>
      </c>
      <c r="F110" s="21" t="s">
        <v>77</v>
      </c>
      <c r="G110" s="22">
        <f>Table1[[#This Row],[ENR]]-Table1[[#This Row],[CREDIT]]</f>
        <v>-137548.13</v>
      </c>
      <c r="H110" s="21">
        <v>300000</v>
      </c>
      <c r="I110" s="35">
        <v>162451.87</v>
      </c>
      <c r="J110" s="22">
        <v>29217.34</v>
      </c>
      <c r="K110" s="22">
        <v>133234.53</v>
      </c>
      <c r="L110" s="22">
        <v>120556.33</v>
      </c>
      <c r="M110" s="21">
        <v>27460</v>
      </c>
      <c r="N110" s="22">
        <v>12700</v>
      </c>
      <c r="O110" s="1" t="s">
        <v>41</v>
      </c>
      <c r="P110" s="1" t="s">
        <v>42</v>
      </c>
      <c r="Q110" s="15">
        <v>0</v>
      </c>
      <c r="R110" s="22">
        <f>Table1[[#This Row],[STAB]]-Table1[[#This Row],[AMOUNT]]</f>
        <v>12700</v>
      </c>
      <c r="S110" s="1">
        <v>0</v>
      </c>
      <c r="T110" s="1" t="s">
        <v>79</v>
      </c>
      <c r="U110" s="1">
        <v>0</v>
      </c>
      <c r="V110" s="1" t="s">
        <v>267</v>
      </c>
      <c r="W110" s="1" t="s">
        <v>107</v>
      </c>
      <c r="X110" s="1" t="s">
        <v>200</v>
      </c>
      <c r="Y110" s="21" t="s">
        <v>2111</v>
      </c>
      <c r="Z110" s="21" t="s">
        <v>1036</v>
      </c>
      <c r="AA110" s="21" t="s">
        <v>1081</v>
      </c>
      <c r="AB110" s="21" t="s">
        <v>224</v>
      </c>
      <c r="AC110" s="21" t="s">
        <v>93</v>
      </c>
      <c r="AD110" s="21" t="s">
        <v>459</v>
      </c>
      <c r="AE110" s="21" t="s">
        <v>226</v>
      </c>
      <c r="AF110" s="21" t="s">
        <v>225</v>
      </c>
      <c r="AG110" s="21">
        <v>802388289</v>
      </c>
      <c r="AH110" s="21" t="s">
        <v>130</v>
      </c>
      <c r="AI110" s="21" t="s">
        <v>492</v>
      </c>
      <c r="AJ110" s="21"/>
      <c r="AK110" s="28" t="s">
        <v>447</v>
      </c>
      <c r="AL110" s="21" t="s">
        <v>458</v>
      </c>
      <c r="AM110" s="21" t="s">
        <v>2123</v>
      </c>
      <c r="AN110" s="21" t="s">
        <v>2115</v>
      </c>
      <c r="AO110" s="23">
        <v>45477</v>
      </c>
      <c r="AP110" s="21">
        <v>17998</v>
      </c>
      <c r="AQ110" s="21" t="s">
        <v>1133</v>
      </c>
      <c r="AR110" s="21" t="s">
        <v>88</v>
      </c>
      <c r="AS110" s="21" t="s">
        <v>871</v>
      </c>
      <c r="AT110" s="24"/>
    </row>
    <row r="111" spans="1:46" x14ac:dyDescent="0.25">
      <c r="A111" s="20" t="s">
        <v>898</v>
      </c>
      <c r="B111" s="21" t="s">
        <v>944</v>
      </c>
      <c r="C111" s="1" t="s">
        <v>47</v>
      </c>
      <c r="D111" s="21">
        <v>18</v>
      </c>
      <c r="E111" s="21" t="s">
        <v>990</v>
      </c>
      <c r="F111" s="21" t="s">
        <v>77</v>
      </c>
      <c r="G111" s="22">
        <f>Table1[[#This Row],[ENR]]-Table1[[#This Row],[CREDIT]]</f>
        <v>7373.109999999986</v>
      </c>
      <c r="H111" s="21">
        <v>181000</v>
      </c>
      <c r="I111" s="35">
        <v>188373.11</v>
      </c>
      <c r="J111" s="22" t="s">
        <v>78</v>
      </c>
      <c r="K111" s="22">
        <v>188373.11</v>
      </c>
      <c r="L111" s="22">
        <v>170040.2</v>
      </c>
      <c r="M111" s="21">
        <v>38590</v>
      </c>
      <c r="N111" s="22">
        <v>14390</v>
      </c>
      <c r="O111" s="1" t="s">
        <v>41</v>
      </c>
      <c r="P111" s="1" t="s">
        <v>42</v>
      </c>
      <c r="Q111" s="15">
        <v>0</v>
      </c>
      <c r="R111" s="22">
        <f>Table1[[#This Row],[STAB]]-Table1[[#This Row],[AMOUNT]]</f>
        <v>14390</v>
      </c>
      <c r="S111" s="1">
        <v>0</v>
      </c>
      <c r="T111" s="1" t="s">
        <v>79</v>
      </c>
      <c r="U111" s="1">
        <v>0</v>
      </c>
      <c r="V111" s="1" t="s">
        <v>267</v>
      </c>
      <c r="W111" s="1" t="s">
        <v>265</v>
      </c>
      <c r="X111" s="1" t="s">
        <v>269</v>
      </c>
      <c r="Y111" s="21" t="s">
        <v>2111</v>
      </c>
      <c r="Z111" s="21" t="s">
        <v>1037</v>
      </c>
      <c r="AA111" s="21" t="s">
        <v>1082</v>
      </c>
      <c r="AB111" s="21" t="s">
        <v>1107</v>
      </c>
      <c r="AC111" s="21" t="s">
        <v>252</v>
      </c>
      <c r="AD111" s="21" t="s">
        <v>121</v>
      </c>
      <c r="AE111" s="21" t="s">
        <v>1171</v>
      </c>
      <c r="AF111" s="21" t="s">
        <v>135</v>
      </c>
      <c r="AG111" s="21">
        <v>802823175</v>
      </c>
      <c r="AH111" s="21" t="s">
        <v>132</v>
      </c>
      <c r="AI111" s="21" t="s">
        <v>492</v>
      </c>
      <c r="AJ111" s="21"/>
      <c r="AK111" s="28" t="s">
        <v>43</v>
      </c>
      <c r="AL111" s="21"/>
      <c r="AM111" s="21"/>
      <c r="AN111" s="21"/>
      <c r="AO111" s="23" t="s">
        <v>78</v>
      </c>
      <c r="AP111" s="21">
        <v>0</v>
      </c>
      <c r="AQ111" s="21" t="s">
        <v>1134</v>
      </c>
      <c r="AR111" s="21" t="s">
        <v>88</v>
      </c>
      <c r="AS111" s="21" t="s">
        <v>871</v>
      </c>
      <c r="AT111" s="24"/>
    </row>
    <row r="112" spans="1:46" x14ac:dyDescent="0.25">
      <c r="A112" s="20" t="s">
        <v>899</v>
      </c>
      <c r="B112" s="21" t="s">
        <v>945</v>
      </c>
      <c r="C112" s="1" t="s">
        <v>47</v>
      </c>
      <c r="D112" s="21">
        <v>18</v>
      </c>
      <c r="E112" s="21" t="s">
        <v>991</v>
      </c>
      <c r="F112" s="21" t="s">
        <v>77</v>
      </c>
      <c r="G112" s="22">
        <f>Table1[[#This Row],[ENR]]-Table1[[#This Row],[CREDIT]]</f>
        <v>11819.100000000006</v>
      </c>
      <c r="H112" s="21">
        <v>110000</v>
      </c>
      <c r="I112" s="35">
        <v>121819.1</v>
      </c>
      <c r="J112" s="22" t="s">
        <v>78</v>
      </c>
      <c r="K112" s="22">
        <v>121819.1</v>
      </c>
      <c r="L112" s="22">
        <v>109527.8</v>
      </c>
      <c r="M112" s="21">
        <v>34080</v>
      </c>
      <c r="N112" s="22">
        <v>11010</v>
      </c>
      <c r="O112" s="1" t="s">
        <v>41</v>
      </c>
      <c r="P112" s="1" t="s">
        <v>42</v>
      </c>
      <c r="Q112" s="15">
        <v>0</v>
      </c>
      <c r="R112" s="22">
        <f>Table1[[#This Row],[STAB]]-Table1[[#This Row],[AMOUNT]]</f>
        <v>11010</v>
      </c>
      <c r="S112" s="1">
        <v>0</v>
      </c>
      <c r="T112" s="1" t="s">
        <v>79</v>
      </c>
      <c r="U112" s="1">
        <v>0</v>
      </c>
      <c r="V112" s="1" t="s">
        <v>267</v>
      </c>
      <c r="W112" s="1" t="s">
        <v>265</v>
      </c>
      <c r="X112" s="1" t="s">
        <v>269</v>
      </c>
      <c r="Y112" s="21" t="s">
        <v>2111</v>
      </c>
      <c r="Z112" s="21" t="s">
        <v>1038</v>
      </c>
      <c r="AA112" s="21" t="s">
        <v>1083</v>
      </c>
      <c r="AB112" s="21" t="s">
        <v>70</v>
      </c>
      <c r="AC112" s="21" t="s">
        <v>91</v>
      </c>
      <c r="AD112" s="21" t="s">
        <v>51</v>
      </c>
      <c r="AE112" s="21" t="s">
        <v>189</v>
      </c>
      <c r="AF112" s="21" t="s">
        <v>136</v>
      </c>
      <c r="AG112" s="21">
        <v>801772792</v>
      </c>
      <c r="AH112" s="21" t="s">
        <v>132</v>
      </c>
      <c r="AI112" s="21" t="s">
        <v>492</v>
      </c>
      <c r="AJ112" s="21"/>
      <c r="AK112" s="28" t="s">
        <v>43</v>
      </c>
      <c r="AL112" s="21"/>
      <c r="AM112" s="21"/>
      <c r="AN112" s="21"/>
      <c r="AO112" s="23">
        <v>45630</v>
      </c>
      <c r="AP112" s="21">
        <v>110000</v>
      </c>
      <c r="AQ112" s="21" t="s">
        <v>1135</v>
      </c>
      <c r="AR112" s="21" t="s">
        <v>88</v>
      </c>
      <c r="AS112" s="21" t="s">
        <v>871</v>
      </c>
      <c r="AT112" s="24"/>
    </row>
    <row r="113" spans="1:46" x14ac:dyDescent="0.25">
      <c r="A113" s="20" t="s">
        <v>900</v>
      </c>
      <c r="B113" s="21" t="s">
        <v>946</v>
      </c>
      <c r="C113" s="1" t="s">
        <v>47</v>
      </c>
      <c r="D113" s="21">
        <v>18</v>
      </c>
      <c r="E113" s="21" t="s">
        <v>992</v>
      </c>
      <c r="F113" s="21" t="s">
        <v>77</v>
      </c>
      <c r="G113" s="22">
        <f>Table1[[#This Row],[ENR]]-Table1[[#This Row],[CREDIT]]</f>
        <v>6014.9900000000052</v>
      </c>
      <c r="H113" s="21">
        <v>91000</v>
      </c>
      <c r="I113" s="35">
        <v>97014.99</v>
      </c>
      <c r="J113" s="22">
        <v>54076.31</v>
      </c>
      <c r="K113" s="22">
        <v>42938.68</v>
      </c>
      <c r="L113" s="22">
        <v>33575.56</v>
      </c>
      <c r="M113" s="21">
        <v>29920</v>
      </c>
      <c r="N113" s="22">
        <v>15710</v>
      </c>
      <c r="O113" s="1" t="s">
        <v>41</v>
      </c>
      <c r="P113" s="1" t="s">
        <v>42</v>
      </c>
      <c r="Q113" s="15">
        <v>0</v>
      </c>
      <c r="R113" s="22">
        <f>Table1[[#This Row],[STAB]]-Table1[[#This Row],[AMOUNT]]</f>
        <v>15710</v>
      </c>
      <c r="S113" s="1">
        <v>0</v>
      </c>
      <c r="T113" s="1" t="s">
        <v>79</v>
      </c>
      <c r="U113" s="1">
        <v>0</v>
      </c>
      <c r="V113" s="1" t="s">
        <v>267</v>
      </c>
      <c r="W113" s="1" t="s">
        <v>265</v>
      </c>
      <c r="X113" s="1" t="s">
        <v>269</v>
      </c>
      <c r="Y113" s="21" t="s">
        <v>2111</v>
      </c>
      <c r="Z113" s="21" t="s">
        <v>1039</v>
      </c>
      <c r="AA113" s="21" t="s">
        <v>1084</v>
      </c>
      <c r="AB113" s="21" t="s">
        <v>1107</v>
      </c>
      <c r="AC113" s="21" t="s">
        <v>252</v>
      </c>
      <c r="AD113" s="21" t="s">
        <v>121</v>
      </c>
      <c r="AE113" s="21" t="s">
        <v>1171</v>
      </c>
      <c r="AF113" s="21" t="s">
        <v>135</v>
      </c>
      <c r="AG113" s="21">
        <v>802823175</v>
      </c>
      <c r="AH113" s="21" t="s">
        <v>132</v>
      </c>
      <c r="AI113" s="21" t="s">
        <v>492</v>
      </c>
      <c r="AJ113" s="21"/>
      <c r="AK113" s="28" t="s">
        <v>43</v>
      </c>
      <c r="AL113" s="21"/>
      <c r="AM113" s="21"/>
      <c r="AN113" s="21"/>
      <c r="AO113" s="23">
        <v>45469</v>
      </c>
      <c r="AP113" s="21">
        <v>25820.84</v>
      </c>
      <c r="AQ113" s="21" t="s">
        <v>1136</v>
      </c>
      <c r="AR113" s="21" t="s">
        <v>88</v>
      </c>
      <c r="AS113" s="21" t="s">
        <v>871</v>
      </c>
      <c r="AT113" s="24"/>
    </row>
    <row r="114" spans="1:46" x14ac:dyDescent="0.25">
      <c r="A114" s="20" t="s">
        <v>901</v>
      </c>
      <c r="B114" s="21" t="s">
        <v>947</v>
      </c>
      <c r="C114" s="1" t="s">
        <v>47</v>
      </c>
      <c r="D114" s="21">
        <v>18</v>
      </c>
      <c r="E114" s="21" t="s">
        <v>993</v>
      </c>
      <c r="F114" s="21" t="s">
        <v>77</v>
      </c>
      <c r="G114" s="22">
        <f>Table1[[#This Row],[ENR]]-Table1[[#This Row],[CREDIT]]</f>
        <v>-100946.47</v>
      </c>
      <c r="H114" s="21">
        <v>250000</v>
      </c>
      <c r="I114" s="35">
        <v>149053.53</v>
      </c>
      <c r="J114" s="22">
        <v>127848.19</v>
      </c>
      <c r="K114" s="22">
        <v>21205.34</v>
      </c>
      <c r="L114" s="22">
        <v>17903.650000000001</v>
      </c>
      <c r="M114" s="21">
        <v>16830</v>
      </c>
      <c r="N114" s="22">
        <v>100</v>
      </c>
      <c r="O114" s="1" t="s">
        <v>41</v>
      </c>
      <c r="P114" s="1" t="s">
        <v>42</v>
      </c>
      <c r="Q114" s="15">
        <v>0</v>
      </c>
      <c r="R114" s="22">
        <f>Table1[[#This Row],[STAB]]-Table1[[#This Row],[AMOUNT]]</f>
        <v>100</v>
      </c>
      <c r="S114" s="1">
        <v>0</v>
      </c>
      <c r="T114" s="1" t="s">
        <v>79</v>
      </c>
      <c r="U114" s="1">
        <v>0</v>
      </c>
      <c r="V114" s="1" t="s">
        <v>267</v>
      </c>
      <c r="W114" s="1" t="s">
        <v>645</v>
      </c>
      <c r="X114" s="1" t="s">
        <v>646</v>
      </c>
      <c r="Y114" s="21" t="s">
        <v>2110</v>
      </c>
      <c r="Z114" s="21" t="s">
        <v>1040</v>
      </c>
      <c r="AA114" s="21" t="s">
        <v>1085</v>
      </c>
      <c r="AB114" s="21" t="s">
        <v>104</v>
      </c>
      <c r="AC114" s="21" t="s">
        <v>258</v>
      </c>
      <c r="AD114" s="21" t="s">
        <v>461</v>
      </c>
      <c r="AE114" s="21" t="s">
        <v>1168</v>
      </c>
      <c r="AF114" s="21" t="s">
        <v>133</v>
      </c>
      <c r="AG114" s="21">
        <v>802913252</v>
      </c>
      <c r="AH114" s="21" t="s">
        <v>130</v>
      </c>
      <c r="AI114" s="21" t="s">
        <v>492</v>
      </c>
      <c r="AJ114" s="21"/>
      <c r="AK114" s="28" t="s">
        <v>43</v>
      </c>
      <c r="AL114" s="21"/>
      <c r="AM114" s="21"/>
      <c r="AN114" s="21"/>
      <c r="AO114" s="23">
        <v>46151</v>
      </c>
      <c r="AP114" s="21">
        <v>22825</v>
      </c>
      <c r="AQ114" s="21" t="s">
        <v>1137</v>
      </c>
      <c r="AR114" s="21" t="s">
        <v>88</v>
      </c>
      <c r="AS114" s="21" t="s">
        <v>871</v>
      </c>
      <c r="AT114" s="24"/>
    </row>
    <row r="115" spans="1:46" x14ac:dyDescent="0.25">
      <c r="A115" s="20" t="s">
        <v>902</v>
      </c>
      <c r="B115" s="21" t="s">
        <v>948</v>
      </c>
      <c r="C115" s="1" t="s">
        <v>83</v>
      </c>
      <c r="D115" s="21">
        <v>18</v>
      </c>
      <c r="E115" s="21" t="s">
        <v>994</v>
      </c>
      <c r="F115" s="21" t="s">
        <v>77</v>
      </c>
      <c r="G115" s="22">
        <f>Table1[[#This Row],[ENR]]-Table1[[#This Row],[CREDIT]]</f>
        <v>-11049.259999999995</v>
      </c>
      <c r="H115" s="21">
        <v>120000</v>
      </c>
      <c r="I115" s="35">
        <v>108950.74</v>
      </c>
      <c r="J115" s="22">
        <v>54715.48</v>
      </c>
      <c r="K115" s="22">
        <v>54235.26</v>
      </c>
      <c r="L115" s="22">
        <v>46626.79</v>
      </c>
      <c r="M115" s="21">
        <v>32410</v>
      </c>
      <c r="N115" s="22">
        <v>14990</v>
      </c>
      <c r="O115" s="1" t="s">
        <v>41</v>
      </c>
      <c r="P115" s="1" t="s">
        <v>42</v>
      </c>
      <c r="Q115" s="15">
        <v>0</v>
      </c>
      <c r="R115" s="22">
        <f>Table1[[#This Row],[STAB]]-Table1[[#This Row],[AMOUNT]]</f>
        <v>14990</v>
      </c>
      <c r="S115" s="1">
        <v>0</v>
      </c>
      <c r="T115" s="1" t="s">
        <v>79</v>
      </c>
      <c r="U115" s="1">
        <v>0</v>
      </c>
      <c r="V115" s="1" t="s">
        <v>267</v>
      </c>
      <c r="W115" s="1" t="s">
        <v>107</v>
      </c>
      <c r="X115" s="1" t="s">
        <v>200</v>
      </c>
      <c r="Y115" s="21" t="s">
        <v>2111</v>
      </c>
      <c r="Z115" s="21" t="s">
        <v>1041</v>
      </c>
      <c r="AA115" s="21" t="s">
        <v>1086</v>
      </c>
      <c r="AB115" s="21" t="s">
        <v>846</v>
      </c>
      <c r="AC115" s="21" t="s">
        <v>93</v>
      </c>
      <c r="AD115" s="21" t="s">
        <v>460</v>
      </c>
      <c r="AE115" s="21" t="s">
        <v>444</v>
      </c>
      <c r="AF115" s="21" t="s">
        <v>181</v>
      </c>
      <c r="AG115" s="21">
        <v>802823180</v>
      </c>
      <c r="AH115" s="21" t="s">
        <v>132</v>
      </c>
      <c r="AI115" s="21" t="s">
        <v>492</v>
      </c>
      <c r="AJ115" s="21"/>
      <c r="AK115" s="28" t="s">
        <v>447</v>
      </c>
      <c r="AL115" s="21" t="s">
        <v>463</v>
      </c>
      <c r="AM115" s="21" t="s">
        <v>1952</v>
      </c>
      <c r="AN115" s="21" t="s">
        <v>1949</v>
      </c>
      <c r="AO115" s="23">
        <v>45321</v>
      </c>
      <c r="AP115" s="21">
        <v>105964.55</v>
      </c>
      <c r="AQ115" s="21" t="s">
        <v>1138</v>
      </c>
      <c r="AR115" s="21" t="s">
        <v>88</v>
      </c>
      <c r="AS115" s="21" t="s">
        <v>871</v>
      </c>
      <c r="AT115" s="24"/>
    </row>
    <row r="116" spans="1:46" x14ac:dyDescent="0.25">
      <c r="A116" s="20" t="s">
        <v>903</v>
      </c>
      <c r="B116" s="21" t="s">
        <v>949</v>
      </c>
      <c r="C116" s="1" t="s">
        <v>83</v>
      </c>
      <c r="D116" s="21">
        <v>18</v>
      </c>
      <c r="E116" s="21" t="s">
        <v>995</v>
      </c>
      <c r="F116" s="21" t="s">
        <v>77</v>
      </c>
      <c r="G116" s="22">
        <f>Table1[[#This Row],[ENR]]-Table1[[#This Row],[CREDIT]]</f>
        <v>-11260.130000000005</v>
      </c>
      <c r="H116" s="21">
        <v>150000</v>
      </c>
      <c r="I116" s="35">
        <v>138739.87</v>
      </c>
      <c r="J116" s="22">
        <v>50352.01</v>
      </c>
      <c r="K116" s="22">
        <v>88387.86</v>
      </c>
      <c r="L116" s="22">
        <v>79620.320000000007</v>
      </c>
      <c r="M116" s="21">
        <v>26650</v>
      </c>
      <c r="N116" s="22">
        <v>11130</v>
      </c>
      <c r="O116" s="1" t="s">
        <v>41</v>
      </c>
      <c r="P116" s="1" t="s">
        <v>42</v>
      </c>
      <c r="Q116" s="15">
        <v>0</v>
      </c>
      <c r="R116" s="22">
        <f>Table1[[#This Row],[STAB]]-Table1[[#This Row],[AMOUNT]]</f>
        <v>11130</v>
      </c>
      <c r="S116" s="1">
        <v>0</v>
      </c>
      <c r="T116" s="1" t="s">
        <v>79</v>
      </c>
      <c r="U116" s="1">
        <v>0</v>
      </c>
      <c r="V116" s="1" t="s">
        <v>267</v>
      </c>
      <c r="W116" s="1" t="s">
        <v>265</v>
      </c>
      <c r="X116" s="1" t="s">
        <v>269</v>
      </c>
      <c r="Y116" s="21" t="s">
        <v>2111</v>
      </c>
      <c r="Z116" s="21" t="s">
        <v>1042</v>
      </c>
      <c r="AA116" s="21" t="s">
        <v>1087</v>
      </c>
      <c r="AB116" s="21" t="s">
        <v>1107</v>
      </c>
      <c r="AC116" s="21" t="s">
        <v>252</v>
      </c>
      <c r="AD116" s="21" t="s">
        <v>1159</v>
      </c>
      <c r="AE116" s="21" t="s">
        <v>1172</v>
      </c>
      <c r="AF116" s="21" t="s">
        <v>151</v>
      </c>
      <c r="AG116" s="21">
        <v>801723195</v>
      </c>
      <c r="AH116" s="21" t="s">
        <v>132</v>
      </c>
      <c r="AI116" s="21" t="s">
        <v>492</v>
      </c>
      <c r="AJ116" s="21"/>
      <c r="AK116" s="28" t="s">
        <v>447</v>
      </c>
      <c r="AL116" s="21" t="s">
        <v>458</v>
      </c>
      <c r="AM116" s="21" t="s">
        <v>2112</v>
      </c>
      <c r="AN116" s="21" t="s">
        <v>2093</v>
      </c>
      <c r="AO116" s="23">
        <v>46094</v>
      </c>
      <c r="AP116" s="21">
        <v>57000</v>
      </c>
      <c r="AQ116" s="21" t="s">
        <v>1139</v>
      </c>
      <c r="AR116" s="21" t="s">
        <v>88</v>
      </c>
      <c r="AS116" s="21" t="s">
        <v>871</v>
      </c>
      <c r="AT116" s="24"/>
    </row>
    <row r="117" spans="1:46" x14ac:dyDescent="0.25">
      <c r="A117" s="20" t="s">
        <v>904</v>
      </c>
      <c r="B117" s="21" t="s">
        <v>950</v>
      </c>
      <c r="C117" s="1" t="s">
        <v>83</v>
      </c>
      <c r="D117" s="21">
        <v>18</v>
      </c>
      <c r="E117" s="21" t="s">
        <v>996</v>
      </c>
      <c r="F117" s="21" t="s">
        <v>77</v>
      </c>
      <c r="G117" s="22">
        <f>Table1[[#This Row],[ENR]]-Table1[[#This Row],[CREDIT]]</f>
        <v>91686.960000000021</v>
      </c>
      <c r="H117" s="21">
        <v>410000</v>
      </c>
      <c r="I117" s="35">
        <v>501686.96</v>
      </c>
      <c r="J117" s="22">
        <v>84774.21</v>
      </c>
      <c r="K117" s="22">
        <v>416912.75</v>
      </c>
      <c r="L117" s="22">
        <v>390963.31</v>
      </c>
      <c r="M117" s="21">
        <v>86140</v>
      </c>
      <c r="N117" s="22">
        <v>20891.02</v>
      </c>
      <c r="O117" s="1" t="s">
        <v>49</v>
      </c>
      <c r="P117" s="1" t="s">
        <v>12</v>
      </c>
      <c r="Q117" s="15">
        <v>87497.73</v>
      </c>
      <c r="R117" s="22">
        <f>Table1[[#This Row],[STAB]]-Table1[[#This Row],[AMOUNT]]</f>
        <v>-66606.709999999992</v>
      </c>
      <c r="S117" s="1" t="s">
        <v>1176</v>
      </c>
      <c r="T117" s="1" t="s">
        <v>446</v>
      </c>
      <c r="U117" s="1">
        <v>0</v>
      </c>
      <c r="V117" s="1" t="s">
        <v>267</v>
      </c>
      <c r="W117" s="1" t="s">
        <v>645</v>
      </c>
      <c r="X117" s="1" t="s">
        <v>646</v>
      </c>
      <c r="Y117" s="21" t="s">
        <v>2111</v>
      </c>
      <c r="Z117" s="21" t="s">
        <v>1043</v>
      </c>
      <c r="AA117" s="21" t="s">
        <v>1088</v>
      </c>
      <c r="AB117" s="21" t="s">
        <v>433</v>
      </c>
      <c r="AC117" s="21" t="s">
        <v>443</v>
      </c>
      <c r="AD117" s="21" t="s">
        <v>75</v>
      </c>
      <c r="AE117" s="21" t="s">
        <v>441</v>
      </c>
      <c r="AF117" s="21" t="s">
        <v>442</v>
      </c>
      <c r="AG117" s="21">
        <v>802789320</v>
      </c>
      <c r="AH117" s="21" t="s">
        <v>130</v>
      </c>
      <c r="AI117" s="21" t="s">
        <v>492</v>
      </c>
      <c r="AJ117" s="21"/>
      <c r="AK117" s="28" t="s">
        <v>447</v>
      </c>
      <c r="AL117" s="21"/>
      <c r="AM117" s="21"/>
      <c r="AN117" s="21"/>
      <c r="AO117" s="23">
        <v>46295</v>
      </c>
      <c r="AP117" s="21">
        <v>67861</v>
      </c>
      <c r="AQ117" s="21" t="s">
        <v>1140</v>
      </c>
      <c r="AR117" s="21" t="s">
        <v>81</v>
      </c>
      <c r="AS117" s="21" t="s">
        <v>871</v>
      </c>
      <c r="AT117" s="24"/>
    </row>
    <row r="118" spans="1:46" x14ac:dyDescent="0.25">
      <c r="A118" s="20" t="s">
        <v>905</v>
      </c>
      <c r="B118" s="21" t="s">
        <v>951</v>
      </c>
      <c r="C118" s="1" t="s">
        <v>47</v>
      </c>
      <c r="D118" s="21">
        <v>18</v>
      </c>
      <c r="E118" s="21" t="s">
        <v>997</v>
      </c>
      <c r="F118" s="21" t="s">
        <v>77</v>
      </c>
      <c r="G118" s="22">
        <f>Table1[[#This Row],[ENR]]-Table1[[#This Row],[CREDIT]]</f>
        <v>110254.59999999998</v>
      </c>
      <c r="H118" s="21">
        <v>440000</v>
      </c>
      <c r="I118" s="35">
        <v>550254.6</v>
      </c>
      <c r="J118" s="22">
        <v>268653.87</v>
      </c>
      <c r="K118" s="22">
        <v>281600.73</v>
      </c>
      <c r="L118" s="22">
        <v>239358.55</v>
      </c>
      <c r="M118" s="21">
        <v>103640</v>
      </c>
      <c r="N118" s="22">
        <v>52840</v>
      </c>
      <c r="O118" s="1" t="s">
        <v>41</v>
      </c>
      <c r="P118" s="1" t="s">
        <v>42</v>
      </c>
      <c r="Q118" s="15">
        <v>0</v>
      </c>
      <c r="R118" s="22">
        <f>Table1[[#This Row],[STAB]]-Table1[[#This Row],[AMOUNT]]</f>
        <v>52840</v>
      </c>
      <c r="S118" s="1">
        <v>0</v>
      </c>
      <c r="T118" s="1" t="s">
        <v>79</v>
      </c>
      <c r="U118" s="1">
        <v>0</v>
      </c>
      <c r="V118" s="1" t="s">
        <v>267</v>
      </c>
      <c r="W118" s="1" t="s">
        <v>265</v>
      </c>
      <c r="X118" s="1" t="s">
        <v>269</v>
      </c>
      <c r="Y118" s="21" t="s">
        <v>2111</v>
      </c>
      <c r="Z118" s="21" t="s">
        <v>1044</v>
      </c>
      <c r="AA118" s="21" t="s">
        <v>1089</v>
      </c>
      <c r="AB118" s="21" t="s">
        <v>80</v>
      </c>
      <c r="AC118" s="21" t="s">
        <v>91</v>
      </c>
      <c r="AD118" s="21" t="s">
        <v>111</v>
      </c>
      <c r="AE118" s="21" t="s">
        <v>565</v>
      </c>
      <c r="AF118" s="21" t="s">
        <v>563</v>
      </c>
      <c r="AG118" s="21">
        <v>802794852</v>
      </c>
      <c r="AH118" s="21" t="s">
        <v>130</v>
      </c>
      <c r="AI118" s="21" t="s">
        <v>492</v>
      </c>
      <c r="AJ118" s="21"/>
      <c r="AK118" s="28" t="s">
        <v>447</v>
      </c>
      <c r="AL118" s="21" t="s">
        <v>458</v>
      </c>
      <c r="AM118" s="21" t="s">
        <v>1177</v>
      </c>
      <c r="AN118" s="21" t="s">
        <v>1178</v>
      </c>
      <c r="AO118" s="23">
        <v>46161</v>
      </c>
      <c r="AP118" s="21">
        <v>43042.59</v>
      </c>
      <c r="AQ118" s="21" t="s">
        <v>1141</v>
      </c>
      <c r="AR118" s="21" t="s">
        <v>644</v>
      </c>
      <c r="AS118" s="21" t="s">
        <v>871</v>
      </c>
      <c r="AT118" s="24"/>
    </row>
    <row r="119" spans="1:46" x14ac:dyDescent="0.25">
      <c r="A119" s="20" t="s">
        <v>906</v>
      </c>
      <c r="B119" s="21" t="s">
        <v>952</v>
      </c>
      <c r="C119" s="1" t="s">
        <v>83</v>
      </c>
      <c r="D119" s="21">
        <v>18</v>
      </c>
      <c r="E119" s="21" t="s">
        <v>998</v>
      </c>
      <c r="F119" s="21" t="s">
        <v>77</v>
      </c>
      <c r="G119" s="22">
        <f>Table1[[#This Row],[ENR]]-Table1[[#This Row],[CREDIT]]</f>
        <v>490357.78</v>
      </c>
      <c r="H119" s="21">
        <v>310000</v>
      </c>
      <c r="I119" s="35">
        <v>800357.78</v>
      </c>
      <c r="J119" s="22">
        <v>695967.44</v>
      </c>
      <c r="K119" s="22">
        <v>104390.34</v>
      </c>
      <c r="L119" s="22">
        <v>69715.69</v>
      </c>
      <c r="M119" s="21">
        <v>103490</v>
      </c>
      <c r="N119" s="22">
        <v>55140</v>
      </c>
      <c r="O119" s="1" t="s">
        <v>41</v>
      </c>
      <c r="P119" s="1" t="s">
        <v>42</v>
      </c>
      <c r="Q119" s="15">
        <v>5000</v>
      </c>
      <c r="R119" s="22">
        <f>Table1[[#This Row],[STAB]]-Table1[[#This Row],[AMOUNT]]</f>
        <v>50140</v>
      </c>
      <c r="S119" s="1">
        <v>0</v>
      </c>
      <c r="T119" s="1" t="s">
        <v>79</v>
      </c>
      <c r="U119" s="1">
        <v>0</v>
      </c>
      <c r="V119" s="1" t="s">
        <v>267</v>
      </c>
      <c r="W119" s="1" t="s">
        <v>107</v>
      </c>
      <c r="X119" s="1" t="s">
        <v>200</v>
      </c>
      <c r="Y119" s="21" t="s">
        <v>2111</v>
      </c>
      <c r="Z119" s="21" t="s">
        <v>1045</v>
      </c>
      <c r="AA119" s="21" t="s">
        <v>1090</v>
      </c>
      <c r="AB119" s="21" t="s">
        <v>138</v>
      </c>
      <c r="AC119" s="21" t="s">
        <v>93</v>
      </c>
      <c r="AD119" s="21" t="s">
        <v>139</v>
      </c>
      <c r="AE119" s="21" t="s">
        <v>202</v>
      </c>
      <c r="AF119" s="21" t="s">
        <v>490</v>
      </c>
      <c r="AG119" s="21">
        <v>802823528</v>
      </c>
      <c r="AH119" s="21" t="s">
        <v>488</v>
      </c>
      <c r="AI119" s="21" t="s">
        <v>492</v>
      </c>
      <c r="AJ119" s="21"/>
      <c r="AK119" s="28" t="s">
        <v>447</v>
      </c>
      <c r="AL119" s="21" t="s">
        <v>456</v>
      </c>
      <c r="AM119" s="21" t="s">
        <v>1965</v>
      </c>
      <c r="AN119" s="21" t="s">
        <v>1949</v>
      </c>
      <c r="AO119" s="23">
        <v>45962</v>
      </c>
      <c r="AP119" s="21">
        <v>82300</v>
      </c>
      <c r="AQ119" s="21" t="s">
        <v>1142</v>
      </c>
      <c r="AR119" s="21" t="s">
        <v>81</v>
      </c>
      <c r="AS119" s="21" t="s">
        <v>871</v>
      </c>
      <c r="AT119" s="24"/>
    </row>
    <row r="120" spans="1:46" x14ac:dyDescent="0.25">
      <c r="A120" s="20" t="s">
        <v>907</v>
      </c>
      <c r="B120" s="21" t="s">
        <v>953</v>
      </c>
      <c r="C120" s="1" t="s">
        <v>47</v>
      </c>
      <c r="D120" s="21">
        <v>18</v>
      </c>
      <c r="E120" s="21" t="s">
        <v>999</v>
      </c>
      <c r="F120" s="21" t="s">
        <v>77</v>
      </c>
      <c r="G120" s="22">
        <f>Table1[[#This Row],[ENR]]-Table1[[#This Row],[CREDIT]]</f>
        <v>16875.089999999967</v>
      </c>
      <c r="H120" s="21">
        <v>580000</v>
      </c>
      <c r="I120" s="35">
        <v>596875.09</v>
      </c>
      <c r="J120" s="22">
        <v>159655.26999999999</v>
      </c>
      <c r="K120" s="22">
        <v>437219.82</v>
      </c>
      <c r="L120" s="22">
        <v>414533.03</v>
      </c>
      <c r="M120" s="21">
        <v>103030</v>
      </c>
      <c r="N120" s="22">
        <v>56010</v>
      </c>
      <c r="O120" s="1" t="s">
        <v>41</v>
      </c>
      <c r="P120" s="1" t="s">
        <v>42</v>
      </c>
      <c r="Q120" s="15">
        <v>0</v>
      </c>
      <c r="R120" s="22">
        <f>Table1[[#This Row],[STAB]]-Table1[[#This Row],[AMOUNT]]</f>
        <v>56010</v>
      </c>
      <c r="S120" s="1">
        <v>0</v>
      </c>
      <c r="T120" s="1" t="s">
        <v>79</v>
      </c>
      <c r="U120" s="1">
        <v>0</v>
      </c>
      <c r="V120" s="1" t="s">
        <v>267</v>
      </c>
      <c r="W120" s="1" t="s">
        <v>107</v>
      </c>
      <c r="X120" s="1" t="s">
        <v>200</v>
      </c>
      <c r="Y120" s="21" t="s">
        <v>2111</v>
      </c>
      <c r="Z120" s="21" t="s">
        <v>1046</v>
      </c>
      <c r="AA120" s="21" t="s">
        <v>1091</v>
      </c>
      <c r="AB120" s="21" t="s">
        <v>103</v>
      </c>
      <c r="AC120" s="21" t="s">
        <v>93</v>
      </c>
      <c r="AD120" s="21" t="s">
        <v>102</v>
      </c>
      <c r="AE120" s="21" t="s">
        <v>201</v>
      </c>
      <c r="AF120" s="21" t="s">
        <v>137</v>
      </c>
      <c r="AG120" s="21">
        <v>845041675</v>
      </c>
      <c r="AH120" s="21" t="s">
        <v>130</v>
      </c>
      <c r="AI120" s="21" t="s">
        <v>492</v>
      </c>
      <c r="AJ120" s="21"/>
      <c r="AK120" s="28" t="s">
        <v>43</v>
      </c>
      <c r="AL120" s="21"/>
      <c r="AM120" s="21"/>
      <c r="AN120" s="21"/>
      <c r="AO120" s="23">
        <v>45675</v>
      </c>
      <c r="AP120" s="21">
        <v>4000</v>
      </c>
      <c r="AQ120" s="21" t="s">
        <v>1143</v>
      </c>
      <c r="AR120" s="21" t="s">
        <v>644</v>
      </c>
      <c r="AS120" s="21" t="s">
        <v>871</v>
      </c>
      <c r="AT120" s="24"/>
    </row>
    <row r="121" spans="1:46" x14ac:dyDescent="0.25">
      <c r="A121" s="20" t="s">
        <v>908</v>
      </c>
      <c r="B121" s="21" t="s">
        <v>954</v>
      </c>
      <c r="C121" s="1" t="s">
        <v>47</v>
      </c>
      <c r="D121" s="21">
        <v>18</v>
      </c>
      <c r="E121" s="21" t="s">
        <v>1000</v>
      </c>
      <c r="F121" s="21" t="s">
        <v>77</v>
      </c>
      <c r="G121" s="22">
        <f>Table1[[#This Row],[ENR]]-Table1[[#This Row],[CREDIT]]</f>
        <v>19129.659999999974</v>
      </c>
      <c r="H121" s="21">
        <v>300000</v>
      </c>
      <c r="I121" s="35">
        <v>319129.65999999997</v>
      </c>
      <c r="J121" s="22">
        <v>12812.01</v>
      </c>
      <c r="K121" s="22">
        <v>306317.65000000002</v>
      </c>
      <c r="L121" s="22">
        <v>285638.26</v>
      </c>
      <c r="M121" s="21">
        <v>76970</v>
      </c>
      <c r="N121" s="22">
        <v>25840</v>
      </c>
      <c r="O121" s="1" t="s">
        <v>41</v>
      </c>
      <c r="P121" s="1" t="s">
        <v>42</v>
      </c>
      <c r="Q121" s="15">
        <v>0</v>
      </c>
      <c r="R121" s="22">
        <f>Table1[[#This Row],[STAB]]-Table1[[#This Row],[AMOUNT]]</f>
        <v>25840</v>
      </c>
      <c r="S121" s="1">
        <v>0</v>
      </c>
      <c r="T121" s="1" t="s">
        <v>79</v>
      </c>
      <c r="U121" s="1">
        <v>0</v>
      </c>
      <c r="V121" s="1" t="s">
        <v>267</v>
      </c>
      <c r="W121" s="1" t="s">
        <v>107</v>
      </c>
      <c r="X121" s="1" t="s">
        <v>200</v>
      </c>
      <c r="Y121" s="21" t="s">
        <v>2111</v>
      </c>
      <c r="Z121" s="21" t="s">
        <v>1047</v>
      </c>
      <c r="AA121" s="21" t="s">
        <v>1092</v>
      </c>
      <c r="AB121" s="21" t="s">
        <v>434</v>
      </c>
      <c r="AC121" s="21" t="s">
        <v>93</v>
      </c>
      <c r="AD121" s="21" t="s">
        <v>460</v>
      </c>
      <c r="AE121" s="21" t="s">
        <v>444</v>
      </c>
      <c r="AF121" s="21" t="s">
        <v>181</v>
      </c>
      <c r="AG121" s="21">
        <v>802823180</v>
      </c>
      <c r="AH121" s="21" t="s">
        <v>132</v>
      </c>
      <c r="AI121" s="21" t="s">
        <v>492</v>
      </c>
      <c r="AJ121" s="21"/>
      <c r="AK121" s="28" t="s">
        <v>43</v>
      </c>
      <c r="AL121" s="21"/>
      <c r="AM121" s="21"/>
      <c r="AN121" s="21"/>
      <c r="AO121" s="23">
        <v>45540</v>
      </c>
      <c r="AP121" s="21">
        <v>149993</v>
      </c>
      <c r="AQ121" s="21" t="s">
        <v>1144</v>
      </c>
      <c r="AR121" s="21" t="s">
        <v>81</v>
      </c>
      <c r="AS121" s="21" t="s">
        <v>871</v>
      </c>
      <c r="AT121" s="24"/>
    </row>
    <row r="122" spans="1:46" x14ac:dyDescent="0.25">
      <c r="A122" s="20" t="s">
        <v>909</v>
      </c>
      <c r="B122" s="21" t="s">
        <v>955</v>
      </c>
      <c r="C122" s="1" t="s">
        <v>47</v>
      </c>
      <c r="D122" s="21">
        <v>18</v>
      </c>
      <c r="E122" s="21" t="s">
        <v>1001</v>
      </c>
      <c r="F122" s="21" t="s">
        <v>77</v>
      </c>
      <c r="G122" s="22">
        <f>Table1[[#This Row],[ENR]]-Table1[[#This Row],[CREDIT]]</f>
        <v>8785.5300000000279</v>
      </c>
      <c r="H122" s="21">
        <v>500000</v>
      </c>
      <c r="I122" s="35">
        <v>508785.53</v>
      </c>
      <c r="J122" s="22">
        <v>86095.3</v>
      </c>
      <c r="K122" s="22">
        <v>422690.23</v>
      </c>
      <c r="L122" s="22">
        <v>390306.04</v>
      </c>
      <c r="M122" s="21">
        <v>88670</v>
      </c>
      <c r="N122" s="22">
        <v>35000</v>
      </c>
      <c r="O122" s="1" t="s">
        <v>41</v>
      </c>
      <c r="P122" s="1" t="s">
        <v>42</v>
      </c>
      <c r="Q122" s="15">
        <v>20000</v>
      </c>
      <c r="R122" s="22">
        <f>Table1[[#This Row],[STAB]]-Table1[[#This Row],[AMOUNT]]</f>
        <v>15000</v>
      </c>
      <c r="S122" s="1">
        <v>0</v>
      </c>
      <c r="T122" s="1" t="s">
        <v>79</v>
      </c>
      <c r="U122" s="1">
        <v>0</v>
      </c>
      <c r="V122" s="1" t="s">
        <v>267</v>
      </c>
      <c r="W122" s="1" t="s">
        <v>266</v>
      </c>
      <c r="X122" s="1" t="s">
        <v>268</v>
      </c>
      <c r="Y122" s="21" t="s">
        <v>2111</v>
      </c>
      <c r="Z122" s="21" t="s">
        <v>1048</v>
      </c>
      <c r="AA122" s="21" t="s">
        <v>1093</v>
      </c>
      <c r="AB122" s="21" t="s">
        <v>105</v>
      </c>
      <c r="AC122" s="21" t="s">
        <v>91</v>
      </c>
      <c r="AD122" s="21" t="s">
        <v>270</v>
      </c>
      <c r="AE122" s="21" t="s">
        <v>271</v>
      </c>
      <c r="AF122" s="21" t="s">
        <v>245</v>
      </c>
      <c r="AG122" s="21">
        <v>802555024</v>
      </c>
      <c r="AH122" s="21" t="s">
        <v>131</v>
      </c>
      <c r="AI122" s="21" t="s">
        <v>492</v>
      </c>
      <c r="AJ122" s="21"/>
      <c r="AK122" s="28" t="s">
        <v>43</v>
      </c>
      <c r="AL122" s="21"/>
      <c r="AM122" s="21"/>
      <c r="AN122" s="21"/>
      <c r="AO122" s="23" t="s">
        <v>78</v>
      </c>
      <c r="AP122" s="21">
        <v>0</v>
      </c>
      <c r="AQ122" s="21" t="s">
        <v>1145</v>
      </c>
      <c r="AR122" s="21" t="s">
        <v>81</v>
      </c>
      <c r="AS122" s="21" t="s">
        <v>871</v>
      </c>
      <c r="AT122" s="24"/>
    </row>
    <row r="123" spans="1:46" x14ac:dyDescent="0.25">
      <c r="A123" s="20" t="s">
        <v>910</v>
      </c>
      <c r="B123" s="21" t="s">
        <v>956</v>
      </c>
      <c r="C123" s="1" t="s">
        <v>47</v>
      </c>
      <c r="D123" s="21">
        <v>18</v>
      </c>
      <c r="E123" s="21" t="s">
        <v>1002</v>
      </c>
      <c r="F123" s="21" t="s">
        <v>77</v>
      </c>
      <c r="G123" s="22">
        <f>Table1[[#This Row],[ENR]]-Table1[[#This Row],[CREDIT]]</f>
        <v>-21197.809999999998</v>
      </c>
      <c r="H123" s="21">
        <v>300000</v>
      </c>
      <c r="I123" s="35">
        <v>278802.19</v>
      </c>
      <c r="J123" s="22" t="s">
        <v>78</v>
      </c>
      <c r="K123" s="22">
        <v>278802.19</v>
      </c>
      <c r="L123" s="22">
        <v>263704.46000000002</v>
      </c>
      <c r="M123" s="21">
        <v>23730</v>
      </c>
      <c r="N123" s="22">
        <v>5194.0600000000004</v>
      </c>
      <c r="O123" s="1" t="s">
        <v>41</v>
      </c>
      <c r="P123" s="1" t="s">
        <v>42</v>
      </c>
      <c r="Q123" s="15">
        <v>0</v>
      </c>
      <c r="R123" s="22">
        <f>Table1[[#This Row],[STAB]]-Table1[[#This Row],[AMOUNT]]</f>
        <v>5194.0600000000004</v>
      </c>
      <c r="S123" s="1">
        <v>0</v>
      </c>
      <c r="T123" s="1" t="s">
        <v>79</v>
      </c>
      <c r="U123" s="1">
        <v>0</v>
      </c>
      <c r="V123" s="1" t="s">
        <v>267</v>
      </c>
      <c r="W123" s="1" t="s">
        <v>107</v>
      </c>
      <c r="X123" s="1" t="s">
        <v>200</v>
      </c>
      <c r="Y123" s="21" t="s">
        <v>2111</v>
      </c>
      <c r="Z123" s="21" t="s">
        <v>1049</v>
      </c>
      <c r="AA123" s="21" t="s">
        <v>1094</v>
      </c>
      <c r="AB123" s="21" t="s">
        <v>257</v>
      </c>
      <c r="AC123" s="21" t="s">
        <v>93</v>
      </c>
      <c r="AD123" s="21" t="s">
        <v>108</v>
      </c>
      <c r="AE123" s="21" t="s">
        <v>1173</v>
      </c>
      <c r="AF123" s="21" t="s">
        <v>1164</v>
      </c>
      <c r="AG123" s="21">
        <v>802123413</v>
      </c>
      <c r="AH123" s="21" t="s">
        <v>132</v>
      </c>
      <c r="AI123" s="21" t="s">
        <v>492</v>
      </c>
      <c r="AJ123" s="21"/>
      <c r="AK123" s="28" t="s">
        <v>43</v>
      </c>
      <c r="AL123" s="21"/>
      <c r="AM123" s="21"/>
      <c r="AN123" s="21"/>
      <c r="AO123" s="23">
        <v>46213</v>
      </c>
      <c r="AP123" s="21">
        <v>50000</v>
      </c>
      <c r="AQ123" s="21" t="s">
        <v>1146</v>
      </c>
      <c r="AR123" s="21" t="s">
        <v>644</v>
      </c>
      <c r="AS123" s="21" t="s">
        <v>871</v>
      </c>
      <c r="AT123" s="24"/>
    </row>
    <row r="124" spans="1:46" x14ac:dyDescent="0.25">
      <c r="A124" s="20" t="s">
        <v>911</v>
      </c>
      <c r="B124" s="21" t="s">
        <v>957</v>
      </c>
      <c r="C124" s="1" t="s">
        <v>47</v>
      </c>
      <c r="D124" s="21">
        <v>18</v>
      </c>
      <c r="E124" s="21" t="s">
        <v>1003</v>
      </c>
      <c r="F124" s="21" t="s">
        <v>1012</v>
      </c>
      <c r="G124" s="22">
        <f>Table1[[#This Row],[ENR]]-Table1[[#This Row],[CREDIT]]</f>
        <v>-48791.55</v>
      </c>
      <c r="H124" s="21">
        <v>100000</v>
      </c>
      <c r="I124" s="35">
        <v>51208.45</v>
      </c>
      <c r="J124" s="22" t="s">
        <v>78</v>
      </c>
      <c r="K124" s="22">
        <v>51208.45</v>
      </c>
      <c r="L124" s="22">
        <v>48647.72</v>
      </c>
      <c r="M124" s="21">
        <v>6910</v>
      </c>
      <c r="N124" s="22">
        <v>4180</v>
      </c>
      <c r="O124" s="1" t="s">
        <v>41</v>
      </c>
      <c r="P124" s="1" t="s">
        <v>42</v>
      </c>
      <c r="Q124" s="15">
        <v>0</v>
      </c>
      <c r="R124" s="22">
        <f>Table1[[#This Row],[STAB]]-Table1[[#This Row],[AMOUNT]]</f>
        <v>4180</v>
      </c>
      <c r="S124" s="1">
        <v>0</v>
      </c>
      <c r="T124" s="1" t="s">
        <v>79</v>
      </c>
      <c r="U124" s="1">
        <v>0</v>
      </c>
      <c r="V124" s="1" t="s">
        <v>267</v>
      </c>
      <c r="W124" s="1" t="s">
        <v>265</v>
      </c>
      <c r="X124" s="1" t="s">
        <v>269</v>
      </c>
      <c r="Y124" s="21" t="s">
        <v>2111</v>
      </c>
      <c r="Z124" s="21" t="s">
        <v>1050</v>
      </c>
      <c r="AA124" s="21" t="s">
        <v>1095</v>
      </c>
      <c r="AB124" s="21" t="s">
        <v>70</v>
      </c>
      <c r="AC124" s="21" t="s">
        <v>91</v>
      </c>
      <c r="AD124" s="21" t="s">
        <v>51</v>
      </c>
      <c r="AE124" s="21" t="s">
        <v>189</v>
      </c>
      <c r="AF124" s="21" t="s">
        <v>136</v>
      </c>
      <c r="AG124" s="21">
        <v>801772792</v>
      </c>
      <c r="AH124" s="21" t="s">
        <v>132</v>
      </c>
      <c r="AI124" s="21" t="s">
        <v>492</v>
      </c>
      <c r="AJ124" s="21"/>
      <c r="AK124" s="28" t="s">
        <v>447</v>
      </c>
      <c r="AL124" s="21" t="s">
        <v>458</v>
      </c>
      <c r="AM124" s="21" t="s">
        <v>1953</v>
      </c>
      <c r="AN124" s="21" t="s">
        <v>1949</v>
      </c>
      <c r="AO124" s="23">
        <v>46312</v>
      </c>
      <c r="AP124" s="21">
        <v>12000</v>
      </c>
      <c r="AQ124" s="21" t="s">
        <v>1147</v>
      </c>
      <c r="AR124" s="21" t="s">
        <v>81</v>
      </c>
      <c r="AS124" s="21" t="s">
        <v>871</v>
      </c>
      <c r="AT124" s="24"/>
    </row>
    <row r="125" spans="1:46" x14ac:dyDescent="0.25">
      <c r="A125" s="20" t="s">
        <v>912</v>
      </c>
      <c r="B125" s="21" t="s">
        <v>958</v>
      </c>
      <c r="C125" s="1" t="s">
        <v>47</v>
      </c>
      <c r="D125" s="21">
        <v>18</v>
      </c>
      <c r="E125" s="21" t="s">
        <v>1004</v>
      </c>
      <c r="F125" s="21" t="s">
        <v>77</v>
      </c>
      <c r="G125" s="22">
        <f>Table1[[#This Row],[ENR]]-Table1[[#This Row],[CREDIT]]</f>
        <v>24585.830000000016</v>
      </c>
      <c r="H125" s="21">
        <v>420000</v>
      </c>
      <c r="I125" s="35">
        <v>444585.83</v>
      </c>
      <c r="J125" s="22">
        <v>58781.29</v>
      </c>
      <c r="K125" s="22">
        <v>385804.54</v>
      </c>
      <c r="L125" s="22">
        <v>359254.13</v>
      </c>
      <c r="M125" s="21">
        <v>95660</v>
      </c>
      <c r="N125" s="22">
        <v>36520</v>
      </c>
      <c r="O125" s="1" t="s">
        <v>41</v>
      </c>
      <c r="P125" s="1" t="s">
        <v>42</v>
      </c>
      <c r="Q125" s="15">
        <v>0</v>
      </c>
      <c r="R125" s="22">
        <f>Table1[[#This Row],[STAB]]-Table1[[#This Row],[AMOUNT]]</f>
        <v>36520</v>
      </c>
      <c r="S125" s="1">
        <v>0</v>
      </c>
      <c r="T125" s="1" t="s">
        <v>79</v>
      </c>
      <c r="U125" s="1">
        <v>0</v>
      </c>
      <c r="V125" s="1" t="s">
        <v>267</v>
      </c>
      <c r="W125" s="1" t="s">
        <v>645</v>
      </c>
      <c r="X125" s="1" t="s">
        <v>646</v>
      </c>
      <c r="Y125" s="21" t="s">
        <v>2110</v>
      </c>
      <c r="Z125" s="21" t="s">
        <v>1051</v>
      </c>
      <c r="AA125" s="21" t="s">
        <v>1096</v>
      </c>
      <c r="AB125" s="21" t="s">
        <v>104</v>
      </c>
      <c r="AC125" s="21" t="s">
        <v>258</v>
      </c>
      <c r="AD125" s="21" t="s">
        <v>461</v>
      </c>
      <c r="AE125" s="21" t="s">
        <v>1168</v>
      </c>
      <c r="AF125" s="21" t="s">
        <v>133</v>
      </c>
      <c r="AG125" s="21">
        <v>802913252</v>
      </c>
      <c r="AH125" s="21" t="s">
        <v>130</v>
      </c>
      <c r="AI125" s="21" t="s">
        <v>492</v>
      </c>
      <c r="AJ125" s="21"/>
      <c r="AK125" s="28" t="s">
        <v>43</v>
      </c>
      <c r="AL125" s="21"/>
      <c r="AM125" s="21"/>
      <c r="AN125" s="21"/>
      <c r="AO125" s="23" t="s">
        <v>78</v>
      </c>
      <c r="AP125" s="21">
        <v>0</v>
      </c>
      <c r="AQ125" s="21" t="s">
        <v>1148</v>
      </c>
      <c r="AR125" s="21" t="s">
        <v>644</v>
      </c>
      <c r="AS125" s="21" t="s">
        <v>871</v>
      </c>
      <c r="AT125" s="24"/>
    </row>
    <row r="126" spans="1:46" x14ac:dyDescent="0.25">
      <c r="A126" s="20" t="s">
        <v>913</v>
      </c>
      <c r="B126" s="21" t="s">
        <v>959</v>
      </c>
      <c r="C126" s="1" t="s">
        <v>47</v>
      </c>
      <c r="D126" s="21">
        <v>18</v>
      </c>
      <c r="E126" s="21" t="s">
        <v>1005</v>
      </c>
      <c r="F126" s="21" t="s">
        <v>77</v>
      </c>
      <c r="G126" s="22">
        <f>Table1[[#This Row],[ENR]]-Table1[[#This Row],[CREDIT]]</f>
        <v>19328.429999999993</v>
      </c>
      <c r="H126" s="21">
        <v>375000</v>
      </c>
      <c r="I126" s="35">
        <v>394328.43</v>
      </c>
      <c r="J126" s="22" t="s">
        <v>78</v>
      </c>
      <c r="K126" s="22">
        <v>394328.43</v>
      </c>
      <c r="L126" s="22">
        <v>357507.01</v>
      </c>
      <c r="M126" s="21">
        <v>76610</v>
      </c>
      <c r="N126" s="22">
        <v>24210</v>
      </c>
      <c r="O126" s="1" t="s">
        <v>41</v>
      </c>
      <c r="P126" s="1" t="s">
        <v>42</v>
      </c>
      <c r="Q126" s="15">
        <v>0</v>
      </c>
      <c r="R126" s="22">
        <f>Table1[[#This Row],[STAB]]-Table1[[#This Row],[AMOUNT]]</f>
        <v>24210</v>
      </c>
      <c r="S126" s="1">
        <v>0</v>
      </c>
      <c r="T126" s="1" t="s">
        <v>79</v>
      </c>
      <c r="U126" s="1">
        <v>0</v>
      </c>
      <c r="V126" s="1" t="s">
        <v>267</v>
      </c>
      <c r="W126" s="1" t="s">
        <v>645</v>
      </c>
      <c r="X126" s="1" t="s">
        <v>646</v>
      </c>
      <c r="Y126" s="21" t="s">
        <v>2111</v>
      </c>
      <c r="Z126" s="21" t="s">
        <v>1052</v>
      </c>
      <c r="AA126" s="21" t="s">
        <v>1097</v>
      </c>
      <c r="AB126" s="21" t="s">
        <v>71</v>
      </c>
      <c r="AC126" s="21" t="s">
        <v>92</v>
      </c>
      <c r="AD126" s="21" t="s">
        <v>94</v>
      </c>
      <c r="AE126" s="21" t="s">
        <v>246</v>
      </c>
      <c r="AF126" s="21" t="s">
        <v>140</v>
      </c>
      <c r="AG126" s="21">
        <v>802852449</v>
      </c>
      <c r="AH126" s="21" t="s">
        <v>130</v>
      </c>
      <c r="AI126" s="21" t="s">
        <v>492</v>
      </c>
      <c r="AJ126" s="21"/>
      <c r="AK126" s="28" t="s">
        <v>447</v>
      </c>
      <c r="AL126" s="21" t="s">
        <v>463</v>
      </c>
      <c r="AM126" s="21" t="s">
        <v>1947</v>
      </c>
      <c r="AN126" s="21" t="s">
        <v>1941</v>
      </c>
      <c r="AO126" s="23">
        <v>45874</v>
      </c>
      <c r="AP126" s="21">
        <v>7500</v>
      </c>
      <c r="AQ126" s="21" t="s">
        <v>1149</v>
      </c>
      <c r="AR126" s="21" t="s">
        <v>88</v>
      </c>
      <c r="AS126" s="21" t="s">
        <v>871</v>
      </c>
      <c r="AT126" s="24"/>
    </row>
    <row r="127" spans="1:46" x14ac:dyDescent="0.25">
      <c r="A127" s="20" t="s">
        <v>914</v>
      </c>
      <c r="B127" s="21" t="s">
        <v>960</v>
      </c>
      <c r="C127" s="1" t="s">
        <v>83</v>
      </c>
      <c r="D127" s="21">
        <v>18</v>
      </c>
      <c r="E127" s="21" t="s">
        <v>1006</v>
      </c>
      <c r="F127" s="21" t="s">
        <v>77</v>
      </c>
      <c r="G127" s="22">
        <f>Table1[[#This Row],[ENR]]-Table1[[#This Row],[CREDIT]]</f>
        <v>4220.7100000000064</v>
      </c>
      <c r="H127" s="21">
        <v>80000</v>
      </c>
      <c r="I127" s="35">
        <v>84220.71</v>
      </c>
      <c r="J127" s="22" t="s">
        <v>78</v>
      </c>
      <c r="K127" s="22">
        <v>84220.71</v>
      </c>
      <c r="L127" s="22">
        <v>75547.41</v>
      </c>
      <c r="M127" s="21">
        <v>24660</v>
      </c>
      <c r="N127" s="22">
        <v>12220</v>
      </c>
      <c r="O127" s="1" t="s">
        <v>41</v>
      </c>
      <c r="P127" s="1" t="s">
        <v>42</v>
      </c>
      <c r="Q127" s="15">
        <v>0</v>
      </c>
      <c r="R127" s="22">
        <f>Table1[[#This Row],[STAB]]-Table1[[#This Row],[AMOUNT]]</f>
        <v>12220</v>
      </c>
      <c r="S127" s="1">
        <v>0</v>
      </c>
      <c r="T127" s="1" t="s">
        <v>79</v>
      </c>
      <c r="U127" s="1">
        <v>0</v>
      </c>
      <c r="V127" s="1" t="s">
        <v>267</v>
      </c>
      <c r="W127" s="1" t="s">
        <v>265</v>
      </c>
      <c r="X127" s="1" t="s">
        <v>269</v>
      </c>
      <c r="Y127" s="21" t="s">
        <v>2111</v>
      </c>
      <c r="Z127" s="21" t="s">
        <v>1042</v>
      </c>
      <c r="AA127" s="21" t="s">
        <v>1098</v>
      </c>
      <c r="AB127" s="21" t="s">
        <v>1107</v>
      </c>
      <c r="AC127" s="21" t="s">
        <v>252</v>
      </c>
      <c r="AD127" s="21" t="s">
        <v>1159</v>
      </c>
      <c r="AE127" s="21" t="s">
        <v>1172</v>
      </c>
      <c r="AF127" s="21" t="s">
        <v>151</v>
      </c>
      <c r="AG127" s="21">
        <v>801723195</v>
      </c>
      <c r="AH127" s="21" t="s">
        <v>132</v>
      </c>
      <c r="AI127" s="21" t="s">
        <v>492</v>
      </c>
      <c r="AJ127" s="21"/>
      <c r="AK127" s="28" t="s">
        <v>447</v>
      </c>
      <c r="AL127" s="21" t="s">
        <v>458</v>
      </c>
      <c r="AM127" s="21" t="s">
        <v>2113</v>
      </c>
      <c r="AN127" s="21" t="s">
        <v>2093</v>
      </c>
      <c r="AO127" s="23">
        <v>46063</v>
      </c>
      <c r="AP127" s="21">
        <v>32500</v>
      </c>
      <c r="AQ127" s="21" t="s">
        <v>1150</v>
      </c>
      <c r="AR127" s="21" t="s">
        <v>88</v>
      </c>
      <c r="AS127" s="21" t="s">
        <v>871</v>
      </c>
      <c r="AT127" s="24"/>
    </row>
    <row r="128" spans="1:46" x14ac:dyDescent="0.25">
      <c r="A128" s="20" t="s">
        <v>915</v>
      </c>
      <c r="B128" s="21" t="s">
        <v>961</v>
      </c>
      <c r="C128" s="1" t="s">
        <v>47</v>
      </c>
      <c r="D128" s="21">
        <v>18</v>
      </c>
      <c r="E128" s="21" t="s">
        <v>1007</v>
      </c>
      <c r="F128" s="21" t="s">
        <v>77</v>
      </c>
      <c r="G128" s="22">
        <f>Table1[[#This Row],[ENR]]-Table1[[#This Row],[CREDIT]]</f>
        <v>-2231.7799999999988</v>
      </c>
      <c r="H128" s="21">
        <v>54000</v>
      </c>
      <c r="I128" s="35">
        <v>51768.22</v>
      </c>
      <c r="J128" s="22">
        <v>5577.95</v>
      </c>
      <c r="K128" s="22">
        <v>46190.27</v>
      </c>
      <c r="L128" s="22">
        <v>42370.58</v>
      </c>
      <c r="M128" s="21">
        <v>8800</v>
      </c>
      <c r="N128" s="22">
        <v>4280</v>
      </c>
      <c r="O128" s="1" t="s">
        <v>41</v>
      </c>
      <c r="P128" s="1" t="s">
        <v>42</v>
      </c>
      <c r="Q128" s="15">
        <v>0</v>
      </c>
      <c r="R128" s="22">
        <f>Table1[[#This Row],[STAB]]-Table1[[#This Row],[AMOUNT]]</f>
        <v>4280</v>
      </c>
      <c r="S128" s="1">
        <v>0</v>
      </c>
      <c r="T128" s="1" t="s">
        <v>79</v>
      </c>
      <c r="U128" s="1">
        <v>0</v>
      </c>
      <c r="V128" s="1" t="s">
        <v>267</v>
      </c>
      <c r="W128" s="1" t="s">
        <v>645</v>
      </c>
      <c r="X128" s="1" t="s">
        <v>646</v>
      </c>
      <c r="Y128" s="21" t="s">
        <v>2111</v>
      </c>
      <c r="Z128" s="21" t="s">
        <v>1053</v>
      </c>
      <c r="AA128" s="21" t="s">
        <v>1099</v>
      </c>
      <c r="AB128" s="21" t="s">
        <v>1109</v>
      </c>
      <c r="AC128" s="21" t="s">
        <v>92</v>
      </c>
      <c r="AD128" s="21" t="s">
        <v>1157</v>
      </c>
      <c r="AE128" s="21" t="s">
        <v>1174</v>
      </c>
      <c r="AF128" s="21" t="s">
        <v>1165</v>
      </c>
      <c r="AG128" s="21">
        <v>801448854</v>
      </c>
      <c r="AH128" s="21" t="s">
        <v>132</v>
      </c>
      <c r="AI128" s="21" t="s">
        <v>492</v>
      </c>
      <c r="AJ128" s="21"/>
      <c r="AK128" s="28" t="s">
        <v>43</v>
      </c>
      <c r="AL128" s="21"/>
      <c r="AM128" s="21"/>
      <c r="AN128" s="21"/>
      <c r="AO128" s="23">
        <v>45843</v>
      </c>
      <c r="AP128" s="21">
        <v>6300</v>
      </c>
      <c r="AQ128" s="21" t="s">
        <v>1151</v>
      </c>
      <c r="AR128" s="21" t="s">
        <v>88</v>
      </c>
      <c r="AS128" s="21" t="s">
        <v>871</v>
      </c>
      <c r="AT128" s="24"/>
    </row>
    <row r="129" spans="1:46" x14ac:dyDescent="0.25">
      <c r="A129" s="20" t="s">
        <v>916</v>
      </c>
      <c r="B129" s="21" t="s">
        <v>962</v>
      </c>
      <c r="C129" s="1" t="s">
        <v>47</v>
      </c>
      <c r="D129" s="21">
        <v>18</v>
      </c>
      <c r="E129" s="21" t="s">
        <v>1008</v>
      </c>
      <c r="F129" s="21" t="s">
        <v>77</v>
      </c>
      <c r="G129" s="22">
        <f>Table1[[#This Row],[ENR]]-Table1[[#This Row],[CREDIT]]</f>
        <v>-160983.45000000001</v>
      </c>
      <c r="H129" s="21">
        <v>350000</v>
      </c>
      <c r="I129" s="35">
        <v>189016.55</v>
      </c>
      <c r="J129" s="22">
        <v>55727.51</v>
      </c>
      <c r="K129" s="22">
        <v>133289.04</v>
      </c>
      <c r="L129" s="22">
        <v>124523.23</v>
      </c>
      <c r="M129" s="21">
        <v>31300</v>
      </c>
      <c r="N129" s="22">
        <v>13020</v>
      </c>
      <c r="O129" s="1" t="s">
        <v>41</v>
      </c>
      <c r="P129" s="1" t="s">
        <v>42</v>
      </c>
      <c r="Q129" s="15">
        <v>0</v>
      </c>
      <c r="R129" s="22">
        <f>Table1[[#This Row],[STAB]]-Table1[[#This Row],[AMOUNT]]</f>
        <v>13020</v>
      </c>
      <c r="S129" s="1">
        <v>0</v>
      </c>
      <c r="T129" s="1" t="s">
        <v>79</v>
      </c>
      <c r="U129" s="1">
        <v>0</v>
      </c>
      <c r="V129" s="1" t="s">
        <v>267</v>
      </c>
      <c r="W129" s="1" t="s">
        <v>107</v>
      </c>
      <c r="X129" s="1" t="s">
        <v>200</v>
      </c>
      <c r="Y129" s="21" t="s">
        <v>2111</v>
      </c>
      <c r="Z129" s="21" t="s">
        <v>1054</v>
      </c>
      <c r="AA129" s="21" t="s">
        <v>1100</v>
      </c>
      <c r="AB129" s="21" t="s">
        <v>103</v>
      </c>
      <c r="AC129" s="21" t="s">
        <v>93</v>
      </c>
      <c r="AD129" s="21" t="s">
        <v>102</v>
      </c>
      <c r="AE129" s="21" t="s">
        <v>201</v>
      </c>
      <c r="AF129" s="21" t="s">
        <v>137</v>
      </c>
      <c r="AG129" s="21">
        <v>845041675</v>
      </c>
      <c r="AH129" s="21" t="s">
        <v>130</v>
      </c>
      <c r="AI129" s="21" t="s">
        <v>492</v>
      </c>
      <c r="AJ129" s="21"/>
      <c r="AK129" s="28" t="s">
        <v>43</v>
      </c>
      <c r="AL129" s="21"/>
      <c r="AM129" s="21"/>
      <c r="AN129" s="21"/>
      <c r="AO129" s="23" t="s">
        <v>78</v>
      </c>
      <c r="AP129" s="21">
        <v>0</v>
      </c>
      <c r="AQ129" s="21" t="s">
        <v>1152</v>
      </c>
      <c r="AR129" s="21" t="s">
        <v>644</v>
      </c>
      <c r="AS129" s="21" t="s">
        <v>871</v>
      </c>
      <c r="AT129" s="24"/>
    </row>
    <row r="130" spans="1:46" x14ac:dyDescent="0.25">
      <c r="A130" s="20" t="s">
        <v>917</v>
      </c>
      <c r="B130" s="21" t="s">
        <v>963</v>
      </c>
      <c r="C130" s="1" t="s">
        <v>83</v>
      </c>
      <c r="D130" s="21">
        <v>18</v>
      </c>
      <c r="E130" s="21" t="s">
        <v>1009</v>
      </c>
      <c r="F130" s="21" t="s">
        <v>77</v>
      </c>
      <c r="G130" s="22">
        <f>Table1[[#This Row],[ENR]]-Table1[[#This Row],[CREDIT]]</f>
        <v>1588962.75</v>
      </c>
      <c r="H130" s="21">
        <v>700000</v>
      </c>
      <c r="I130" s="35">
        <v>2288962.75</v>
      </c>
      <c r="J130" s="22">
        <v>1759975.61</v>
      </c>
      <c r="K130" s="22">
        <v>528987.14</v>
      </c>
      <c r="L130" s="22">
        <v>484362.61</v>
      </c>
      <c r="M130" s="21">
        <v>203140</v>
      </c>
      <c r="N130" s="22">
        <v>98620</v>
      </c>
      <c r="O130" s="1" t="s">
        <v>41</v>
      </c>
      <c r="P130" s="1" t="s">
        <v>42</v>
      </c>
      <c r="Q130" s="15">
        <v>0</v>
      </c>
      <c r="R130" s="22">
        <f>Table1[[#This Row],[STAB]]-Table1[[#This Row],[AMOUNT]]</f>
        <v>98620</v>
      </c>
      <c r="S130" s="1">
        <v>0</v>
      </c>
      <c r="T130" s="1" t="s">
        <v>79</v>
      </c>
      <c r="U130" s="1">
        <v>0</v>
      </c>
      <c r="V130" s="1" t="s">
        <v>267</v>
      </c>
      <c r="W130" s="1" t="s">
        <v>645</v>
      </c>
      <c r="X130" s="1" t="s">
        <v>646</v>
      </c>
      <c r="Y130" s="21" t="s">
        <v>2111</v>
      </c>
      <c r="Z130" s="21" t="s">
        <v>1055</v>
      </c>
      <c r="AA130" s="21" t="s">
        <v>1101</v>
      </c>
      <c r="AB130" s="21" t="s">
        <v>628</v>
      </c>
      <c r="AC130" s="21" t="s">
        <v>662</v>
      </c>
      <c r="AD130" s="21" t="s">
        <v>626</v>
      </c>
      <c r="AE130" s="21"/>
      <c r="AF130" s="21" t="s">
        <v>151</v>
      </c>
      <c r="AG130" s="21">
        <v>801723195</v>
      </c>
      <c r="AH130" s="21" t="s">
        <v>132</v>
      </c>
      <c r="AI130" s="21" t="s">
        <v>492</v>
      </c>
      <c r="AJ130" s="21"/>
      <c r="AK130" s="28" t="s">
        <v>43</v>
      </c>
      <c r="AL130" s="21"/>
      <c r="AM130" s="21"/>
      <c r="AN130" s="21"/>
      <c r="AO130" s="23">
        <v>46301</v>
      </c>
      <c r="AP130" s="21">
        <v>69860</v>
      </c>
      <c r="AQ130" s="21" t="s">
        <v>1153</v>
      </c>
      <c r="AR130" s="21" t="s">
        <v>88</v>
      </c>
      <c r="AS130" s="21" t="s">
        <v>871</v>
      </c>
      <c r="AT130" s="24"/>
    </row>
    <row r="131" spans="1:46" x14ac:dyDescent="0.25">
      <c r="A131" s="20" t="s">
        <v>918</v>
      </c>
      <c r="B131" s="21" t="s">
        <v>964</v>
      </c>
      <c r="C131" s="1" t="s">
        <v>47</v>
      </c>
      <c r="D131" s="21">
        <v>18</v>
      </c>
      <c r="E131" s="21" t="s">
        <v>1010</v>
      </c>
      <c r="F131" s="21" t="s">
        <v>77</v>
      </c>
      <c r="G131" s="22">
        <f>Table1[[#This Row],[ENR]]-Table1[[#This Row],[CREDIT]]</f>
        <v>-103097.60000000001</v>
      </c>
      <c r="H131" s="21">
        <v>160000</v>
      </c>
      <c r="I131" s="35">
        <v>56902.400000000001</v>
      </c>
      <c r="J131" s="22" t="s">
        <v>78</v>
      </c>
      <c r="K131" s="22">
        <v>56902.400000000001</v>
      </c>
      <c r="L131" s="22">
        <v>52350.43</v>
      </c>
      <c r="M131" s="21">
        <v>7220</v>
      </c>
      <c r="N131" s="22">
        <v>2610</v>
      </c>
      <c r="O131" s="1" t="s">
        <v>41</v>
      </c>
      <c r="P131" s="1" t="s">
        <v>42</v>
      </c>
      <c r="Q131" s="15">
        <v>0</v>
      </c>
      <c r="R131" s="22">
        <f>Table1[[#This Row],[STAB]]-Table1[[#This Row],[AMOUNT]]</f>
        <v>2610</v>
      </c>
      <c r="S131" s="1">
        <v>0</v>
      </c>
      <c r="T131" s="1" t="s">
        <v>79</v>
      </c>
      <c r="U131" s="1">
        <v>0</v>
      </c>
      <c r="V131" s="1" t="s">
        <v>267</v>
      </c>
      <c r="W131" s="1" t="s">
        <v>645</v>
      </c>
      <c r="X131" s="1" t="s">
        <v>646</v>
      </c>
      <c r="Y131" s="21" t="s">
        <v>2111</v>
      </c>
      <c r="Z131" s="21" t="s">
        <v>1056</v>
      </c>
      <c r="AA131" s="21" t="s">
        <v>1102</v>
      </c>
      <c r="AB131" s="21" t="s">
        <v>71</v>
      </c>
      <c r="AC131" s="21" t="s">
        <v>92</v>
      </c>
      <c r="AD131" s="21" t="s">
        <v>95</v>
      </c>
      <c r="AE131" s="21" t="s">
        <v>190</v>
      </c>
      <c r="AF131" s="21" t="s">
        <v>134</v>
      </c>
      <c r="AG131" s="21">
        <v>801436997</v>
      </c>
      <c r="AH131" s="21" t="s">
        <v>130</v>
      </c>
      <c r="AI131" s="21" t="s">
        <v>492</v>
      </c>
      <c r="AJ131" s="21"/>
      <c r="AK131" s="28" t="s">
        <v>447</v>
      </c>
      <c r="AL131" s="21" t="s">
        <v>463</v>
      </c>
      <c r="AM131" s="21" t="s">
        <v>1929</v>
      </c>
      <c r="AN131" s="21" t="s">
        <v>1927</v>
      </c>
      <c r="AO131" s="23" t="s">
        <v>78</v>
      </c>
      <c r="AP131" s="21">
        <v>0</v>
      </c>
      <c r="AQ131" s="21" t="s">
        <v>1154</v>
      </c>
      <c r="AR131" s="21" t="s">
        <v>88</v>
      </c>
      <c r="AS131" s="21" t="s">
        <v>871</v>
      </c>
      <c r="AT131" s="24"/>
    </row>
    <row r="132" spans="1:46" x14ac:dyDescent="0.25">
      <c r="A132" s="54" t="s">
        <v>919</v>
      </c>
      <c r="B132" s="28" t="s">
        <v>965</v>
      </c>
      <c r="C132" s="1" t="s">
        <v>47</v>
      </c>
      <c r="D132" s="28">
        <v>18</v>
      </c>
      <c r="E132" s="28" t="s">
        <v>1011</v>
      </c>
      <c r="F132" s="28" t="s">
        <v>77</v>
      </c>
      <c r="G132" s="55">
        <f>Table1[[#This Row],[ENR]]-Table1[[#This Row],[CREDIT]]</f>
        <v>-246141.56</v>
      </c>
      <c r="H132" s="28">
        <v>290000</v>
      </c>
      <c r="I132" s="56">
        <v>43858.44</v>
      </c>
      <c r="J132" s="55" t="s">
        <v>78</v>
      </c>
      <c r="K132" s="55">
        <v>43858.44</v>
      </c>
      <c r="L132" s="55">
        <v>40000</v>
      </c>
      <c r="M132" s="28">
        <v>7760</v>
      </c>
      <c r="N132" s="55">
        <v>2000</v>
      </c>
      <c r="O132" s="1" t="s">
        <v>41</v>
      </c>
      <c r="P132" s="1" t="s">
        <v>42</v>
      </c>
      <c r="Q132" s="15">
        <v>0</v>
      </c>
      <c r="R132" s="55">
        <f>Table1[[#This Row],[STAB]]-Table1[[#This Row],[AMOUNT]]</f>
        <v>2000</v>
      </c>
      <c r="S132" s="1">
        <v>0</v>
      </c>
      <c r="T132" s="1" t="s">
        <v>79</v>
      </c>
      <c r="U132" s="1">
        <v>0</v>
      </c>
      <c r="V132" s="1" t="s">
        <v>267</v>
      </c>
      <c r="W132" s="1" t="s">
        <v>266</v>
      </c>
      <c r="X132" s="1" t="s">
        <v>268</v>
      </c>
      <c r="Y132" s="21" t="s">
        <v>2111</v>
      </c>
      <c r="Z132" s="28" t="s">
        <v>1057</v>
      </c>
      <c r="AA132" s="28" t="s">
        <v>1103</v>
      </c>
      <c r="AB132" s="28" t="s">
        <v>72</v>
      </c>
      <c r="AC132" s="28" t="s">
        <v>91</v>
      </c>
      <c r="AD132" s="28" t="s">
        <v>451</v>
      </c>
      <c r="AE132" s="21" t="s">
        <v>452</v>
      </c>
      <c r="AF132" s="28" t="s">
        <v>453</v>
      </c>
      <c r="AG132" s="28">
        <v>802293984</v>
      </c>
      <c r="AH132" s="28" t="s">
        <v>132</v>
      </c>
      <c r="AI132" s="21" t="s">
        <v>492</v>
      </c>
      <c r="AJ132" s="28"/>
      <c r="AK132" s="28" t="s">
        <v>447</v>
      </c>
      <c r="AL132" s="28" t="s">
        <v>458</v>
      </c>
      <c r="AM132" s="28" t="s">
        <v>1931</v>
      </c>
      <c r="AN132" s="28" t="s">
        <v>1927</v>
      </c>
      <c r="AO132" s="57">
        <v>45540</v>
      </c>
      <c r="AP132" s="28">
        <v>98524.98</v>
      </c>
      <c r="AQ132" s="28" t="s">
        <v>1155</v>
      </c>
      <c r="AR132" s="28" t="s">
        <v>1156</v>
      </c>
      <c r="AS132" s="21" t="s">
        <v>871</v>
      </c>
      <c r="AT132" s="58"/>
    </row>
    <row r="133" spans="1:46" x14ac:dyDescent="0.25">
      <c r="A133" s="20" t="s">
        <v>1183</v>
      </c>
      <c r="B133" s="21" t="s">
        <v>1303</v>
      </c>
      <c r="C133" s="1" t="s">
        <v>47</v>
      </c>
      <c r="D133" s="21">
        <v>20</v>
      </c>
      <c r="E133" s="21" t="s">
        <v>1423</v>
      </c>
      <c r="F133" s="21" t="s">
        <v>77</v>
      </c>
      <c r="G133" s="22">
        <f>Table1[[#This Row],[ENR]]-Table1[[#This Row],[CREDIT]]</f>
        <v>3412.880000000001</v>
      </c>
      <c r="H133" s="21">
        <v>25000</v>
      </c>
      <c r="I133" s="35">
        <v>28412.880000000001</v>
      </c>
      <c r="J133" s="22" t="s">
        <v>78</v>
      </c>
      <c r="K133" s="22">
        <v>28412.880000000001</v>
      </c>
      <c r="L133" s="22">
        <v>23916.45</v>
      </c>
      <c r="M133" s="21">
        <v>9230</v>
      </c>
      <c r="N133" s="22">
        <v>3450</v>
      </c>
      <c r="O133" s="1" t="s">
        <v>49</v>
      </c>
      <c r="P133" s="1" t="s">
        <v>12</v>
      </c>
      <c r="Q133" s="15">
        <v>0</v>
      </c>
      <c r="R133" s="22">
        <f>Table1[[#This Row],[STAB]]-Table1[[#This Row],[AMOUNT]]</f>
        <v>3450</v>
      </c>
      <c r="S133" s="1" t="s">
        <v>2115</v>
      </c>
      <c r="T133" s="1" t="s">
        <v>673</v>
      </c>
      <c r="U133" s="1">
        <v>0</v>
      </c>
      <c r="V133" s="1" t="s">
        <v>267</v>
      </c>
      <c r="W133" s="1" t="s">
        <v>266</v>
      </c>
      <c r="X133" s="1" t="s">
        <v>268</v>
      </c>
      <c r="Y133" s="21" t="s">
        <v>2111</v>
      </c>
      <c r="Z133" s="21" t="s">
        <v>1545</v>
      </c>
      <c r="AA133" s="21" t="s">
        <v>1665</v>
      </c>
      <c r="AB133" s="21" t="s">
        <v>176</v>
      </c>
      <c r="AC133" s="21" t="s">
        <v>91</v>
      </c>
      <c r="AD133" s="21" t="s">
        <v>872</v>
      </c>
      <c r="AE133" s="21" t="s">
        <v>873</v>
      </c>
      <c r="AF133" s="21" t="s">
        <v>261</v>
      </c>
      <c r="AG133" s="21">
        <v>803037151</v>
      </c>
      <c r="AH133" s="21" t="s">
        <v>131</v>
      </c>
      <c r="AI133" s="21" t="s">
        <v>492</v>
      </c>
      <c r="AJ133" s="21"/>
      <c r="AK133" s="28" t="s">
        <v>447</v>
      </c>
      <c r="AL133" s="21" t="s">
        <v>458</v>
      </c>
      <c r="AM133" s="21" t="s">
        <v>1936</v>
      </c>
      <c r="AN133" s="21" t="s">
        <v>1927</v>
      </c>
      <c r="AO133" s="23">
        <v>45450</v>
      </c>
      <c r="AP133" s="21">
        <v>5000</v>
      </c>
      <c r="AQ133" s="21" t="s">
        <v>1789</v>
      </c>
      <c r="AR133" s="21" t="s">
        <v>177</v>
      </c>
      <c r="AS133" s="21" t="s">
        <v>1914</v>
      </c>
      <c r="AT133" s="24"/>
    </row>
    <row r="134" spans="1:46" x14ac:dyDescent="0.25">
      <c r="A134" s="20" t="s">
        <v>1184</v>
      </c>
      <c r="B134" s="21" t="s">
        <v>1304</v>
      </c>
      <c r="C134" s="1" t="s">
        <v>83</v>
      </c>
      <c r="D134" s="21">
        <v>20</v>
      </c>
      <c r="E134" s="21" t="s">
        <v>1424</v>
      </c>
      <c r="F134" s="21" t="s">
        <v>77</v>
      </c>
      <c r="G134" s="22">
        <f>Table1[[#This Row],[ENR]]-Table1[[#This Row],[CREDIT]]</f>
        <v>-7810.369999999999</v>
      </c>
      <c r="H134" s="21">
        <v>40000</v>
      </c>
      <c r="I134" s="35">
        <v>32189.63</v>
      </c>
      <c r="J134" s="22" t="s">
        <v>78</v>
      </c>
      <c r="K134" s="22">
        <v>32189.63</v>
      </c>
      <c r="L134" s="22">
        <v>28655.68</v>
      </c>
      <c r="M134" s="21">
        <v>7970</v>
      </c>
      <c r="N134" s="22">
        <v>4040</v>
      </c>
      <c r="O134" s="1" t="s">
        <v>41</v>
      </c>
      <c r="P134" s="1" t="s">
        <v>42</v>
      </c>
      <c r="Q134" s="15">
        <v>0</v>
      </c>
      <c r="R134" s="22">
        <f>Table1[[#This Row],[STAB]]-Table1[[#This Row],[AMOUNT]]</f>
        <v>4040</v>
      </c>
      <c r="S134" s="1">
        <v>0</v>
      </c>
      <c r="T134" s="1" t="s">
        <v>79</v>
      </c>
      <c r="U134" s="1">
        <v>0</v>
      </c>
      <c r="V134" s="1" t="s">
        <v>267</v>
      </c>
      <c r="W134" s="1" t="s">
        <v>107</v>
      </c>
      <c r="X134" s="1" t="s">
        <v>200</v>
      </c>
      <c r="Y134" s="21" t="s">
        <v>2111</v>
      </c>
      <c r="Z134" s="21" t="s">
        <v>1546</v>
      </c>
      <c r="AA134" s="21" t="s">
        <v>1666</v>
      </c>
      <c r="AB134" s="21" t="s">
        <v>224</v>
      </c>
      <c r="AC134" s="21" t="s">
        <v>93</v>
      </c>
      <c r="AD134" s="21" t="s">
        <v>459</v>
      </c>
      <c r="AE134" s="21" t="s">
        <v>226</v>
      </c>
      <c r="AF134" s="21" t="s">
        <v>225</v>
      </c>
      <c r="AG134" s="21">
        <v>802388289</v>
      </c>
      <c r="AH134" s="21" t="s">
        <v>130</v>
      </c>
      <c r="AI134" s="21" t="s">
        <v>492</v>
      </c>
      <c r="AJ134" s="21"/>
      <c r="AK134" s="28" t="s">
        <v>43</v>
      </c>
      <c r="AL134" s="21"/>
      <c r="AM134" s="21"/>
      <c r="AN134" s="21"/>
      <c r="AO134" s="23">
        <v>45581</v>
      </c>
      <c r="AP134" s="21">
        <v>2480</v>
      </c>
      <c r="AQ134" s="21" t="s">
        <v>1790</v>
      </c>
      <c r="AR134" s="21" t="s">
        <v>112</v>
      </c>
      <c r="AS134" s="21" t="s">
        <v>1914</v>
      </c>
      <c r="AT134" s="24"/>
    </row>
    <row r="135" spans="1:46" x14ac:dyDescent="0.25">
      <c r="A135" s="20" t="s">
        <v>1185</v>
      </c>
      <c r="B135" s="21" t="s">
        <v>1305</v>
      </c>
      <c r="C135" s="1" t="s">
        <v>47</v>
      </c>
      <c r="D135" s="21">
        <v>20</v>
      </c>
      <c r="E135" s="21" t="s">
        <v>1425</v>
      </c>
      <c r="F135" s="21" t="s">
        <v>77</v>
      </c>
      <c r="G135" s="22">
        <f>Table1[[#This Row],[ENR]]-Table1[[#This Row],[CREDIT]]</f>
        <v>678.79000000000815</v>
      </c>
      <c r="H135" s="21">
        <v>210000</v>
      </c>
      <c r="I135" s="35">
        <v>210678.79</v>
      </c>
      <c r="J135" s="22">
        <v>162110.29999999999</v>
      </c>
      <c r="K135" s="22">
        <v>48568.49</v>
      </c>
      <c r="L135" s="22">
        <v>42031.87</v>
      </c>
      <c r="M135" s="21">
        <v>36630</v>
      </c>
      <c r="N135" s="22">
        <v>17770</v>
      </c>
      <c r="O135" s="1" t="s">
        <v>49</v>
      </c>
      <c r="P135" s="1" t="s">
        <v>12</v>
      </c>
      <c r="Q135" s="15">
        <v>36630</v>
      </c>
      <c r="R135" s="22">
        <f>Table1[[#This Row],[STAB]]-Table1[[#This Row],[AMOUNT]]</f>
        <v>-18860</v>
      </c>
      <c r="S135" s="1">
        <v>0</v>
      </c>
      <c r="T135" s="1" t="s">
        <v>79</v>
      </c>
      <c r="U135" s="1">
        <v>0</v>
      </c>
      <c r="V135" s="1" t="s">
        <v>267</v>
      </c>
      <c r="W135" s="1" t="s">
        <v>107</v>
      </c>
      <c r="X135" s="1" t="s">
        <v>200</v>
      </c>
      <c r="Y135" s="21" t="s">
        <v>2111</v>
      </c>
      <c r="Z135" s="21" t="s">
        <v>1547</v>
      </c>
      <c r="AA135" s="21" t="s">
        <v>1667</v>
      </c>
      <c r="AB135" s="21" t="s">
        <v>138</v>
      </c>
      <c r="AC135" s="21" t="s">
        <v>93</v>
      </c>
      <c r="AD135" s="21" t="s">
        <v>139</v>
      </c>
      <c r="AE135" s="21" t="s">
        <v>202</v>
      </c>
      <c r="AF135" s="21" t="s">
        <v>490</v>
      </c>
      <c r="AG135" s="21">
        <v>802823528</v>
      </c>
      <c r="AH135" s="21" t="s">
        <v>488</v>
      </c>
      <c r="AI135" s="21" t="s">
        <v>492</v>
      </c>
      <c r="AJ135" s="21"/>
      <c r="AK135" s="28" t="s">
        <v>447</v>
      </c>
      <c r="AL135" s="21"/>
      <c r="AM135" s="21"/>
      <c r="AN135" s="21"/>
      <c r="AO135" s="23">
        <v>46311</v>
      </c>
      <c r="AP135" s="21">
        <v>32050</v>
      </c>
      <c r="AQ135" s="21" t="s">
        <v>1791</v>
      </c>
      <c r="AR135" s="21" t="s">
        <v>1156</v>
      </c>
      <c r="AS135" s="21" t="s">
        <v>1914</v>
      </c>
      <c r="AT135" s="24"/>
    </row>
    <row r="136" spans="1:46" x14ac:dyDescent="0.25">
      <c r="A136" s="20" t="s">
        <v>1186</v>
      </c>
      <c r="B136" s="21" t="s">
        <v>1306</v>
      </c>
      <c r="C136" s="1" t="s">
        <v>47</v>
      </c>
      <c r="D136" s="21">
        <v>20</v>
      </c>
      <c r="E136" s="21" t="s">
        <v>1426</v>
      </c>
      <c r="F136" s="21" t="s">
        <v>77</v>
      </c>
      <c r="G136" s="22">
        <f>Table1[[#This Row],[ENR]]-Table1[[#This Row],[CREDIT]]</f>
        <v>-4754.82</v>
      </c>
      <c r="H136" s="21">
        <v>40000</v>
      </c>
      <c r="I136" s="35">
        <v>35245.18</v>
      </c>
      <c r="J136" s="22" t="s">
        <v>78</v>
      </c>
      <c r="K136" s="22">
        <v>35245.18</v>
      </c>
      <c r="L136" s="22">
        <v>29882.06</v>
      </c>
      <c r="M136" s="21">
        <v>7210</v>
      </c>
      <c r="N136" s="22">
        <v>3070</v>
      </c>
      <c r="O136" s="1" t="s">
        <v>49</v>
      </c>
      <c r="P136" s="1" t="s">
        <v>12</v>
      </c>
      <c r="Q136" s="15">
        <v>8000</v>
      </c>
      <c r="R136" s="22">
        <f>Table1[[#This Row],[STAB]]-Table1[[#This Row],[AMOUNT]]</f>
        <v>-4930</v>
      </c>
      <c r="S136" s="1">
        <v>0</v>
      </c>
      <c r="T136" s="1" t="s">
        <v>79</v>
      </c>
      <c r="U136" s="1">
        <v>0</v>
      </c>
      <c r="V136" s="1" t="s">
        <v>267</v>
      </c>
      <c r="W136" s="1" t="s">
        <v>645</v>
      </c>
      <c r="X136" s="1" t="s">
        <v>646</v>
      </c>
      <c r="Y136" s="21" t="s">
        <v>2111</v>
      </c>
      <c r="Z136" s="21" t="s">
        <v>1548</v>
      </c>
      <c r="AA136" s="21" t="s">
        <v>1668</v>
      </c>
      <c r="AB136" s="21" t="s">
        <v>433</v>
      </c>
      <c r="AC136" s="21" t="s">
        <v>443</v>
      </c>
      <c r="AD136" s="21" t="s">
        <v>75</v>
      </c>
      <c r="AE136" s="21" t="s">
        <v>441</v>
      </c>
      <c r="AF136" s="21" t="s">
        <v>442</v>
      </c>
      <c r="AG136" s="21">
        <v>802789320</v>
      </c>
      <c r="AH136" s="21" t="s">
        <v>130</v>
      </c>
      <c r="AI136" s="21" t="s">
        <v>492</v>
      </c>
      <c r="AJ136" s="21"/>
      <c r="AK136" s="28" t="s">
        <v>447</v>
      </c>
      <c r="AL136" s="21" t="s">
        <v>458</v>
      </c>
      <c r="AM136" s="21" t="s">
        <v>1955</v>
      </c>
      <c r="AN136" s="21" t="s">
        <v>1956</v>
      </c>
      <c r="AO136" s="23">
        <v>45401</v>
      </c>
      <c r="AP136" s="21">
        <v>19693</v>
      </c>
      <c r="AQ136" s="21" t="s">
        <v>1792</v>
      </c>
      <c r="AR136" s="21" t="s">
        <v>1910</v>
      </c>
      <c r="AS136" s="21" t="s">
        <v>1914</v>
      </c>
      <c r="AT136" s="24"/>
    </row>
    <row r="137" spans="1:46" x14ac:dyDescent="0.25">
      <c r="A137" s="20" t="s">
        <v>1187</v>
      </c>
      <c r="B137" s="21" t="s">
        <v>1307</v>
      </c>
      <c r="C137" s="1" t="s">
        <v>47</v>
      </c>
      <c r="D137" s="21">
        <v>20</v>
      </c>
      <c r="E137" s="21" t="s">
        <v>1427</v>
      </c>
      <c r="F137" s="21" t="s">
        <v>77</v>
      </c>
      <c r="G137" s="22">
        <f>Table1[[#This Row],[ENR]]-Table1[[#This Row],[CREDIT]]</f>
        <v>-2606.9800000000032</v>
      </c>
      <c r="H137" s="21">
        <v>40000</v>
      </c>
      <c r="I137" s="35">
        <v>37393.019999999997</v>
      </c>
      <c r="J137" s="22" t="s">
        <v>78</v>
      </c>
      <c r="K137" s="22">
        <v>37393.019999999997</v>
      </c>
      <c r="L137" s="22">
        <v>31890.86</v>
      </c>
      <c r="M137" s="21">
        <v>7490</v>
      </c>
      <c r="N137" s="22">
        <v>3170</v>
      </c>
      <c r="O137" s="1" t="s">
        <v>41</v>
      </c>
      <c r="P137" s="1" t="s">
        <v>42</v>
      </c>
      <c r="Q137" s="15">
        <v>0</v>
      </c>
      <c r="R137" s="22">
        <f>Table1[[#This Row],[STAB]]-Table1[[#This Row],[AMOUNT]]</f>
        <v>3170</v>
      </c>
      <c r="S137" s="1">
        <v>0</v>
      </c>
      <c r="T137" s="1" t="s">
        <v>79</v>
      </c>
      <c r="U137" s="1">
        <v>0</v>
      </c>
      <c r="V137" s="1" t="s">
        <v>267</v>
      </c>
      <c r="W137" s="1" t="s">
        <v>266</v>
      </c>
      <c r="X137" s="1" t="s">
        <v>268</v>
      </c>
      <c r="Y137" s="21" t="s">
        <v>2111</v>
      </c>
      <c r="Z137" s="21" t="s">
        <v>1549</v>
      </c>
      <c r="AA137" s="21" t="s">
        <v>1669</v>
      </c>
      <c r="AB137" s="21" t="s">
        <v>80</v>
      </c>
      <c r="AC137" s="21" t="s">
        <v>91</v>
      </c>
      <c r="AD137" s="21" t="s">
        <v>99</v>
      </c>
      <c r="AE137" s="21" t="s">
        <v>449</v>
      </c>
      <c r="AF137" s="21" t="s">
        <v>450</v>
      </c>
      <c r="AG137" s="21">
        <v>802898520</v>
      </c>
      <c r="AH137" s="21" t="s">
        <v>130</v>
      </c>
      <c r="AI137" s="21" t="s">
        <v>492</v>
      </c>
      <c r="AJ137" s="21"/>
      <c r="AK137" s="28" t="s">
        <v>447</v>
      </c>
      <c r="AL137" s="21" t="s">
        <v>456</v>
      </c>
      <c r="AM137" s="21" t="s">
        <v>2102</v>
      </c>
      <c r="AN137" s="21" t="s">
        <v>2093</v>
      </c>
      <c r="AO137" s="23" t="s">
        <v>78</v>
      </c>
      <c r="AP137" s="21">
        <v>0</v>
      </c>
      <c r="AQ137" s="21" t="s">
        <v>1793</v>
      </c>
      <c r="AR137" s="21" t="s">
        <v>1156</v>
      </c>
      <c r="AS137" s="21" t="s">
        <v>1914</v>
      </c>
      <c r="AT137" s="24"/>
    </row>
    <row r="138" spans="1:46" x14ac:dyDescent="0.25">
      <c r="A138" s="20" t="s">
        <v>1188</v>
      </c>
      <c r="B138" s="21" t="s">
        <v>1308</v>
      </c>
      <c r="C138" s="1" t="s">
        <v>47</v>
      </c>
      <c r="D138" s="21">
        <v>20</v>
      </c>
      <c r="E138" s="21" t="s">
        <v>1428</v>
      </c>
      <c r="F138" s="21" t="s">
        <v>77</v>
      </c>
      <c r="G138" s="22">
        <f>Table1[[#This Row],[ENR]]-Table1[[#This Row],[CREDIT]]</f>
        <v>-41748.6</v>
      </c>
      <c r="H138" s="21">
        <v>80000</v>
      </c>
      <c r="I138" s="35">
        <v>38251.4</v>
      </c>
      <c r="J138" s="22" t="s">
        <v>78</v>
      </c>
      <c r="K138" s="22">
        <v>38251.4</v>
      </c>
      <c r="L138" s="22">
        <v>35058.83</v>
      </c>
      <c r="M138" s="21">
        <v>17570</v>
      </c>
      <c r="N138" s="22">
        <v>13480</v>
      </c>
      <c r="O138" s="1" t="s">
        <v>41</v>
      </c>
      <c r="P138" s="1" t="s">
        <v>42</v>
      </c>
      <c r="Q138" s="15">
        <v>0</v>
      </c>
      <c r="R138" s="22">
        <f>Table1[[#This Row],[STAB]]-Table1[[#This Row],[AMOUNT]]</f>
        <v>13480</v>
      </c>
      <c r="S138" s="1">
        <v>0</v>
      </c>
      <c r="T138" s="1" t="s">
        <v>79</v>
      </c>
      <c r="U138" s="1">
        <v>0</v>
      </c>
      <c r="V138" s="1" t="s">
        <v>267</v>
      </c>
      <c r="W138" s="1" t="s">
        <v>107</v>
      </c>
      <c r="X138" s="1" t="s">
        <v>200</v>
      </c>
      <c r="Y138" s="21" t="s">
        <v>2111</v>
      </c>
      <c r="Z138" s="21" t="s">
        <v>1550</v>
      </c>
      <c r="AA138" s="21" t="s">
        <v>1670</v>
      </c>
      <c r="AB138" s="21" t="s">
        <v>434</v>
      </c>
      <c r="AC138" s="21" t="s">
        <v>93</v>
      </c>
      <c r="AD138" s="21" t="s">
        <v>460</v>
      </c>
      <c r="AE138" s="21" t="s">
        <v>444</v>
      </c>
      <c r="AF138" s="21" t="s">
        <v>181</v>
      </c>
      <c r="AG138" s="21">
        <v>802823180</v>
      </c>
      <c r="AH138" s="21" t="s">
        <v>132</v>
      </c>
      <c r="AI138" s="21" t="s">
        <v>492</v>
      </c>
      <c r="AJ138" s="21"/>
      <c r="AK138" s="28" t="s">
        <v>43</v>
      </c>
      <c r="AL138" s="21"/>
      <c r="AM138" s="21"/>
      <c r="AN138" s="21"/>
      <c r="AO138" s="23">
        <v>45295</v>
      </c>
      <c r="AP138" s="21">
        <v>6176.24</v>
      </c>
      <c r="AQ138" s="21" t="s">
        <v>1794</v>
      </c>
      <c r="AR138" s="21" t="s">
        <v>1156</v>
      </c>
      <c r="AS138" s="21" t="s">
        <v>1914</v>
      </c>
      <c r="AT138" s="24"/>
    </row>
    <row r="139" spans="1:46" x14ac:dyDescent="0.25">
      <c r="A139" s="20" t="s">
        <v>1189</v>
      </c>
      <c r="B139" s="21" t="s">
        <v>1309</v>
      </c>
      <c r="C139" s="1" t="s">
        <v>83</v>
      </c>
      <c r="D139" s="21">
        <v>20</v>
      </c>
      <c r="E139" s="21" t="s">
        <v>1429</v>
      </c>
      <c r="F139" s="21" t="s">
        <v>77</v>
      </c>
      <c r="G139" s="22">
        <f>Table1[[#This Row],[ENR]]-Table1[[#This Row],[CREDIT]]</f>
        <v>-7563.5999999999985</v>
      </c>
      <c r="H139" s="21">
        <v>50000</v>
      </c>
      <c r="I139" s="35">
        <v>42436.4</v>
      </c>
      <c r="J139" s="22" t="s">
        <v>78</v>
      </c>
      <c r="K139" s="22">
        <v>42436.4</v>
      </c>
      <c r="L139" s="22">
        <v>39299.379999999997</v>
      </c>
      <c r="M139" s="21">
        <v>12120</v>
      </c>
      <c r="N139" s="22">
        <v>5750</v>
      </c>
      <c r="O139" s="1" t="s">
        <v>49</v>
      </c>
      <c r="P139" s="1" t="s">
        <v>13</v>
      </c>
      <c r="Q139" s="15">
        <v>6000</v>
      </c>
      <c r="R139" s="22">
        <f>Table1[[#This Row],[STAB]]-Table1[[#This Row],[AMOUNT]]</f>
        <v>-250</v>
      </c>
      <c r="S139" s="1" t="s">
        <v>2093</v>
      </c>
      <c r="T139" s="1" t="s">
        <v>446</v>
      </c>
      <c r="U139" s="1">
        <v>0</v>
      </c>
      <c r="V139" s="1" t="s">
        <v>267</v>
      </c>
      <c r="W139" s="1" t="s">
        <v>265</v>
      </c>
      <c r="X139" s="1" t="s">
        <v>269</v>
      </c>
      <c r="Y139" s="21" t="s">
        <v>2111</v>
      </c>
      <c r="Z139" s="21" t="s">
        <v>1551</v>
      </c>
      <c r="AA139" s="21" t="s">
        <v>1671</v>
      </c>
      <c r="AB139" s="21" t="s">
        <v>224</v>
      </c>
      <c r="AC139" s="21" t="s">
        <v>252</v>
      </c>
      <c r="AD139" s="21" t="s">
        <v>253</v>
      </c>
      <c r="AE139" s="21" t="s">
        <v>255</v>
      </c>
      <c r="AF139" s="21" t="s">
        <v>151</v>
      </c>
      <c r="AG139" s="21">
        <v>801723195</v>
      </c>
      <c r="AH139" s="21" t="s">
        <v>132</v>
      </c>
      <c r="AI139" s="21" t="s">
        <v>492</v>
      </c>
      <c r="AJ139" s="21"/>
      <c r="AK139" s="28" t="s">
        <v>447</v>
      </c>
      <c r="AL139" s="21"/>
      <c r="AM139" s="21"/>
      <c r="AN139" s="21"/>
      <c r="AO139" s="23">
        <v>45733</v>
      </c>
      <c r="AP139" s="21">
        <v>3200</v>
      </c>
      <c r="AQ139" s="21" t="s">
        <v>1795</v>
      </c>
      <c r="AR139" s="21" t="s">
        <v>88</v>
      </c>
      <c r="AS139" s="21" t="s">
        <v>1914</v>
      </c>
      <c r="AT139" s="24"/>
    </row>
    <row r="140" spans="1:46" x14ac:dyDescent="0.25">
      <c r="A140" s="20" t="s">
        <v>1190</v>
      </c>
      <c r="B140" s="21" t="s">
        <v>1310</v>
      </c>
      <c r="C140" s="1" t="s">
        <v>47</v>
      </c>
      <c r="D140" s="21">
        <v>20</v>
      </c>
      <c r="E140" s="21" t="s">
        <v>1430</v>
      </c>
      <c r="F140" s="21" t="s">
        <v>77</v>
      </c>
      <c r="G140" s="22">
        <f>Table1[[#This Row],[ENR]]-Table1[[#This Row],[CREDIT]]</f>
        <v>730.55000000000291</v>
      </c>
      <c r="H140" s="21">
        <v>50000</v>
      </c>
      <c r="I140" s="35">
        <v>50730.55</v>
      </c>
      <c r="J140" s="22">
        <v>9992.58</v>
      </c>
      <c r="K140" s="22">
        <v>40737.97</v>
      </c>
      <c r="L140" s="22">
        <v>38641.14</v>
      </c>
      <c r="M140" s="21">
        <v>9800</v>
      </c>
      <c r="N140" s="22">
        <v>4469.8999999999996</v>
      </c>
      <c r="O140" s="1" t="s">
        <v>41</v>
      </c>
      <c r="P140" s="1" t="s">
        <v>42</v>
      </c>
      <c r="Q140" s="15">
        <v>0</v>
      </c>
      <c r="R140" s="22">
        <f>Table1[[#This Row],[STAB]]-Table1[[#This Row],[AMOUNT]]</f>
        <v>4469.8999999999996</v>
      </c>
      <c r="S140" s="1">
        <v>0</v>
      </c>
      <c r="T140" s="1" t="s">
        <v>79</v>
      </c>
      <c r="U140" s="1">
        <v>0</v>
      </c>
      <c r="V140" s="1" t="s">
        <v>267</v>
      </c>
      <c r="W140" s="1" t="s">
        <v>645</v>
      </c>
      <c r="X140" s="1" t="s">
        <v>646</v>
      </c>
      <c r="Y140" s="21" t="s">
        <v>2111</v>
      </c>
      <c r="Z140" s="21" t="s">
        <v>1552</v>
      </c>
      <c r="AA140" s="21" t="s">
        <v>1672</v>
      </c>
      <c r="AB140" s="21" t="s">
        <v>435</v>
      </c>
      <c r="AC140" s="21" t="s">
        <v>443</v>
      </c>
      <c r="AD140" s="21" t="s">
        <v>75</v>
      </c>
      <c r="AE140" s="21" t="s">
        <v>441</v>
      </c>
      <c r="AF140" s="21" t="s">
        <v>442</v>
      </c>
      <c r="AG140" s="21">
        <v>802789320</v>
      </c>
      <c r="AH140" s="21" t="s">
        <v>130</v>
      </c>
      <c r="AI140" s="21" t="s">
        <v>492</v>
      </c>
      <c r="AJ140" s="21"/>
      <c r="AK140" s="28" t="s">
        <v>43</v>
      </c>
      <c r="AL140" s="21"/>
      <c r="AM140" s="21"/>
      <c r="AN140" s="21"/>
      <c r="AO140" s="23">
        <v>46295</v>
      </c>
      <c r="AP140" s="21">
        <v>9740.1</v>
      </c>
      <c r="AQ140" s="21" t="s">
        <v>1796</v>
      </c>
      <c r="AR140" s="21" t="s">
        <v>106</v>
      </c>
      <c r="AS140" s="21" t="s">
        <v>1914</v>
      </c>
      <c r="AT140" s="24"/>
    </row>
    <row r="141" spans="1:46" x14ac:dyDescent="0.25">
      <c r="A141" s="20" t="s">
        <v>1191</v>
      </c>
      <c r="B141" s="21" t="s">
        <v>1311</v>
      </c>
      <c r="C141" s="1" t="s">
        <v>47</v>
      </c>
      <c r="D141" s="21">
        <v>20</v>
      </c>
      <c r="E141" s="21" t="s">
        <v>1431</v>
      </c>
      <c r="F141" s="21" t="s">
        <v>77</v>
      </c>
      <c r="G141" s="22">
        <f>Table1[[#This Row],[ENR]]-Table1[[#This Row],[CREDIT]]</f>
        <v>3076.6199999999953</v>
      </c>
      <c r="H141" s="21">
        <v>400000</v>
      </c>
      <c r="I141" s="35">
        <v>403076.62</v>
      </c>
      <c r="J141" s="22">
        <v>330039.83</v>
      </c>
      <c r="K141" s="22">
        <v>73036.789999999994</v>
      </c>
      <c r="L141" s="22">
        <v>52309.71</v>
      </c>
      <c r="M141" s="21">
        <v>73036.789999999994</v>
      </c>
      <c r="N141" s="22">
        <v>37137.83</v>
      </c>
      <c r="O141" s="1" t="s">
        <v>41</v>
      </c>
      <c r="P141" s="1" t="s">
        <v>42</v>
      </c>
      <c r="Q141" s="15">
        <v>0</v>
      </c>
      <c r="R141" s="22">
        <f>Table1[[#This Row],[STAB]]-Table1[[#This Row],[AMOUNT]]</f>
        <v>37137.83</v>
      </c>
      <c r="S141" s="1">
        <v>0</v>
      </c>
      <c r="T141" s="1" t="s">
        <v>79</v>
      </c>
      <c r="U141" s="1">
        <v>0</v>
      </c>
      <c r="V141" s="1" t="s">
        <v>267</v>
      </c>
      <c r="W141" s="1" t="s">
        <v>266</v>
      </c>
      <c r="X141" s="1" t="s">
        <v>268</v>
      </c>
      <c r="Y141" s="21" t="s">
        <v>2111</v>
      </c>
      <c r="Z141" s="21" t="s">
        <v>1553</v>
      </c>
      <c r="AA141" s="21" t="s">
        <v>1673</v>
      </c>
      <c r="AB141" s="21" t="s">
        <v>176</v>
      </c>
      <c r="AC141" s="21" t="s">
        <v>91</v>
      </c>
      <c r="AD141" s="21" t="s">
        <v>664</v>
      </c>
      <c r="AE141" s="21" t="s">
        <v>668</v>
      </c>
      <c r="AF141" s="21" t="s">
        <v>180</v>
      </c>
      <c r="AG141" s="21">
        <v>802835406</v>
      </c>
      <c r="AH141" s="21" t="s">
        <v>131</v>
      </c>
      <c r="AI141" s="21" t="s">
        <v>492</v>
      </c>
      <c r="AJ141" s="21"/>
      <c r="AK141" s="28" t="s">
        <v>43</v>
      </c>
      <c r="AL141" s="21"/>
      <c r="AM141" s="21"/>
      <c r="AN141" s="21"/>
      <c r="AO141" s="23">
        <v>45478</v>
      </c>
      <c r="AP141" s="21">
        <v>35000</v>
      </c>
      <c r="AQ141" s="21" t="s">
        <v>1797</v>
      </c>
      <c r="AR141" s="21" t="s">
        <v>81</v>
      </c>
      <c r="AS141" s="21" t="s">
        <v>1914</v>
      </c>
      <c r="AT141" s="24"/>
    </row>
    <row r="142" spans="1:46" x14ac:dyDescent="0.25">
      <c r="A142" s="20" t="s">
        <v>1192</v>
      </c>
      <c r="B142" s="21" t="s">
        <v>1312</v>
      </c>
      <c r="C142" s="1" t="s">
        <v>47</v>
      </c>
      <c r="D142" s="21">
        <v>20</v>
      </c>
      <c r="E142" s="21" t="s">
        <v>1432</v>
      </c>
      <c r="F142" s="21" t="s">
        <v>77</v>
      </c>
      <c r="G142" s="22">
        <f>Table1[[#This Row],[ENR]]-Table1[[#This Row],[CREDIT]]</f>
        <v>1596.1500000000015</v>
      </c>
      <c r="H142" s="21">
        <v>40000</v>
      </c>
      <c r="I142" s="35">
        <v>41596.15</v>
      </c>
      <c r="J142" s="22" t="s">
        <v>78</v>
      </c>
      <c r="K142" s="22">
        <v>41596.15</v>
      </c>
      <c r="L142" s="22">
        <v>38579.01</v>
      </c>
      <c r="M142" s="21">
        <v>6620</v>
      </c>
      <c r="N142" s="22">
        <v>1620</v>
      </c>
      <c r="O142" s="1" t="s">
        <v>41</v>
      </c>
      <c r="P142" s="1" t="s">
        <v>42</v>
      </c>
      <c r="Q142" s="15">
        <v>0</v>
      </c>
      <c r="R142" s="22">
        <f>Table1[[#This Row],[STAB]]-Table1[[#This Row],[AMOUNT]]</f>
        <v>1620</v>
      </c>
      <c r="S142" s="1">
        <v>0</v>
      </c>
      <c r="T142" s="1" t="s">
        <v>79</v>
      </c>
      <c r="U142" s="1">
        <v>0</v>
      </c>
      <c r="V142" s="1" t="s">
        <v>267</v>
      </c>
      <c r="W142" s="1" t="s">
        <v>266</v>
      </c>
      <c r="X142" s="1" t="s">
        <v>268</v>
      </c>
      <c r="Y142" s="21" t="s">
        <v>2110</v>
      </c>
      <c r="Z142" s="21" t="s">
        <v>1554</v>
      </c>
      <c r="AA142" s="21" t="s">
        <v>1674</v>
      </c>
      <c r="AB142" s="21" t="s">
        <v>248</v>
      </c>
      <c r="AC142" s="21" t="s">
        <v>91</v>
      </c>
      <c r="AD142" s="21" t="s">
        <v>122</v>
      </c>
      <c r="AE142" s="21" t="s">
        <v>667</v>
      </c>
      <c r="AF142" s="21" t="s">
        <v>666</v>
      </c>
      <c r="AG142" s="21">
        <v>802663344</v>
      </c>
      <c r="AH142" s="21" t="s">
        <v>132</v>
      </c>
      <c r="AI142" s="21" t="s">
        <v>492</v>
      </c>
      <c r="AJ142" s="21"/>
      <c r="AK142" s="28" t="s">
        <v>43</v>
      </c>
      <c r="AL142" s="21"/>
      <c r="AM142" s="21"/>
      <c r="AN142" s="21"/>
      <c r="AO142" s="23">
        <v>45841</v>
      </c>
      <c r="AP142" s="21">
        <v>10540</v>
      </c>
      <c r="AQ142" s="21" t="s">
        <v>1798</v>
      </c>
      <c r="AR142" s="21" t="s">
        <v>1156</v>
      </c>
      <c r="AS142" s="21" t="s">
        <v>1914</v>
      </c>
      <c r="AT142" s="24"/>
    </row>
    <row r="143" spans="1:46" x14ac:dyDescent="0.25">
      <c r="A143" s="20" t="s">
        <v>1193</v>
      </c>
      <c r="B143" s="21" t="s">
        <v>1313</v>
      </c>
      <c r="C143" s="1" t="s">
        <v>47</v>
      </c>
      <c r="D143" s="21">
        <v>20</v>
      </c>
      <c r="E143" s="21" t="s">
        <v>1433</v>
      </c>
      <c r="F143" s="21" t="s">
        <v>77</v>
      </c>
      <c r="G143" s="22">
        <f>Table1[[#This Row],[ENR]]-Table1[[#This Row],[CREDIT]]</f>
        <v>1444.7300000000032</v>
      </c>
      <c r="H143" s="21">
        <v>40000</v>
      </c>
      <c r="I143" s="35">
        <v>41444.730000000003</v>
      </c>
      <c r="J143" s="22" t="s">
        <v>78</v>
      </c>
      <c r="K143" s="22">
        <v>41444.730000000003</v>
      </c>
      <c r="L143" s="22">
        <v>36225</v>
      </c>
      <c r="M143" s="21">
        <v>8410</v>
      </c>
      <c r="N143" s="22">
        <v>2870.62</v>
      </c>
      <c r="O143" s="1" t="s">
        <v>49</v>
      </c>
      <c r="P143" s="1" t="s">
        <v>12</v>
      </c>
      <c r="Q143" s="15">
        <v>41445</v>
      </c>
      <c r="R143" s="22">
        <f>Table1[[#This Row],[STAB]]-Table1[[#This Row],[AMOUNT]]</f>
        <v>-38574.379999999997</v>
      </c>
      <c r="S143" s="1" t="s">
        <v>1949</v>
      </c>
      <c r="T143" s="1" t="s">
        <v>446</v>
      </c>
      <c r="U143" s="1">
        <v>0</v>
      </c>
      <c r="V143" s="1" t="s">
        <v>267</v>
      </c>
      <c r="W143" s="1" t="s">
        <v>266</v>
      </c>
      <c r="X143" s="1" t="s">
        <v>268</v>
      </c>
      <c r="Y143" s="21" t="s">
        <v>2111</v>
      </c>
      <c r="Z143" s="21" t="s">
        <v>1555</v>
      </c>
      <c r="AA143" s="21" t="s">
        <v>1675</v>
      </c>
      <c r="AB143" s="21" t="s">
        <v>176</v>
      </c>
      <c r="AC143" s="21" t="s">
        <v>91</v>
      </c>
      <c r="AD143" s="21" t="s">
        <v>872</v>
      </c>
      <c r="AE143" s="21" t="s">
        <v>873</v>
      </c>
      <c r="AF143" s="21" t="s">
        <v>261</v>
      </c>
      <c r="AG143" s="21">
        <v>803037151</v>
      </c>
      <c r="AH143" s="21" t="s">
        <v>131</v>
      </c>
      <c r="AI143" s="21" t="s">
        <v>492</v>
      </c>
      <c r="AJ143" s="21"/>
      <c r="AK143" s="28" t="s">
        <v>447</v>
      </c>
      <c r="AL143" s="21" t="s">
        <v>463</v>
      </c>
      <c r="AM143" s="21" t="s">
        <v>2086</v>
      </c>
      <c r="AN143" s="21" t="s">
        <v>2084</v>
      </c>
      <c r="AO143" s="23">
        <v>46201</v>
      </c>
      <c r="AP143" s="21">
        <v>3500</v>
      </c>
      <c r="AQ143" s="21" t="s">
        <v>1799</v>
      </c>
      <c r="AR143" s="21" t="s">
        <v>1156</v>
      </c>
      <c r="AS143" s="21" t="s">
        <v>1914</v>
      </c>
      <c r="AT143" s="24"/>
    </row>
    <row r="144" spans="1:46" x14ac:dyDescent="0.25">
      <c r="A144" s="20" t="s">
        <v>1194</v>
      </c>
      <c r="B144" s="21" t="s">
        <v>1314</v>
      </c>
      <c r="C144" s="1" t="s">
        <v>47</v>
      </c>
      <c r="D144" s="21">
        <v>20</v>
      </c>
      <c r="E144" s="21" t="s">
        <v>1434</v>
      </c>
      <c r="F144" s="21" t="s">
        <v>77</v>
      </c>
      <c r="G144" s="22">
        <f>Table1[[#This Row],[ENR]]-Table1[[#This Row],[CREDIT]]</f>
        <v>3551.7099999999991</v>
      </c>
      <c r="H144" s="21">
        <v>39000</v>
      </c>
      <c r="I144" s="35">
        <v>42551.71</v>
      </c>
      <c r="J144" s="22" t="s">
        <v>78</v>
      </c>
      <c r="K144" s="22">
        <v>42551.71</v>
      </c>
      <c r="L144" s="22">
        <v>36990.050000000003</v>
      </c>
      <c r="M144" s="21">
        <v>12810</v>
      </c>
      <c r="N144" s="22">
        <v>7180</v>
      </c>
      <c r="O144" s="1" t="s">
        <v>41</v>
      </c>
      <c r="P144" s="1" t="s">
        <v>42</v>
      </c>
      <c r="Q144" s="15">
        <v>3500</v>
      </c>
      <c r="R144" s="22">
        <f>Table1[[#This Row],[STAB]]-Table1[[#This Row],[AMOUNT]]</f>
        <v>3680</v>
      </c>
      <c r="S144" s="1">
        <v>0</v>
      </c>
      <c r="T144" s="1" t="s">
        <v>79</v>
      </c>
      <c r="U144" s="1">
        <v>0</v>
      </c>
      <c r="V144" s="1" t="s">
        <v>267</v>
      </c>
      <c r="W144" s="1" t="s">
        <v>266</v>
      </c>
      <c r="X144" s="1" t="s">
        <v>268</v>
      </c>
      <c r="Y144" s="21" t="s">
        <v>2111</v>
      </c>
      <c r="Z144" s="21" t="s">
        <v>1556</v>
      </c>
      <c r="AA144" s="21" t="s">
        <v>1676</v>
      </c>
      <c r="AB144" s="21" t="s">
        <v>176</v>
      </c>
      <c r="AC144" s="21" t="s">
        <v>91</v>
      </c>
      <c r="AD144" s="21" t="s">
        <v>872</v>
      </c>
      <c r="AE144" s="21" t="s">
        <v>873</v>
      </c>
      <c r="AF144" s="21" t="s">
        <v>261</v>
      </c>
      <c r="AG144" s="21">
        <v>803037151</v>
      </c>
      <c r="AH144" s="21" t="s">
        <v>131</v>
      </c>
      <c r="AI144" s="21" t="s">
        <v>492</v>
      </c>
      <c r="AJ144" s="21"/>
      <c r="AK144" s="28" t="s">
        <v>447</v>
      </c>
      <c r="AL144" s="21" t="s">
        <v>458</v>
      </c>
      <c r="AM144" s="21" t="s">
        <v>1972</v>
      </c>
      <c r="AN144" s="21" t="s">
        <v>1956</v>
      </c>
      <c r="AO144" s="23">
        <v>46223</v>
      </c>
      <c r="AP144" s="21">
        <v>3340</v>
      </c>
      <c r="AQ144" s="21" t="s">
        <v>1800</v>
      </c>
      <c r="AR144" s="21" t="s">
        <v>106</v>
      </c>
      <c r="AS144" s="21" t="s">
        <v>1914</v>
      </c>
      <c r="AT144" s="24"/>
    </row>
    <row r="145" spans="1:46" x14ac:dyDescent="0.25">
      <c r="A145" s="20" t="s">
        <v>1195</v>
      </c>
      <c r="B145" s="21" t="s">
        <v>1315</v>
      </c>
      <c r="C145" s="1" t="s">
        <v>47</v>
      </c>
      <c r="D145" s="21">
        <v>20</v>
      </c>
      <c r="E145" s="21" t="s">
        <v>1435</v>
      </c>
      <c r="F145" s="21" t="s">
        <v>77</v>
      </c>
      <c r="G145" s="22">
        <f>Table1[[#This Row],[ENR]]-Table1[[#This Row],[CREDIT]]</f>
        <v>2505.3399999999965</v>
      </c>
      <c r="H145" s="21">
        <v>40000</v>
      </c>
      <c r="I145" s="35">
        <v>42505.34</v>
      </c>
      <c r="J145" s="22" t="s">
        <v>78</v>
      </c>
      <c r="K145" s="22">
        <v>42505.34</v>
      </c>
      <c r="L145" s="22">
        <v>36485.910000000003</v>
      </c>
      <c r="M145" s="21">
        <v>10430</v>
      </c>
      <c r="N145" s="22">
        <v>3290</v>
      </c>
      <c r="O145" s="1" t="s">
        <v>41</v>
      </c>
      <c r="P145" s="1" t="s">
        <v>42</v>
      </c>
      <c r="Q145" s="15">
        <v>0</v>
      </c>
      <c r="R145" s="22">
        <f>Table1[[#This Row],[STAB]]-Table1[[#This Row],[AMOUNT]]</f>
        <v>3290</v>
      </c>
      <c r="S145" s="1">
        <v>0</v>
      </c>
      <c r="T145" s="1" t="s">
        <v>79</v>
      </c>
      <c r="U145" s="1">
        <v>0</v>
      </c>
      <c r="V145" s="1" t="s">
        <v>267</v>
      </c>
      <c r="W145" s="1" t="s">
        <v>107</v>
      </c>
      <c r="X145" s="1" t="s">
        <v>200</v>
      </c>
      <c r="Y145" s="21" t="s">
        <v>2111</v>
      </c>
      <c r="Z145" s="21" t="s">
        <v>1557</v>
      </c>
      <c r="AA145" s="21" t="s">
        <v>1677</v>
      </c>
      <c r="AB145" s="21" t="s">
        <v>846</v>
      </c>
      <c r="AC145" s="21" t="s">
        <v>93</v>
      </c>
      <c r="AD145" s="21" t="s">
        <v>460</v>
      </c>
      <c r="AE145" s="21" t="s">
        <v>444</v>
      </c>
      <c r="AF145" s="21" t="s">
        <v>181</v>
      </c>
      <c r="AG145" s="21">
        <v>802823180</v>
      </c>
      <c r="AH145" s="21" t="s">
        <v>132</v>
      </c>
      <c r="AI145" s="21" t="s">
        <v>492</v>
      </c>
      <c r="AJ145" s="21"/>
      <c r="AK145" s="28" t="s">
        <v>43</v>
      </c>
      <c r="AL145" s="21"/>
      <c r="AM145" s="21"/>
      <c r="AN145" s="21"/>
      <c r="AO145" s="23">
        <v>45365</v>
      </c>
      <c r="AP145" s="21">
        <v>2080</v>
      </c>
      <c r="AQ145" s="21" t="s">
        <v>1801</v>
      </c>
      <c r="AR145" s="21" t="s">
        <v>1156</v>
      </c>
      <c r="AS145" s="21" t="s">
        <v>1914</v>
      </c>
      <c r="AT145" s="24"/>
    </row>
    <row r="146" spans="1:46" x14ac:dyDescent="0.25">
      <c r="A146" s="20" t="s">
        <v>1196</v>
      </c>
      <c r="B146" s="21" t="s">
        <v>1316</v>
      </c>
      <c r="C146" s="1" t="s">
        <v>47</v>
      </c>
      <c r="D146" s="21">
        <v>20</v>
      </c>
      <c r="E146" s="21" t="s">
        <v>1436</v>
      </c>
      <c r="F146" s="21" t="s">
        <v>77</v>
      </c>
      <c r="G146" s="22">
        <f>Table1[[#This Row],[ENR]]-Table1[[#This Row],[CREDIT]]</f>
        <v>3666.510000000002</v>
      </c>
      <c r="H146" s="21">
        <v>40000</v>
      </c>
      <c r="I146" s="35">
        <v>43666.51</v>
      </c>
      <c r="J146" s="22" t="s">
        <v>78</v>
      </c>
      <c r="K146" s="22">
        <v>43666.51</v>
      </c>
      <c r="L146" s="22">
        <v>37543.410000000003</v>
      </c>
      <c r="M146" s="21">
        <v>11850</v>
      </c>
      <c r="N146" s="22">
        <v>4160</v>
      </c>
      <c r="O146" s="1" t="s">
        <v>41</v>
      </c>
      <c r="P146" s="1" t="s">
        <v>42</v>
      </c>
      <c r="Q146" s="15">
        <v>0</v>
      </c>
      <c r="R146" s="22">
        <f>Table1[[#This Row],[STAB]]-Table1[[#This Row],[AMOUNT]]</f>
        <v>4160</v>
      </c>
      <c r="S146" s="1">
        <v>0</v>
      </c>
      <c r="T146" s="1" t="s">
        <v>79</v>
      </c>
      <c r="U146" s="1">
        <v>0</v>
      </c>
      <c r="V146" s="1" t="s">
        <v>267</v>
      </c>
      <c r="W146" s="1" t="s">
        <v>266</v>
      </c>
      <c r="X146" s="1" t="s">
        <v>268</v>
      </c>
      <c r="Y146" s="21" t="s">
        <v>2111</v>
      </c>
      <c r="Z146" s="21" t="s">
        <v>1558</v>
      </c>
      <c r="AA146" s="21" t="s">
        <v>1678</v>
      </c>
      <c r="AB146" s="21" t="s">
        <v>80</v>
      </c>
      <c r="AC146" s="21" t="s">
        <v>91</v>
      </c>
      <c r="AD146" s="21" t="s">
        <v>99</v>
      </c>
      <c r="AE146" s="21" t="s">
        <v>449</v>
      </c>
      <c r="AF146" s="21" t="s">
        <v>450</v>
      </c>
      <c r="AG146" s="21">
        <v>802898520</v>
      </c>
      <c r="AH146" s="21" t="s">
        <v>130</v>
      </c>
      <c r="AI146" s="21" t="s">
        <v>492</v>
      </c>
      <c r="AJ146" s="21"/>
      <c r="AK146" s="28" t="s">
        <v>447</v>
      </c>
      <c r="AL146" s="21" t="s">
        <v>463</v>
      </c>
      <c r="AM146" s="21" t="s">
        <v>2103</v>
      </c>
      <c r="AN146" s="21" t="s">
        <v>2093</v>
      </c>
      <c r="AO146" s="23">
        <v>46283</v>
      </c>
      <c r="AP146" s="21">
        <v>7920</v>
      </c>
      <c r="AQ146" s="21" t="s">
        <v>1802</v>
      </c>
      <c r="AR146" s="21" t="s">
        <v>82</v>
      </c>
      <c r="AS146" s="21" t="s">
        <v>1914</v>
      </c>
      <c r="AT146" s="24"/>
    </row>
    <row r="147" spans="1:46" x14ac:dyDescent="0.25">
      <c r="A147" s="20" t="s">
        <v>1197</v>
      </c>
      <c r="B147" s="21" t="s">
        <v>1317</v>
      </c>
      <c r="C147" s="1" t="s">
        <v>83</v>
      </c>
      <c r="D147" s="21">
        <v>20</v>
      </c>
      <c r="E147" s="21" t="s">
        <v>1437</v>
      </c>
      <c r="F147" s="21" t="s">
        <v>77</v>
      </c>
      <c r="G147" s="22">
        <f>Table1[[#This Row],[ENR]]-Table1[[#This Row],[CREDIT]]</f>
        <v>-2368.0400000000009</v>
      </c>
      <c r="H147" s="21">
        <v>50000</v>
      </c>
      <c r="I147" s="35">
        <v>47631.96</v>
      </c>
      <c r="J147" s="22" t="s">
        <v>78</v>
      </c>
      <c r="K147" s="22">
        <v>47631.96</v>
      </c>
      <c r="L147" s="22">
        <v>41772.230000000003</v>
      </c>
      <c r="M147" s="21">
        <v>10400</v>
      </c>
      <c r="N147" s="22">
        <v>5180</v>
      </c>
      <c r="O147" s="1" t="s">
        <v>41</v>
      </c>
      <c r="P147" s="1" t="s">
        <v>42</v>
      </c>
      <c r="Q147" s="15">
        <v>0</v>
      </c>
      <c r="R147" s="22">
        <f>Table1[[#This Row],[STAB]]-Table1[[#This Row],[AMOUNT]]</f>
        <v>5180</v>
      </c>
      <c r="S147" s="1">
        <v>0</v>
      </c>
      <c r="T147" s="1" t="s">
        <v>79</v>
      </c>
      <c r="U147" s="1">
        <v>0</v>
      </c>
      <c r="V147" s="1" t="s">
        <v>267</v>
      </c>
      <c r="W147" s="1" t="s">
        <v>645</v>
      </c>
      <c r="X147" s="1" t="s">
        <v>646</v>
      </c>
      <c r="Y147" s="21" t="s">
        <v>2111</v>
      </c>
      <c r="Z147" s="21" t="s">
        <v>1559</v>
      </c>
      <c r="AA147" s="21" t="s">
        <v>1679</v>
      </c>
      <c r="AB147" s="21" t="s">
        <v>433</v>
      </c>
      <c r="AC147" s="21" t="s">
        <v>443</v>
      </c>
      <c r="AD147" s="21" t="s">
        <v>75</v>
      </c>
      <c r="AE147" s="21" t="s">
        <v>441</v>
      </c>
      <c r="AF147" s="21" t="s">
        <v>442</v>
      </c>
      <c r="AG147" s="21">
        <v>802789320</v>
      </c>
      <c r="AH147" s="21" t="s">
        <v>130</v>
      </c>
      <c r="AI147" s="21" t="s">
        <v>492</v>
      </c>
      <c r="AJ147" s="21"/>
      <c r="AK147" s="28" t="s">
        <v>447</v>
      </c>
      <c r="AL147" s="21" t="s">
        <v>454</v>
      </c>
      <c r="AM147" s="21" t="s">
        <v>2104</v>
      </c>
      <c r="AN147" s="21" t="s">
        <v>2093</v>
      </c>
      <c r="AO147" s="23">
        <v>45200</v>
      </c>
      <c r="AP147" s="21">
        <v>57760</v>
      </c>
      <c r="AQ147" s="21" t="s">
        <v>1803</v>
      </c>
      <c r="AR147" s="21" t="s">
        <v>644</v>
      </c>
      <c r="AS147" s="21" t="s">
        <v>1914</v>
      </c>
      <c r="AT147" s="24"/>
    </row>
    <row r="148" spans="1:46" x14ac:dyDescent="0.25">
      <c r="A148" s="20" t="s">
        <v>1198</v>
      </c>
      <c r="B148" s="21" t="s">
        <v>1318</v>
      </c>
      <c r="C148" s="1" t="s">
        <v>83</v>
      </c>
      <c r="D148" s="21">
        <v>20</v>
      </c>
      <c r="E148" s="21" t="s">
        <v>1438</v>
      </c>
      <c r="F148" s="21" t="s">
        <v>77</v>
      </c>
      <c r="G148" s="22">
        <f>Table1[[#This Row],[ENR]]-Table1[[#This Row],[CREDIT]]</f>
        <v>523472.48</v>
      </c>
      <c r="H148" s="21">
        <v>500000</v>
      </c>
      <c r="I148" s="35">
        <v>1023472.48</v>
      </c>
      <c r="J148" s="22">
        <v>930878.01</v>
      </c>
      <c r="K148" s="22">
        <v>92594.47</v>
      </c>
      <c r="L148" s="22">
        <v>71533.600000000006</v>
      </c>
      <c r="M148" s="21">
        <v>91500</v>
      </c>
      <c r="N148" s="22">
        <v>44400</v>
      </c>
      <c r="O148" s="1" t="s">
        <v>41</v>
      </c>
      <c r="P148" s="1" t="s">
        <v>42</v>
      </c>
      <c r="Q148" s="15">
        <v>0</v>
      </c>
      <c r="R148" s="22">
        <f>Table1[[#This Row],[STAB]]-Table1[[#This Row],[AMOUNT]]</f>
        <v>44400</v>
      </c>
      <c r="S148" s="1">
        <v>0</v>
      </c>
      <c r="T148" s="1" t="s">
        <v>79</v>
      </c>
      <c r="U148" s="1">
        <v>0</v>
      </c>
      <c r="V148" s="1" t="s">
        <v>267</v>
      </c>
      <c r="W148" s="1" t="s">
        <v>266</v>
      </c>
      <c r="X148" s="1" t="s">
        <v>268</v>
      </c>
      <c r="Y148" s="21" t="s">
        <v>2110</v>
      </c>
      <c r="Z148" s="21" t="s">
        <v>1560</v>
      </c>
      <c r="AA148" s="21" t="s">
        <v>1680</v>
      </c>
      <c r="AB148" s="21" t="s">
        <v>248</v>
      </c>
      <c r="AC148" s="21" t="s">
        <v>91</v>
      </c>
      <c r="AD148" s="21" t="s">
        <v>122</v>
      </c>
      <c r="AE148" s="21" t="s">
        <v>667</v>
      </c>
      <c r="AF148" s="21" t="s">
        <v>666</v>
      </c>
      <c r="AG148" s="21">
        <v>802663344</v>
      </c>
      <c r="AH148" s="21" t="s">
        <v>132</v>
      </c>
      <c r="AI148" s="21" t="s">
        <v>492</v>
      </c>
      <c r="AJ148" s="21"/>
      <c r="AK148" s="28" t="s">
        <v>43</v>
      </c>
      <c r="AL148" s="21"/>
      <c r="AM148" s="21"/>
      <c r="AN148" s="21"/>
      <c r="AO148" s="23">
        <v>46248</v>
      </c>
      <c r="AP148" s="21">
        <v>13256.18</v>
      </c>
      <c r="AQ148" s="21" t="s">
        <v>1804</v>
      </c>
      <c r="AR148" s="21" t="s">
        <v>89</v>
      </c>
      <c r="AS148" s="21" t="s">
        <v>1914</v>
      </c>
      <c r="AT148" s="24"/>
    </row>
    <row r="149" spans="1:46" x14ac:dyDescent="0.25">
      <c r="A149" s="20" t="s">
        <v>1199</v>
      </c>
      <c r="B149" s="21" t="s">
        <v>1319</v>
      </c>
      <c r="C149" s="1" t="s">
        <v>47</v>
      </c>
      <c r="D149" s="21">
        <v>20</v>
      </c>
      <c r="E149" s="21" t="s">
        <v>1439</v>
      </c>
      <c r="F149" s="21" t="s">
        <v>77</v>
      </c>
      <c r="G149" s="22">
        <f>Table1[[#This Row],[ENR]]-Table1[[#This Row],[CREDIT]]</f>
        <v>2407.75</v>
      </c>
      <c r="H149" s="21">
        <v>500000</v>
      </c>
      <c r="I149" s="35">
        <v>502407.75</v>
      </c>
      <c r="J149" s="22">
        <v>420324.2</v>
      </c>
      <c r="K149" s="22">
        <v>82083.55</v>
      </c>
      <c r="L149" s="22">
        <v>69843.679999999993</v>
      </c>
      <c r="M149" s="21">
        <v>58340</v>
      </c>
      <c r="N149" s="22">
        <v>24631.4</v>
      </c>
      <c r="O149" s="1" t="s">
        <v>41</v>
      </c>
      <c r="P149" s="1" t="s">
        <v>42</v>
      </c>
      <c r="Q149" s="15">
        <v>0</v>
      </c>
      <c r="R149" s="22">
        <f>Table1[[#This Row],[STAB]]-Table1[[#This Row],[AMOUNT]]</f>
        <v>24631.4</v>
      </c>
      <c r="S149" s="1">
        <v>0</v>
      </c>
      <c r="T149" s="1" t="s">
        <v>79</v>
      </c>
      <c r="U149" s="1">
        <v>0</v>
      </c>
      <c r="V149" s="1" t="s">
        <v>267</v>
      </c>
      <c r="W149" s="1" t="s">
        <v>266</v>
      </c>
      <c r="X149" s="1" t="s">
        <v>268</v>
      </c>
      <c r="Y149" s="21" t="s">
        <v>2111</v>
      </c>
      <c r="Z149" s="21" t="s">
        <v>1561</v>
      </c>
      <c r="AA149" s="21" t="s">
        <v>1681</v>
      </c>
      <c r="AB149" s="21" t="s">
        <v>176</v>
      </c>
      <c r="AC149" s="21" t="s">
        <v>91</v>
      </c>
      <c r="AD149" s="21" t="s">
        <v>872</v>
      </c>
      <c r="AE149" s="21" t="s">
        <v>873</v>
      </c>
      <c r="AF149" s="21" t="s">
        <v>261</v>
      </c>
      <c r="AG149" s="21">
        <v>803037151</v>
      </c>
      <c r="AH149" s="21" t="s">
        <v>131</v>
      </c>
      <c r="AI149" s="21" t="s">
        <v>492</v>
      </c>
      <c r="AJ149" s="21"/>
      <c r="AK149" s="28" t="s">
        <v>447</v>
      </c>
      <c r="AL149" s="21" t="s">
        <v>463</v>
      </c>
      <c r="AM149" s="21" t="s">
        <v>1935</v>
      </c>
      <c r="AN149" s="21" t="s">
        <v>1927</v>
      </c>
      <c r="AO149" s="23">
        <v>44868</v>
      </c>
      <c r="AP149" s="21">
        <v>35000</v>
      </c>
      <c r="AQ149" s="21" t="s">
        <v>1805</v>
      </c>
      <c r="AR149" s="21" t="s">
        <v>177</v>
      </c>
      <c r="AS149" s="21" t="s">
        <v>1914</v>
      </c>
      <c r="AT149" s="24"/>
    </row>
    <row r="150" spans="1:46" x14ac:dyDescent="0.25">
      <c r="A150" s="20" t="s">
        <v>1200</v>
      </c>
      <c r="B150" s="21" t="s">
        <v>1320</v>
      </c>
      <c r="C150" s="1" t="s">
        <v>47</v>
      </c>
      <c r="D150" s="21">
        <v>20</v>
      </c>
      <c r="E150" s="21" t="s">
        <v>1440</v>
      </c>
      <c r="F150" s="21" t="s">
        <v>77</v>
      </c>
      <c r="G150" s="22">
        <f>Table1[[#This Row],[ENR]]-Table1[[#This Row],[CREDIT]]</f>
        <v>5879.739999999998</v>
      </c>
      <c r="H150" s="21">
        <v>50000</v>
      </c>
      <c r="I150" s="35">
        <v>55879.74</v>
      </c>
      <c r="J150" s="22" t="s">
        <v>78</v>
      </c>
      <c r="K150" s="22">
        <v>55879.74</v>
      </c>
      <c r="L150" s="22">
        <v>49839.53</v>
      </c>
      <c r="M150" s="21">
        <v>14680</v>
      </c>
      <c r="N150" s="22">
        <v>4920</v>
      </c>
      <c r="O150" s="1" t="s">
        <v>49</v>
      </c>
      <c r="P150" s="1" t="s">
        <v>13</v>
      </c>
      <c r="Q150" s="15">
        <v>5050</v>
      </c>
      <c r="R150" s="22">
        <f>Table1[[#This Row],[STAB]]-Table1[[#This Row],[AMOUNT]]</f>
        <v>-130</v>
      </c>
      <c r="S150" s="1" t="s">
        <v>1956</v>
      </c>
      <c r="T150" s="1" t="s">
        <v>673</v>
      </c>
      <c r="U150" s="1">
        <v>0</v>
      </c>
      <c r="V150" s="1" t="s">
        <v>267</v>
      </c>
      <c r="W150" s="1" t="s">
        <v>266</v>
      </c>
      <c r="X150" s="1" t="s">
        <v>268</v>
      </c>
      <c r="Y150" s="21" t="s">
        <v>2111</v>
      </c>
      <c r="Z150" s="21" t="s">
        <v>1562</v>
      </c>
      <c r="AA150" s="21" t="s">
        <v>1682</v>
      </c>
      <c r="AB150" s="21" t="s">
        <v>176</v>
      </c>
      <c r="AC150" s="21" t="s">
        <v>91</v>
      </c>
      <c r="AD150" s="21" t="s">
        <v>872</v>
      </c>
      <c r="AE150" s="21" t="s">
        <v>873</v>
      </c>
      <c r="AF150" s="21" t="s">
        <v>261</v>
      </c>
      <c r="AG150" s="21">
        <v>803037151</v>
      </c>
      <c r="AH150" s="21" t="s">
        <v>131</v>
      </c>
      <c r="AI150" s="21" t="s">
        <v>492</v>
      </c>
      <c r="AJ150" s="21"/>
      <c r="AK150" s="28" t="s">
        <v>447</v>
      </c>
      <c r="AL150" s="21" t="s">
        <v>458</v>
      </c>
      <c r="AM150" s="21" t="s">
        <v>1974</v>
      </c>
      <c r="AN150" s="21" t="s">
        <v>1956</v>
      </c>
      <c r="AO150" s="23">
        <v>45562</v>
      </c>
      <c r="AP150" s="21">
        <v>10000</v>
      </c>
      <c r="AQ150" s="21" t="s">
        <v>1806</v>
      </c>
      <c r="AR150" s="21" t="s">
        <v>1156</v>
      </c>
      <c r="AS150" s="21" t="s">
        <v>1914</v>
      </c>
      <c r="AT150" s="24"/>
    </row>
    <row r="151" spans="1:46" x14ac:dyDescent="0.25">
      <c r="A151" s="20" t="s">
        <v>1201</v>
      </c>
      <c r="B151" s="21" t="s">
        <v>1321</v>
      </c>
      <c r="C151" s="1" t="s">
        <v>47</v>
      </c>
      <c r="D151" s="21">
        <v>20</v>
      </c>
      <c r="E151" s="21" t="s">
        <v>1441</v>
      </c>
      <c r="F151" s="21" t="s">
        <v>77</v>
      </c>
      <c r="G151" s="22">
        <f>Table1[[#This Row],[ENR]]-Table1[[#This Row],[CREDIT]]</f>
        <v>4644.5199999999968</v>
      </c>
      <c r="H151" s="21">
        <v>60000</v>
      </c>
      <c r="I151" s="35">
        <v>64644.52</v>
      </c>
      <c r="J151" s="22" t="s">
        <v>78</v>
      </c>
      <c r="K151" s="22">
        <v>64644.52</v>
      </c>
      <c r="L151" s="22">
        <v>56341.62</v>
      </c>
      <c r="M151" s="21">
        <v>16150</v>
      </c>
      <c r="N151" s="22">
        <v>5400</v>
      </c>
      <c r="O151" s="1" t="s">
        <v>41</v>
      </c>
      <c r="P151" s="1" t="s">
        <v>42</v>
      </c>
      <c r="Q151" s="15">
        <v>0</v>
      </c>
      <c r="R151" s="22">
        <f>Table1[[#This Row],[STAB]]-Table1[[#This Row],[AMOUNT]]</f>
        <v>5400</v>
      </c>
      <c r="S151" s="1">
        <v>0</v>
      </c>
      <c r="T151" s="1" t="s">
        <v>79</v>
      </c>
      <c r="U151" s="1">
        <v>0</v>
      </c>
      <c r="V151" s="1" t="s">
        <v>267</v>
      </c>
      <c r="W151" s="1" t="s">
        <v>107</v>
      </c>
      <c r="X151" s="1" t="s">
        <v>200</v>
      </c>
      <c r="Y151" s="21" t="s">
        <v>2111</v>
      </c>
      <c r="Z151" s="21" t="s">
        <v>1563</v>
      </c>
      <c r="AA151" s="21" t="s">
        <v>1683</v>
      </c>
      <c r="AB151" s="21" t="s">
        <v>435</v>
      </c>
      <c r="AC151" s="21" t="s">
        <v>93</v>
      </c>
      <c r="AD151" s="21" t="s">
        <v>410</v>
      </c>
      <c r="AE151" s="21" t="s">
        <v>412</v>
      </c>
      <c r="AF151" s="21" t="s">
        <v>489</v>
      </c>
      <c r="AG151" s="21">
        <v>802175739</v>
      </c>
      <c r="AH151" s="21" t="s">
        <v>130</v>
      </c>
      <c r="AI151" s="21" t="s">
        <v>492</v>
      </c>
      <c r="AJ151" s="21"/>
      <c r="AK151" s="28" t="s">
        <v>43</v>
      </c>
      <c r="AL151" s="21"/>
      <c r="AM151" s="21"/>
      <c r="AN151" s="21"/>
      <c r="AO151" s="23">
        <v>45839</v>
      </c>
      <c r="AP151" s="21">
        <v>9720</v>
      </c>
      <c r="AQ151" s="21" t="s">
        <v>1807</v>
      </c>
      <c r="AR151" s="21" t="s">
        <v>1156</v>
      </c>
      <c r="AS151" s="21" t="s">
        <v>1914</v>
      </c>
      <c r="AT151" s="24"/>
    </row>
    <row r="152" spans="1:46" x14ac:dyDescent="0.25">
      <c r="A152" s="20" t="s">
        <v>1202</v>
      </c>
      <c r="B152" s="21" t="s">
        <v>1322</v>
      </c>
      <c r="C152" s="1" t="s">
        <v>47</v>
      </c>
      <c r="D152" s="21">
        <v>20</v>
      </c>
      <c r="E152" s="21" t="s">
        <v>1442</v>
      </c>
      <c r="F152" s="21" t="s">
        <v>77</v>
      </c>
      <c r="G152" s="22">
        <f>Table1[[#This Row],[ENR]]-Table1[[#This Row],[CREDIT]]</f>
        <v>5811.6999999999971</v>
      </c>
      <c r="H152" s="21">
        <v>60000</v>
      </c>
      <c r="I152" s="35">
        <v>65811.7</v>
      </c>
      <c r="J152" s="22" t="s">
        <v>78</v>
      </c>
      <c r="K152" s="22">
        <v>65811.7</v>
      </c>
      <c r="L152" s="22">
        <v>58987.09</v>
      </c>
      <c r="M152" s="21">
        <v>16030</v>
      </c>
      <c r="N152" s="22">
        <v>4990</v>
      </c>
      <c r="O152" s="1" t="s">
        <v>41</v>
      </c>
      <c r="P152" s="1" t="s">
        <v>42</v>
      </c>
      <c r="Q152" s="15">
        <v>0</v>
      </c>
      <c r="R152" s="22">
        <f>Table1[[#This Row],[STAB]]-Table1[[#This Row],[AMOUNT]]</f>
        <v>4990</v>
      </c>
      <c r="S152" s="1">
        <v>0</v>
      </c>
      <c r="T152" s="1" t="s">
        <v>79</v>
      </c>
      <c r="U152" s="1">
        <v>0</v>
      </c>
      <c r="V152" s="1" t="s">
        <v>267</v>
      </c>
      <c r="W152" s="1" t="s">
        <v>266</v>
      </c>
      <c r="X152" s="1" t="s">
        <v>268</v>
      </c>
      <c r="Y152" s="21" t="s">
        <v>2111</v>
      </c>
      <c r="Z152" s="21" t="s">
        <v>1564</v>
      </c>
      <c r="AA152" s="21" t="s">
        <v>1684</v>
      </c>
      <c r="AB152" s="21" t="s">
        <v>80</v>
      </c>
      <c r="AC152" s="21" t="s">
        <v>91</v>
      </c>
      <c r="AD152" s="21" t="s">
        <v>99</v>
      </c>
      <c r="AE152" s="21" t="s">
        <v>449</v>
      </c>
      <c r="AF152" s="21" t="s">
        <v>450</v>
      </c>
      <c r="AG152" s="21">
        <v>802898520</v>
      </c>
      <c r="AH152" s="21" t="s">
        <v>130</v>
      </c>
      <c r="AI152" s="21" t="s">
        <v>492</v>
      </c>
      <c r="AJ152" s="21"/>
      <c r="AK152" s="28" t="s">
        <v>447</v>
      </c>
      <c r="AL152" s="21" t="s">
        <v>456</v>
      </c>
      <c r="AM152" s="21" t="s">
        <v>1961</v>
      </c>
      <c r="AN152" s="21" t="s">
        <v>1956</v>
      </c>
      <c r="AO152" s="23">
        <v>45450</v>
      </c>
      <c r="AP152" s="21">
        <v>2257.6</v>
      </c>
      <c r="AQ152" s="21" t="s">
        <v>1808</v>
      </c>
      <c r="AR152" s="21" t="s">
        <v>106</v>
      </c>
      <c r="AS152" s="21" t="s">
        <v>1914</v>
      </c>
      <c r="AT152" s="24"/>
    </row>
    <row r="153" spans="1:46" x14ac:dyDescent="0.25">
      <c r="A153" s="20" t="s">
        <v>1203</v>
      </c>
      <c r="B153" s="21" t="s">
        <v>1323</v>
      </c>
      <c r="C153" s="1" t="s">
        <v>47</v>
      </c>
      <c r="D153" s="21">
        <v>20</v>
      </c>
      <c r="E153" s="21" t="s">
        <v>1443</v>
      </c>
      <c r="F153" s="21" t="s">
        <v>77</v>
      </c>
      <c r="G153" s="22">
        <f>Table1[[#This Row],[ENR]]-Table1[[#This Row],[CREDIT]]</f>
        <v>9774.5299999999988</v>
      </c>
      <c r="H153" s="21">
        <v>60000</v>
      </c>
      <c r="I153" s="35">
        <v>69774.53</v>
      </c>
      <c r="J153" s="22" t="s">
        <v>78</v>
      </c>
      <c r="K153" s="22">
        <v>69774.53</v>
      </c>
      <c r="L153" s="22">
        <v>60375.08</v>
      </c>
      <c r="M153" s="21">
        <v>24330</v>
      </c>
      <c r="N153" s="22">
        <v>13250</v>
      </c>
      <c r="O153" s="1" t="s">
        <v>41</v>
      </c>
      <c r="P153" s="1" t="s">
        <v>42</v>
      </c>
      <c r="Q153" s="15">
        <v>0</v>
      </c>
      <c r="R153" s="22">
        <f>Table1[[#This Row],[STAB]]-Table1[[#This Row],[AMOUNT]]</f>
        <v>13250</v>
      </c>
      <c r="S153" s="1">
        <v>0</v>
      </c>
      <c r="T153" s="1" t="s">
        <v>79</v>
      </c>
      <c r="U153" s="1">
        <v>0</v>
      </c>
      <c r="V153" s="1" t="s">
        <v>267</v>
      </c>
      <c r="W153" s="1" t="s">
        <v>645</v>
      </c>
      <c r="X153" s="1" t="s">
        <v>646</v>
      </c>
      <c r="Y153" s="21" t="s">
        <v>2111</v>
      </c>
      <c r="Z153" s="21" t="s">
        <v>1565</v>
      </c>
      <c r="AA153" s="21" t="s">
        <v>1685</v>
      </c>
      <c r="AB153" s="21" t="s">
        <v>433</v>
      </c>
      <c r="AC153" s="21" t="s">
        <v>443</v>
      </c>
      <c r="AD153" s="21" t="s">
        <v>75</v>
      </c>
      <c r="AE153" s="21" t="s">
        <v>441</v>
      </c>
      <c r="AF153" s="21" t="s">
        <v>442</v>
      </c>
      <c r="AG153" s="21">
        <v>802789320</v>
      </c>
      <c r="AH153" s="21" t="s">
        <v>130</v>
      </c>
      <c r="AI153" s="21" t="s">
        <v>492</v>
      </c>
      <c r="AJ153" s="21"/>
      <c r="AK153" s="28" t="s">
        <v>447</v>
      </c>
      <c r="AL153" s="21" t="s">
        <v>458</v>
      </c>
      <c r="AM153" s="21" t="s">
        <v>1933</v>
      </c>
      <c r="AN153" s="21" t="s">
        <v>2115</v>
      </c>
      <c r="AO153" s="23">
        <v>45449</v>
      </c>
      <c r="AP153" s="21">
        <v>2200</v>
      </c>
      <c r="AQ153" s="21" t="s">
        <v>1809</v>
      </c>
      <c r="AR153" s="21" t="s">
        <v>1156</v>
      </c>
      <c r="AS153" s="21" t="s">
        <v>1914</v>
      </c>
      <c r="AT153" s="24"/>
    </row>
    <row r="154" spans="1:46" x14ac:dyDescent="0.25">
      <c r="A154" s="20" t="s">
        <v>1204</v>
      </c>
      <c r="B154" s="21" t="s">
        <v>1324</v>
      </c>
      <c r="C154" s="1" t="s">
        <v>47</v>
      </c>
      <c r="D154" s="21">
        <v>20</v>
      </c>
      <c r="E154" s="21" t="s">
        <v>1444</v>
      </c>
      <c r="F154" s="21" t="s">
        <v>77</v>
      </c>
      <c r="G154" s="22">
        <f>Table1[[#This Row],[ENR]]-Table1[[#This Row],[CREDIT]]</f>
        <v>5192.3800000000047</v>
      </c>
      <c r="H154" s="21">
        <v>70000</v>
      </c>
      <c r="I154" s="35">
        <v>75192.38</v>
      </c>
      <c r="J154" s="22" t="s">
        <v>78</v>
      </c>
      <c r="K154" s="22">
        <v>75192.38</v>
      </c>
      <c r="L154" s="22">
        <v>68433.070000000007</v>
      </c>
      <c r="M154" s="21">
        <v>18250</v>
      </c>
      <c r="N154" s="22">
        <v>3520</v>
      </c>
      <c r="O154" s="1" t="s">
        <v>41</v>
      </c>
      <c r="P154" s="1" t="s">
        <v>42</v>
      </c>
      <c r="Q154" s="15">
        <v>0</v>
      </c>
      <c r="R154" s="22">
        <f>Table1[[#This Row],[STAB]]-Table1[[#This Row],[AMOUNT]]</f>
        <v>3520</v>
      </c>
      <c r="S154" s="1">
        <v>0</v>
      </c>
      <c r="T154" s="1" t="s">
        <v>79</v>
      </c>
      <c r="U154" s="1">
        <v>0</v>
      </c>
      <c r="V154" s="1" t="s">
        <v>267</v>
      </c>
      <c r="W154" s="1" t="s">
        <v>266</v>
      </c>
      <c r="X154" s="1" t="s">
        <v>268</v>
      </c>
      <c r="Y154" s="21" t="s">
        <v>2111</v>
      </c>
      <c r="Z154" s="21" t="s">
        <v>1566</v>
      </c>
      <c r="AA154" s="21" t="s">
        <v>1686</v>
      </c>
      <c r="AB154" s="21" t="s">
        <v>548</v>
      </c>
      <c r="AC154" s="21" t="s">
        <v>91</v>
      </c>
      <c r="AD154" s="21" t="s">
        <v>664</v>
      </c>
      <c r="AE154" s="21" t="s">
        <v>668</v>
      </c>
      <c r="AF154" s="21" t="s">
        <v>180</v>
      </c>
      <c r="AG154" s="21">
        <v>802835406</v>
      </c>
      <c r="AH154" s="21" t="s">
        <v>131</v>
      </c>
      <c r="AI154" s="21" t="s">
        <v>492</v>
      </c>
      <c r="AJ154" s="21"/>
      <c r="AK154" s="28" t="s">
        <v>43</v>
      </c>
      <c r="AL154" s="21"/>
      <c r="AM154" s="21"/>
      <c r="AN154" s="21"/>
      <c r="AO154" s="23">
        <v>45624</v>
      </c>
      <c r="AP154" s="21">
        <v>1280</v>
      </c>
      <c r="AQ154" s="21" t="s">
        <v>1810</v>
      </c>
      <c r="AR154" s="21" t="s">
        <v>1156</v>
      </c>
      <c r="AS154" s="21" t="s">
        <v>1914</v>
      </c>
      <c r="AT154" s="24"/>
    </row>
    <row r="155" spans="1:46" x14ac:dyDescent="0.25">
      <c r="A155" s="20" t="s">
        <v>1205</v>
      </c>
      <c r="B155" s="21" t="s">
        <v>1325</v>
      </c>
      <c r="C155" s="1" t="s">
        <v>47</v>
      </c>
      <c r="D155" s="21">
        <v>20</v>
      </c>
      <c r="E155" s="21" t="s">
        <v>1445</v>
      </c>
      <c r="F155" s="21" t="s">
        <v>77</v>
      </c>
      <c r="G155" s="22">
        <f>Table1[[#This Row],[ENR]]-Table1[[#This Row],[CREDIT]]</f>
        <v>4154.5200000000041</v>
      </c>
      <c r="H155" s="21">
        <v>90000</v>
      </c>
      <c r="I155" s="35">
        <v>94154.52</v>
      </c>
      <c r="J155" s="22" t="s">
        <v>78</v>
      </c>
      <c r="K155" s="22">
        <v>94154.52</v>
      </c>
      <c r="L155" s="22">
        <v>83116.39</v>
      </c>
      <c r="M155" s="21">
        <v>19350</v>
      </c>
      <c r="N155" s="22">
        <v>6020</v>
      </c>
      <c r="O155" s="1" t="s">
        <v>41</v>
      </c>
      <c r="P155" s="1" t="s">
        <v>42</v>
      </c>
      <c r="Q155" s="15">
        <v>0</v>
      </c>
      <c r="R155" s="22">
        <f>Table1[[#This Row],[STAB]]-Table1[[#This Row],[AMOUNT]]</f>
        <v>6020</v>
      </c>
      <c r="S155" s="1">
        <v>0</v>
      </c>
      <c r="T155" s="1" t="s">
        <v>79</v>
      </c>
      <c r="U155" s="1">
        <v>0</v>
      </c>
      <c r="V155" s="1" t="s">
        <v>267</v>
      </c>
      <c r="W155" s="1" t="s">
        <v>266</v>
      </c>
      <c r="X155" s="1" t="s">
        <v>268</v>
      </c>
      <c r="Y155" s="21" t="s">
        <v>2111</v>
      </c>
      <c r="Z155" s="21" t="s">
        <v>1567</v>
      </c>
      <c r="AA155" s="21" t="s">
        <v>1687</v>
      </c>
      <c r="AB155" s="21" t="s">
        <v>105</v>
      </c>
      <c r="AC155" s="21" t="s">
        <v>91</v>
      </c>
      <c r="AD155" s="21" t="s">
        <v>270</v>
      </c>
      <c r="AE155" s="21" t="s">
        <v>271</v>
      </c>
      <c r="AF155" s="21" t="s">
        <v>245</v>
      </c>
      <c r="AG155" s="21">
        <v>802555024</v>
      </c>
      <c r="AH155" s="21" t="s">
        <v>131</v>
      </c>
      <c r="AI155" s="21" t="s">
        <v>492</v>
      </c>
      <c r="AJ155" s="21"/>
      <c r="AK155" s="28" t="s">
        <v>447</v>
      </c>
      <c r="AL155" s="21" t="s">
        <v>458</v>
      </c>
      <c r="AM155" s="21" t="s">
        <v>1957</v>
      </c>
      <c r="AN155" s="21" t="s">
        <v>1949</v>
      </c>
      <c r="AO155" s="23">
        <v>45482</v>
      </c>
      <c r="AP155" s="21">
        <v>4960</v>
      </c>
      <c r="AQ155" s="21" t="s">
        <v>1811</v>
      </c>
      <c r="AR155" s="21" t="s">
        <v>1156</v>
      </c>
      <c r="AS155" s="21" t="s">
        <v>1914</v>
      </c>
      <c r="AT155" s="24"/>
    </row>
    <row r="156" spans="1:46" x14ac:dyDescent="0.25">
      <c r="A156" s="20" t="s">
        <v>1206</v>
      </c>
      <c r="B156" s="21" t="s">
        <v>1326</v>
      </c>
      <c r="C156" s="1" t="s">
        <v>83</v>
      </c>
      <c r="D156" s="21">
        <v>20</v>
      </c>
      <c r="E156" s="21" t="s">
        <v>1446</v>
      </c>
      <c r="F156" s="21" t="s">
        <v>77</v>
      </c>
      <c r="G156" s="22">
        <f>Table1[[#This Row],[ENR]]-Table1[[#This Row],[CREDIT]]</f>
        <v>-76496.850000000006</v>
      </c>
      <c r="H156" s="21">
        <v>182000</v>
      </c>
      <c r="I156" s="35">
        <v>105503.15</v>
      </c>
      <c r="J156" s="22" t="s">
        <v>78</v>
      </c>
      <c r="K156" s="22">
        <v>105503.15</v>
      </c>
      <c r="L156" s="22">
        <v>99212.69</v>
      </c>
      <c r="M156" s="21">
        <v>17860</v>
      </c>
      <c r="N156" s="22">
        <v>11000</v>
      </c>
      <c r="O156" s="1" t="s">
        <v>41</v>
      </c>
      <c r="P156" s="1" t="s">
        <v>42</v>
      </c>
      <c r="Q156" s="15">
        <v>0</v>
      </c>
      <c r="R156" s="22">
        <f>Table1[[#This Row],[STAB]]-Table1[[#This Row],[AMOUNT]]</f>
        <v>11000</v>
      </c>
      <c r="S156" s="1">
        <v>0</v>
      </c>
      <c r="T156" s="1" t="s">
        <v>79</v>
      </c>
      <c r="U156" s="1">
        <v>0</v>
      </c>
      <c r="V156" s="1" t="s">
        <v>267</v>
      </c>
      <c r="W156" s="1" t="s">
        <v>266</v>
      </c>
      <c r="X156" s="1" t="s">
        <v>268</v>
      </c>
      <c r="Y156" s="21" t="s">
        <v>2111</v>
      </c>
      <c r="Z156" s="21" t="s">
        <v>1568</v>
      </c>
      <c r="AA156" s="21" t="s">
        <v>1688</v>
      </c>
      <c r="AB156" s="21" t="s">
        <v>105</v>
      </c>
      <c r="AC156" s="21" t="s">
        <v>91</v>
      </c>
      <c r="AD156" s="21" t="s">
        <v>270</v>
      </c>
      <c r="AE156" s="21" t="s">
        <v>271</v>
      </c>
      <c r="AF156" s="21" t="s">
        <v>245</v>
      </c>
      <c r="AG156" s="21">
        <v>802555024</v>
      </c>
      <c r="AH156" s="21" t="s">
        <v>131</v>
      </c>
      <c r="AI156" s="21" t="s">
        <v>492</v>
      </c>
      <c r="AJ156" s="21"/>
      <c r="AK156" s="28" t="s">
        <v>43</v>
      </c>
      <c r="AL156" s="21"/>
      <c r="AM156" s="21"/>
      <c r="AN156" s="21"/>
      <c r="AO156" s="23">
        <v>46309</v>
      </c>
      <c r="AP156" s="21">
        <v>11100</v>
      </c>
      <c r="AQ156" s="21" t="s">
        <v>1812</v>
      </c>
      <c r="AR156" s="21" t="s">
        <v>125</v>
      </c>
      <c r="AS156" s="21" t="s">
        <v>1914</v>
      </c>
      <c r="AT156" s="24"/>
    </row>
    <row r="157" spans="1:46" x14ac:dyDescent="0.25">
      <c r="A157" s="20" t="s">
        <v>1207</v>
      </c>
      <c r="B157" s="21" t="s">
        <v>1327</v>
      </c>
      <c r="C157" s="1" t="s">
        <v>47</v>
      </c>
      <c r="D157" s="21">
        <v>20</v>
      </c>
      <c r="E157" s="21" t="s">
        <v>1447</v>
      </c>
      <c r="F157" s="21" t="s">
        <v>77</v>
      </c>
      <c r="G157" s="22">
        <f>Table1[[#This Row],[ENR]]-Table1[[#This Row],[CREDIT]]</f>
        <v>9346.4100000000035</v>
      </c>
      <c r="H157" s="21">
        <v>110000</v>
      </c>
      <c r="I157" s="35">
        <v>119346.41</v>
      </c>
      <c r="J157" s="22">
        <v>4652.42</v>
      </c>
      <c r="K157" s="22">
        <v>114693.99</v>
      </c>
      <c r="L157" s="22">
        <v>105010.2</v>
      </c>
      <c r="M157" s="21">
        <v>23480</v>
      </c>
      <c r="N157" s="22">
        <v>7650</v>
      </c>
      <c r="O157" s="1" t="s">
        <v>49</v>
      </c>
      <c r="P157" s="1" t="s">
        <v>12</v>
      </c>
      <c r="Q157" s="15">
        <v>23480</v>
      </c>
      <c r="R157" s="22">
        <f>Table1[[#This Row],[STAB]]-Table1[[#This Row],[AMOUNT]]</f>
        <v>-15830</v>
      </c>
      <c r="S157" s="1" t="s">
        <v>2093</v>
      </c>
      <c r="T157" s="1" t="s">
        <v>673</v>
      </c>
      <c r="U157" s="1">
        <v>0</v>
      </c>
      <c r="V157" s="1" t="s">
        <v>267</v>
      </c>
      <c r="W157" s="1" t="s">
        <v>645</v>
      </c>
      <c r="X157" s="1" t="s">
        <v>646</v>
      </c>
      <c r="Y157" s="21" t="s">
        <v>2111</v>
      </c>
      <c r="Z157" s="21" t="s">
        <v>1569</v>
      </c>
      <c r="AA157" s="21" t="s">
        <v>1689</v>
      </c>
      <c r="AB157" s="21" t="s">
        <v>433</v>
      </c>
      <c r="AC157" s="21" t="s">
        <v>443</v>
      </c>
      <c r="AD157" s="21" t="s">
        <v>75</v>
      </c>
      <c r="AE157" s="21" t="s">
        <v>441</v>
      </c>
      <c r="AF157" s="21" t="s">
        <v>442</v>
      </c>
      <c r="AG157" s="21">
        <v>802789320</v>
      </c>
      <c r="AH157" s="21" t="s">
        <v>130</v>
      </c>
      <c r="AI157" s="21" t="s">
        <v>492</v>
      </c>
      <c r="AJ157" s="21"/>
      <c r="AK157" s="28" t="s">
        <v>447</v>
      </c>
      <c r="AL157" s="21" t="s">
        <v>458</v>
      </c>
      <c r="AM157" s="21" t="s">
        <v>2107</v>
      </c>
      <c r="AN157" s="21" t="s">
        <v>2093</v>
      </c>
      <c r="AO157" s="23">
        <v>45459</v>
      </c>
      <c r="AP157" s="21">
        <v>4000</v>
      </c>
      <c r="AQ157" s="21" t="s">
        <v>1813</v>
      </c>
      <c r="AR157" s="21" t="s">
        <v>87</v>
      </c>
      <c r="AS157" s="21" t="s">
        <v>1914</v>
      </c>
      <c r="AT157" s="24"/>
    </row>
    <row r="158" spans="1:46" x14ac:dyDescent="0.25">
      <c r="A158" s="20" t="s">
        <v>1208</v>
      </c>
      <c r="B158" s="21" t="s">
        <v>1328</v>
      </c>
      <c r="C158" s="1" t="s">
        <v>47</v>
      </c>
      <c r="D158" s="21">
        <v>20</v>
      </c>
      <c r="E158" s="21" t="s">
        <v>1448</v>
      </c>
      <c r="F158" s="21" t="s">
        <v>77</v>
      </c>
      <c r="G158" s="22">
        <f>Table1[[#This Row],[ENR]]-Table1[[#This Row],[CREDIT]]</f>
        <v>13188.950000000012</v>
      </c>
      <c r="H158" s="21">
        <v>150000</v>
      </c>
      <c r="I158" s="35">
        <v>163188.95000000001</v>
      </c>
      <c r="J158" s="22">
        <v>31760.22</v>
      </c>
      <c r="K158" s="22">
        <v>131428.73000000001</v>
      </c>
      <c r="L158" s="22">
        <v>118184.38</v>
      </c>
      <c r="M158" s="21">
        <v>35000</v>
      </c>
      <c r="N158" s="22">
        <v>14880</v>
      </c>
      <c r="O158" s="1" t="s">
        <v>41</v>
      </c>
      <c r="P158" s="1" t="s">
        <v>42</v>
      </c>
      <c r="Q158" s="15">
        <v>0</v>
      </c>
      <c r="R158" s="22">
        <f>Table1[[#This Row],[STAB]]-Table1[[#This Row],[AMOUNT]]</f>
        <v>14880</v>
      </c>
      <c r="S158" s="1">
        <v>0</v>
      </c>
      <c r="T158" s="1" t="s">
        <v>79</v>
      </c>
      <c r="U158" s="1">
        <v>0</v>
      </c>
      <c r="V158" s="1" t="s">
        <v>267</v>
      </c>
      <c r="W158" s="1" t="s">
        <v>107</v>
      </c>
      <c r="X158" s="1" t="s">
        <v>200</v>
      </c>
      <c r="Y158" s="21" t="s">
        <v>2111</v>
      </c>
      <c r="Z158" s="21" t="s">
        <v>1570</v>
      </c>
      <c r="AA158" s="21" t="s">
        <v>1690</v>
      </c>
      <c r="AB158" s="21" t="s">
        <v>224</v>
      </c>
      <c r="AC158" s="21" t="s">
        <v>93</v>
      </c>
      <c r="AD158" s="21" t="s">
        <v>459</v>
      </c>
      <c r="AE158" s="21" t="s">
        <v>226</v>
      </c>
      <c r="AF158" s="21" t="s">
        <v>225</v>
      </c>
      <c r="AG158" s="21">
        <v>802388289</v>
      </c>
      <c r="AH158" s="21" t="s">
        <v>130</v>
      </c>
      <c r="AI158" s="21" t="s">
        <v>492</v>
      </c>
      <c r="AJ158" s="21"/>
      <c r="AK158" s="28" t="s">
        <v>447</v>
      </c>
      <c r="AL158" s="21" t="s">
        <v>454</v>
      </c>
      <c r="AM158" s="21" t="s">
        <v>2091</v>
      </c>
      <c r="AN158" s="21" t="s">
        <v>2084</v>
      </c>
      <c r="AO158" s="23">
        <v>45626</v>
      </c>
      <c r="AP158" s="21">
        <v>13080</v>
      </c>
      <c r="AQ158" s="21" t="s">
        <v>1814</v>
      </c>
      <c r="AR158" s="21" t="s">
        <v>1911</v>
      </c>
      <c r="AS158" s="21" t="s">
        <v>1914</v>
      </c>
      <c r="AT158" s="24"/>
    </row>
    <row r="159" spans="1:46" x14ac:dyDescent="0.25">
      <c r="A159" s="20" t="s">
        <v>1209</v>
      </c>
      <c r="B159" s="21" t="s">
        <v>1329</v>
      </c>
      <c r="C159" s="1" t="s">
        <v>47</v>
      </c>
      <c r="D159" s="21">
        <v>20</v>
      </c>
      <c r="E159" s="21" t="s">
        <v>1449</v>
      </c>
      <c r="F159" s="21" t="s">
        <v>77</v>
      </c>
      <c r="G159" s="22">
        <f>Table1[[#This Row],[ENR]]-Table1[[#This Row],[CREDIT]]</f>
        <v>5347</v>
      </c>
      <c r="H159" s="21">
        <v>140000</v>
      </c>
      <c r="I159" s="35">
        <v>145347</v>
      </c>
      <c r="J159" s="22" t="s">
        <v>78</v>
      </c>
      <c r="K159" s="22">
        <v>145347</v>
      </c>
      <c r="L159" s="22">
        <v>130851.78</v>
      </c>
      <c r="M159" s="21">
        <v>28510</v>
      </c>
      <c r="N159" s="22">
        <v>9670</v>
      </c>
      <c r="O159" s="1" t="s">
        <v>41</v>
      </c>
      <c r="P159" s="1" t="s">
        <v>42</v>
      </c>
      <c r="Q159" s="15">
        <v>0</v>
      </c>
      <c r="R159" s="22">
        <f>Table1[[#This Row],[STAB]]-Table1[[#This Row],[AMOUNT]]</f>
        <v>9670</v>
      </c>
      <c r="S159" s="1">
        <v>0</v>
      </c>
      <c r="T159" s="1" t="s">
        <v>79</v>
      </c>
      <c r="U159" s="1">
        <v>0</v>
      </c>
      <c r="V159" s="1" t="s">
        <v>267</v>
      </c>
      <c r="W159" s="1" t="s">
        <v>107</v>
      </c>
      <c r="X159" s="1" t="s">
        <v>200</v>
      </c>
      <c r="Y159" s="21" t="s">
        <v>2111</v>
      </c>
      <c r="Z159" s="21" t="s">
        <v>1571</v>
      </c>
      <c r="AA159" s="21" t="s">
        <v>1691</v>
      </c>
      <c r="AB159" s="21" t="s">
        <v>224</v>
      </c>
      <c r="AC159" s="21" t="s">
        <v>93</v>
      </c>
      <c r="AD159" s="21" t="s">
        <v>459</v>
      </c>
      <c r="AE159" s="21" t="s">
        <v>226</v>
      </c>
      <c r="AF159" s="21" t="s">
        <v>225</v>
      </c>
      <c r="AG159" s="21">
        <v>802388289</v>
      </c>
      <c r="AH159" s="21" t="s">
        <v>130</v>
      </c>
      <c r="AI159" s="21" t="s">
        <v>492</v>
      </c>
      <c r="AJ159" s="21"/>
      <c r="AK159" s="28" t="s">
        <v>447</v>
      </c>
      <c r="AL159" s="21" t="s">
        <v>463</v>
      </c>
      <c r="AM159" s="21" t="s">
        <v>2126</v>
      </c>
      <c r="AN159" s="21" t="s">
        <v>2115</v>
      </c>
      <c r="AO159" s="23">
        <v>45602</v>
      </c>
      <c r="AP159" s="21">
        <v>29910</v>
      </c>
      <c r="AQ159" s="21" t="s">
        <v>1815</v>
      </c>
      <c r="AR159" s="21" t="s">
        <v>177</v>
      </c>
      <c r="AS159" s="21" t="s">
        <v>1914</v>
      </c>
      <c r="AT159" s="24"/>
    </row>
    <row r="160" spans="1:46" x14ac:dyDescent="0.25">
      <c r="A160" s="20" t="s">
        <v>1210</v>
      </c>
      <c r="B160" s="21" t="s">
        <v>1330</v>
      </c>
      <c r="C160" s="1" t="s">
        <v>83</v>
      </c>
      <c r="D160" s="21">
        <v>20</v>
      </c>
      <c r="E160" s="21" t="s">
        <v>1450</v>
      </c>
      <c r="F160" s="21" t="s">
        <v>77</v>
      </c>
      <c r="G160" s="22">
        <f>Table1[[#This Row],[ENR]]-Table1[[#This Row],[CREDIT]]</f>
        <v>-1555.9500000000116</v>
      </c>
      <c r="H160" s="21">
        <v>180000</v>
      </c>
      <c r="I160" s="35">
        <v>178444.05</v>
      </c>
      <c r="J160" s="22" t="s">
        <v>78</v>
      </c>
      <c r="K160" s="22">
        <v>178444.05</v>
      </c>
      <c r="L160" s="22">
        <v>168473.83</v>
      </c>
      <c r="M160" s="21">
        <v>37720</v>
      </c>
      <c r="N160" s="22">
        <v>27490</v>
      </c>
      <c r="O160" s="1" t="s">
        <v>49</v>
      </c>
      <c r="P160" s="1" t="s">
        <v>12</v>
      </c>
      <c r="Q160" s="15">
        <v>37720</v>
      </c>
      <c r="R160" s="22">
        <f>Table1[[#This Row],[STAB]]-Table1[[#This Row],[AMOUNT]]</f>
        <v>-10230</v>
      </c>
      <c r="S160" s="1">
        <v>0</v>
      </c>
      <c r="T160" s="1" t="s">
        <v>79</v>
      </c>
      <c r="U160" s="1">
        <v>0</v>
      </c>
      <c r="V160" s="1" t="s">
        <v>267</v>
      </c>
      <c r="W160" s="1" t="s">
        <v>266</v>
      </c>
      <c r="X160" s="1" t="s">
        <v>268</v>
      </c>
      <c r="Y160" s="21" t="s">
        <v>2111</v>
      </c>
      <c r="Z160" s="21" t="s">
        <v>1572</v>
      </c>
      <c r="AA160" s="21" t="s">
        <v>1692</v>
      </c>
      <c r="AB160" s="21" t="s">
        <v>80</v>
      </c>
      <c r="AC160" s="21" t="s">
        <v>91</v>
      </c>
      <c r="AD160" s="21" t="s">
        <v>111</v>
      </c>
      <c r="AE160" s="21" t="s">
        <v>565</v>
      </c>
      <c r="AF160" s="21" t="s">
        <v>563</v>
      </c>
      <c r="AG160" s="21">
        <v>802794852</v>
      </c>
      <c r="AH160" s="21" t="s">
        <v>130</v>
      </c>
      <c r="AI160" s="21" t="s">
        <v>492</v>
      </c>
      <c r="AJ160" s="21"/>
      <c r="AK160" s="28" t="s">
        <v>447</v>
      </c>
      <c r="AL160" s="21" t="s">
        <v>458</v>
      </c>
      <c r="AM160" s="21" t="s">
        <v>1945</v>
      </c>
      <c r="AN160" s="21" t="s">
        <v>1941</v>
      </c>
      <c r="AO160" s="23">
        <v>46119</v>
      </c>
      <c r="AP160" s="21">
        <v>180000</v>
      </c>
      <c r="AQ160" s="21" t="s">
        <v>1816</v>
      </c>
      <c r="AR160" s="21" t="s">
        <v>177</v>
      </c>
      <c r="AS160" s="21" t="s">
        <v>1914</v>
      </c>
      <c r="AT160" s="24"/>
    </row>
    <row r="161" spans="1:46" x14ac:dyDescent="0.25">
      <c r="A161" s="20" t="s">
        <v>1211</v>
      </c>
      <c r="B161" s="21" t="s">
        <v>1331</v>
      </c>
      <c r="C161" s="1" t="s">
        <v>47</v>
      </c>
      <c r="D161" s="21">
        <v>20</v>
      </c>
      <c r="E161" s="21" t="s">
        <v>1451</v>
      </c>
      <c r="F161" s="21" t="s">
        <v>77</v>
      </c>
      <c r="G161" s="22">
        <f>Table1[[#This Row],[ENR]]-Table1[[#This Row],[CREDIT]]</f>
        <v>2630.4599999999919</v>
      </c>
      <c r="H161" s="21">
        <v>191000</v>
      </c>
      <c r="I161" s="35">
        <v>193630.46</v>
      </c>
      <c r="J161" s="22" t="s">
        <v>78</v>
      </c>
      <c r="K161" s="22">
        <v>193630.46</v>
      </c>
      <c r="L161" s="22">
        <v>178727.41</v>
      </c>
      <c r="M161" s="21">
        <v>54270</v>
      </c>
      <c r="N161" s="22">
        <v>36570</v>
      </c>
      <c r="O161" s="1" t="s">
        <v>41</v>
      </c>
      <c r="P161" s="1" t="s">
        <v>42</v>
      </c>
      <c r="Q161" s="15">
        <v>0</v>
      </c>
      <c r="R161" s="22">
        <f>Table1[[#This Row],[STAB]]-Table1[[#This Row],[AMOUNT]]</f>
        <v>36570</v>
      </c>
      <c r="S161" s="1">
        <v>0</v>
      </c>
      <c r="T161" s="1" t="s">
        <v>79</v>
      </c>
      <c r="U161" s="1">
        <v>0</v>
      </c>
      <c r="V161" s="1" t="s">
        <v>267</v>
      </c>
      <c r="W161" s="1" t="s">
        <v>107</v>
      </c>
      <c r="X161" s="1" t="s">
        <v>200</v>
      </c>
      <c r="Y161" s="21" t="s">
        <v>2111</v>
      </c>
      <c r="Z161" s="21" t="s">
        <v>1573</v>
      </c>
      <c r="AA161" s="21" t="s">
        <v>1693</v>
      </c>
      <c r="AB161" s="21" t="s">
        <v>138</v>
      </c>
      <c r="AC161" s="21" t="s">
        <v>93</v>
      </c>
      <c r="AD161" s="21" t="s">
        <v>139</v>
      </c>
      <c r="AE161" s="21" t="s">
        <v>202</v>
      </c>
      <c r="AF161" s="21" t="s">
        <v>490</v>
      </c>
      <c r="AG161" s="21">
        <v>802823528</v>
      </c>
      <c r="AH161" s="21" t="s">
        <v>488</v>
      </c>
      <c r="AI161" s="21" t="s">
        <v>492</v>
      </c>
      <c r="AJ161" s="21"/>
      <c r="AK161" s="28" t="s">
        <v>447</v>
      </c>
      <c r="AL161" s="21" t="s">
        <v>463</v>
      </c>
      <c r="AM161" s="21" t="s">
        <v>2106</v>
      </c>
      <c r="AN161" s="21" t="s">
        <v>2093</v>
      </c>
      <c r="AO161" s="23">
        <v>45785</v>
      </c>
      <c r="AP161" s="21">
        <v>43554.36</v>
      </c>
      <c r="AQ161" s="21" t="s">
        <v>1817</v>
      </c>
      <c r="AR161" s="21" t="s">
        <v>82</v>
      </c>
      <c r="AS161" s="21" t="s">
        <v>1914</v>
      </c>
      <c r="AT161" s="24"/>
    </row>
    <row r="162" spans="1:46" x14ac:dyDescent="0.25">
      <c r="A162" s="20" t="s">
        <v>1212</v>
      </c>
      <c r="B162" s="21" t="s">
        <v>1332</v>
      </c>
      <c r="C162" s="1" t="s">
        <v>47</v>
      </c>
      <c r="D162" s="21">
        <v>20</v>
      </c>
      <c r="E162" s="21" t="s">
        <v>1452</v>
      </c>
      <c r="F162" s="21" t="s">
        <v>77</v>
      </c>
      <c r="G162" s="22">
        <f>Table1[[#This Row],[ENR]]-Table1[[#This Row],[CREDIT]]</f>
        <v>306534.89</v>
      </c>
      <c r="H162" s="21">
        <v>480000</v>
      </c>
      <c r="I162" s="35">
        <v>786534.89</v>
      </c>
      <c r="J162" s="22">
        <v>242119.23</v>
      </c>
      <c r="K162" s="22">
        <v>544415.66</v>
      </c>
      <c r="L162" s="22">
        <v>498599.22</v>
      </c>
      <c r="M162" s="21">
        <v>197110</v>
      </c>
      <c r="N162" s="22">
        <v>71760</v>
      </c>
      <c r="O162" s="1" t="s">
        <v>41</v>
      </c>
      <c r="P162" s="1" t="s">
        <v>42</v>
      </c>
      <c r="Q162" s="15">
        <v>0</v>
      </c>
      <c r="R162" s="22">
        <f>Table1[[#This Row],[STAB]]-Table1[[#This Row],[AMOUNT]]</f>
        <v>71760</v>
      </c>
      <c r="S162" s="1">
        <v>0</v>
      </c>
      <c r="T162" s="1" t="s">
        <v>79</v>
      </c>
      <c r="U162" s="1">
        <v>0</v>
      </c>
      <c r="V162" s="1" t="s">
        <v>267</v>
      </c>
      <c r="W162" s="1" t="s">
        <v>107</v>
      </c>
      <c r="X162" s="1" t="s">
        <v>200</v>
      </c>
      <c r="Y162" s="21" t="s">
        <v>2111</v>
      </c>
      <c r="Z162" s="21" t="s">
        <v>1574</v>
      </c>
      <c r="AA162" s="21" t="s">
        <v>1694</v>
      </c>
      <c r="AB162" s="21" t="s">
        <v>549</v>
      </c>
      <c r="AC162" s="21" t="s">
        <v>93</v>
      </c>
      <c r="AD162" s="28" t="s">
        <v>2082</v>
      </c>
      <c r="AE162" s="21" t="s">
        <v>2083</v>
      </c>
      <c r="AF162" s="21" t="s">
        <v>564</v>
      </c>
      <c r="AG162" s="21">
        <v>802349062</v>
      </c>
      <c r="AH162" s="21" t="s">
        <v>130</v>
      </c>
      <c r="AI162" s="21" t="s">
        <v>492</v>
      </c>
      <c r="AJ162" s="21"/>
      <c r="AK162" s="28" t="s">
        <v>43</v>
      </c>
      <c r="AL162" s="21"/>
      <c r="AM162" s="21"/>
      <c r="AN162" s="21"/>
      <c r="AO162" s="23">
        <v>46273</v>
      </c>
      <c r="AP162" s="21">
        <v>70440</v>
      </c>
      <c r="AQ162" s="21" t="s">
        <v>1818</v>
      </c>
      <c r="AR162" s="21" t="s">
        <v>177</v>
      </c>
      <c r="AS162" s="21" t="s">
        <v>1914</v>
      </c>
      <c r="AT162" s="24"/>
    </row>
    <row r="163" spans="1:46" x14ac:dyDescent="0.25">
      <c r="A163" s="20" t="s">
        <v>1213</v>
      </c>
      <c r="B163" s="21" t="s">
        <v>1333</v>
      </c>
      <c r="C163" s="1" t="s">
        <v>83</v>
      </c>
      <c r="D163" s="21">
        <v>20</v>
      </c>
      <c r="E163" s="21" t="s">
        <v>1453</v>
      </c>
      <c r="F163" s="21" t="s">
        <v>77</v>
      </c>
      <c r="G163" s="22">
        <f>Table1[[#This Row],[ENR]]-Table1[[#This Row],[CREDIT]]</f>
        <v>49109.989999999991</v>
      </c>
      <c r="H163" s="21">
        <v>500000</v>
      </c>
      <c r="I163" s="35">
        <v>549109.99</v>
      </c>
      <c r="J163" s="22" t="s">
        <v>78</v>
      </c>
      <c r="K163" s="22">
        <v>549109.99</v>
      </c>
      <c r="L163" s="22">
        <v>499830</v>
      </c>
      <c r="M163" s="21">
        <v>142420</v>
      </c>
      <c r="N163" s="22">
        <v>94720</v>
      </c>
      <c r="O163" s="1" t="s">
        <v>41</v>
      </c>
      <c r="P163" s="1" t="s">
        <v>42</v>
      </c>
      <c r="Q163" s="15">
        <v>0</v>
      </c>
      <c r="R163" s="22">
        <f>Table1[[#This Row],[STAB]]-Table1[[#This Row],[AMOUNT]]</f>
        <v>94720</v>
      </c>
      <c r="S163" s="1">
        <v>0</v>
      </c>
      <c r="T163" s="1" t="s">
        <v>79</v>
      </c>
      <c r="U163" s="1">
        <v>0</v>
      </c>
      <c r="V163" s="1" t="s">
        <v>267</v>
      </c>
      <c r="W163" s="1" t="s">
        <v>107</v>
      </c>
      <c r="X163" s="1" t="s">
        <v>200</v>
      </c>
      <c r="Y163" s="21" t="s">
        <v>2111</v>
      </c>
      <c r="Z163" s="21" t="s">
        <v>1575</v>
      </c>
      <c r="AA163" s="21" t="s">
        <v>1695</v>
      </c>
      <c r="AB163" s="21" t="s">
        <v>846</v>
      </c>
      <c r="AC163" s="21" t="s">
        <v>93</v>
      </c>
      <c r="AD163" s="21" t="s">
        <v>460</v>
      </c>
      <c r="AE163" s="21" t="s">
        <v>444</v>
      </c>
      <c r="AF163" s="21" t="s">
        <v>181</v>
      </c>
      <c r="AG163" s="21">
        <v>802823180</v>
      </c>
      <c r="AH163" s="21" t="s">
        <v>132</v>
      </c>
      <c r="AI163" s="21" t="s">
        <v>492</v>
      </c>
      <c r="AJ163" s="21"/>
      <c r="AK163" s="28" t="s">
        <v>447</v>
      </c>
      <c r="AL163" s="21" t="s">
        <v>458</v>
      </c>
      <c r="AM163" s="21" t="s">
        <v>1963</v>
      </c>
      <c r="AN163" s="21" t="s">
        <v>1949</v>
      </c>
      <c r="AO163" s="23">
        <v>46295</v>
      </c>
      <c r="AP163" s="21">
        <v>23000</v>
      </c>
      <c r="AQ163" s="21" t="s">
        <v>1819</v>
      </c>
      <c r="AR163" s="21" t="s">
        <v>1156</v>
      </c>
      <c r="AS163" s="21" t="s">
        <v>1914</v>
      </c>
      <c r="AT163" s="24"/>
    </row>
    <row r="164" spans="1:46" x14ac:dyDescent="0.25">
      <c r="A164" s="20" t="s">
        <v>1214</v>
      </c>
      <c r="B164" s="21" t="s">
        <v>1334</v>
      </c>
      <c r="C164" s="1" t="s">
        <v>47</v>
      </c>
      <c r="D164" s="21">
        <v>20</v>
      </c>
      <c r="E164" s="21" t="s">
        <v>1454</v>
      </c>
      <c r="F164" s="21" t="s">
        <v>77</v>
      </c>
      <c r="G164" s="22">
        <f>Table1[[#This Row],[ENR]]-Table1[[#This Row],[CREDIT]]</f>
        <v>-20722.77</v>
      </c>
      <c r="H164" s="21">
        <v>50000</v>
      </c>
      <c r="I164" s="35">
        <v>29277.23</v>
      </c>
      <c r="J164" s="22">
        <v>17668.12</v>
      </c>
      <c r="K164" s="22">
        <v>11609.11</v>
      </c>
      <c r="L164" s="22">
        <v>8447.24</v>
      </c>
      <c r="M164" s="21">
        <v>11609.11</v>
      </c>
      <c r="N164" s="22">
        <v>5752.26</v>
      </c>
      <c r="O164" s="1" t="s">
        <v>41</v>
      </c>
      <c r="P164" s="1" t="s">
        <v>42</v>
      </c>
      <c r="Q164" s="15">
        <v>0</v>
      </c>
      <c r="R164" s="22">
        <f>Table1[[#This Row],[STAB]]-Table1[[#This Row],[AMOUNT]]</f>
        <v>5752.26</v>
      </c>
      <c r="S164" s="1">
        <v>0</v>
      </c>
      <c r="T164" s="1" t="s">
        <v>79</v>
      </c>
      <c r="U164" s="1">
        <v>0</v>
      </c>
      <c r="V164" s="1" t="s">
        <v>267</v>
      </c>
      <c r="W164" s="1" t="s">
        <v>266</v>
      </c>
      <c r="X164" s="1" t="s">
        <v>268</v>
      </c>
      <c r="Y164" s="21" t="s">
        <v>2111</v>
      </c>
      <c r="Z164" s="21" t="s">
        <v>1576</v>
      </c>
      <c r="AA164" s="21" t="s">
        <v>1696</v>
      </c>
      <c r="AB164" s="21" t="s">
        <v>105</v>
      </c>
      <c r="AC164" s="21" t="s">
        <v>91</v>
      </c>
      <c r="AD164" s="21" t="s">
        <v>270</v>
      </c>
      <c r="AE164" s="21" t="s">
        <v>271</v>
      </c>
      <c r="AF164" s="21" t="s">
        <v>245</v>
      </c>
      <c r="AG164" s="21">
        <v>802555024</v>
      </c>
      <c r="AH164" s="21" t="s">
        <v>131</v>
      </c>
      <c r="AI164" s="21" t="s">
        <v>492</v>
      </c>
      <c r="AJ164" s="21"/>
      <c r="AK164" s="28" t="s">
        <v>43</v>
      </c>
      <c r="AL164" s="21"/>
      <c r="AM164" s="21"/>
      <c r="AN164" s="21"/>
      <c r="AO164" s="23">
        <v>45886</v>
      </c>
      <c r="AP164" s="21">
        <v>2560</v>
      </c>
      <c r="AQ164" s="21" t="s">
        <v>1820</v>
      </c>
      <c r="AR164" s="21" t="s">
        <v>125</v>
      </c>
      <c r="AS164" s="21" t="s">
        <v>1914</v>
      </c>
      <c r="AT164" s="24"/>
    </row>
    <row r="165" spans="1:46" x14ac:dyDescent="0.25">
      <c r="A165" s="20" t="s">
        <v>1215</v>
      </c>
      <c r="B165" s="21" t="s">
        <v>1335</v>
      </c>
      <c r="C165" s="1" t="s">
        <v>47</v>
      </c>
      <c r="D165" s="21">
        <v>20</v>
      </c>
      <c r="E165" s="21" t="s">
        <v>1455</v>
      </c>
      <c r="F165" s="21" t="s">
        <v>77</v>
      </c>
      <c r="G165" s="22">
        <f>Table1[[#This Row],[ENR]]-Table1[[#This Row],[CREDIT]]</f>
        <v>-43006.729999999981</v>
      </c>
      <c r="H165" s="21">
        <v>380000</v>
      </c>
      <c r="I165" s="35">
        <v>336993.27</v>
      </c>
      <c r="J165" s="22" t="s">
        <v>78</v>
      </c>
      <c r="K165" s="22">
        <v>336993.27</v>
      </c>
      <c r="L165" s="22">
        <v>319021.86</v>
      </c>
      <c r="M165" s="21">
        <v>62470</v>
      </c>
      <c r="N165" s="22">
        <v>43980</v>
      </c>
      <c r="O165" s="1" t="s">
        <v>41</v>
      </c>
      <c r="P165" s="1" t="s">
        <v>42</v>
      </c>
      <c r="Q165" s="15">
        <v>0</v>
      </c>
      <c r="R165" s="22">
        <f>Table1[[#This Row],[STAB]]-Table1[[#This Row],[AMOUNT]]</f>
        <v>43980</v>
      </c>
      <c r="S165" s="1">
        <v>0</v>
      </c>
      <c r="T165" s="1" t="s">
        <v>79</v>
      </c>
      <c r="U165" s="1">
        <v>0</v>
      </c>
      <c r="V165" s="1" t="s">
        <v>267</v>
      </c>
      <c r="W165" s="1" t="s">
        <v>266</v>
      </c>
      <c r="X165" s="1" t="s">
        <v>268</v>
      </c>
      <c r="Y165" s="21" t="s">
        <v>2111</v>
      </c>
      <c r="Z165" s="21" t="s">
        <v>1577</v>
      </c>
      <c r="AA165" s="21" t="s">
        <v>1697</v>
      </c>
      <c r="AB165" s="21" t="s">
        <v>105</v>
      </c>
      <c r="AC165" s="21" t="s">
        <v>91</v>
      </c>
      <c r="AD165" s="21" t="s">
        <v>270</v>
      </c>
      <c r="AE165" s="21" t="s">
        <v>271</v>
      </c>
      <c r="AF165" s="21" t="s">
        <v>245</v>
      </c>
      <c r="AG165" s="21">
        <v>802555024</v>
      </c>
      <c r="AH165" s="21" t="s">
        <v>131</v>
      </c>
      <c r="AI165" s="21" t="s">
        <v>492</v>
      </c>
      <c r="AJ165" s="21"/>
      <c r="AK165" s="28" t="s">
        <v>43</v>
      </c>
      <c r="AL165" s="21"/>
      <c r="AM165" s="21"/>
      <c r="AN165" s="21"/>
      <c r="AO165" s="23">
        <v>46184</v>
      </c>
      <c r="AP165" s="21">
        <v>5180</v>
      </c>
      <c r="AQ165" s="21" t="s">
        <v>1821</v>
      </c>
      <c r="AR165" s="21" t="s">
        <v>177</v>
      </c>
      <c r="AS165" s="21" t="s">
        <v>1914</v>
      </c>
      <c r="AT165" s="24"/>
    </row>
    <row r="166" spans="1:46" x14ac:dyDescent="0.25">
      <c r="A166" s="20" t="s">
        <v>1216</v>
      </c>
      <c r="B166" s="21" t="s">
        <v>1336</v>
      </c>
      <c r="C166" s="1" t="s">
        <v>47</v>
      </c>
      <c r="D166" s="21">
        <v>20</v>
      </c>
      <c r="E166" s="21" t="s">
        <v>1456</v>
      </c>
      <c r="F166" s="21" t="s">
        <v>77</v>
      </c>
      <c r="G166" s="22">
        <f>Table1[[#This Row],[ENR]]-Table1[[#This Row],[CREDIT]]</f>
        <v>4996.9800000000032</v>
      </c>
      <c r="H166" s="21">
        <v>60000</v>
      </c>
      <c r="I166" s="35">
        <v>64996.98</v>
      </c>
      <c r="J166" s="22" t="s">
        <v>78</v>
      </c>
      <c r="K166" s="22">
        <v>64996.98</v>
      </c>
      <c r="L166" s="22">
        <v>56623.02</v>
      </c>
      <c r="M166" s="21">
        <v>16530</v>
      </c>
      <c r="N166" s="22">
        <v>5750</v>
      </c>
      <c r="O166" s="1" t="s">
        <v>41</v>
      </c>
      <c r="P166" s="1" t="s">
        <v>42</v>
      </c>
      <c r="Q166" s="15">
        <v>0</v>
      </c>
      <c r="R166" s="22">
        <f>Table1[[#This Row],[STAB]]-Table1[[#This Row],[AMOUNT]]</f>
        <v>5750</v>
      </c>
      <c r="S166" s="1">
        <v>0</v>
      </c>
      <c r="T166" s="1" t="s">
        <v>79</v>
      </c>
      <c r="U166" s="1">
        <v>0</v>
      </c>
      <c r="V166" s="1" t="s">
        <v>267</v>
      </c>
      <c r="W166" s="1" t="s">
        <v>266</v>
      </c>
      <c r="X166" s="1" t="s">
        <v>268</v>
      </c>
      <c r="Y166" s="21" t="s">
        <v>2111</v>
      </c>
      <c r="Z166" s="21" t="s">
        <v>1578</v>
      </c>
      <c r="AA166" s="21" t="s">
        <v>1698</v>
      </c>
      <c r="AB166" s="21" t="s">
        <v>105</v>
      </c>
      <c r="AC166" s="21" t="s">
        <v>91</v>
      </c>
      <c r="AD166" s="21" t="s">
        <v>270</v>
      </c>
      <c r="AE166" s="21" t="s">
        <v>271</v>
      </c>
      <c r="AF166" s="21" t="s">
        <v>245</v>
      </c>
      <c r="AG166" s="21">
        <v>802555024</v>
      </c>
      <c r="AH166" s="21" t="s">
        <v>131</v>
      </c>
      <c r="AI166" s="21" t="s">
        <v>492</v>
      </c>
      <c r="AJ166" s="21"/>
      <c r="AK166" s="28" t="s">
        <v>43</v>
      </c>
      <c r="AL166" s="21"/>
      <c r="AM166" s="21"/>
      <c r="AN166" s="21"/>
      <c r="AO166" s="23">
        <v>45490</v>
      </c>
      <c r="AP166" s="21">
        <v>2480</v>
      </c>
      <c r="AQ166" s="21" t="s">
        <v>1822</v>
      </c>
      <c r="AR166" s="21" t="s">
        <v>1156</v>
      </c>
      <c r="AS166" s="21" t="s">
        <v>1914</v>
      </c>
      <c r="AT166" s="24"/>
    </row>
    <row r="167" spans="1:46" x14ac:dyDescent="0.25">
      <c r="A167" s="20" t="s">
        <v>1217</v>
      </c>
      <c r="B167" s="21" t="s">
        <v>1337</v>
      </c>
      <c r="C167" s="1" t="s">
        <v>83</v>
      </c>
      <c r="D167" s="21">
        <v>20</v>
      </c>
      <c r="E167" s="21" t="s">
        <v>1457</v>
      </c>
      <c r="F167" s="21" t="s">
        <v>77</v>
      </c>
      <c r="G167" s="22">
        <f>Table1[[#This Row],[ENR]]-Table1[[#This Row],[CREDIT]]</f>
        <v>-17886.910000000003</v>
      </c>
      <c r="H167" s="21">
        <v>56000</v>
      </c>
      <c r="I167" s="35">
        <v>38113.089999999997</v>
      </c>
      <c r="J167" s="22" t="s">
        <v>78</v>
      </c>
      <c r="K167" s="22">
        <v>38113.089999999997</v>
      </c>
      <c r="L167" s="22">
        <v>32716.7</v>
      </c>
      <c r="M167" s="21">
        <v>8830</v>
      </c>
      <c r="N167" s="22">
        <v>4440</v>
      </c>
      <c r="O167" s="1" t="s">
        <v>41</v>
      </c>
      <c r="P167" s="1" t="s">
        <v>42</v>
      </c>
      <c r="Q167" s="15">
        <v>0</v>
      </c>
      <c r="R167" s="22">
        <f>Table1[[#This Row],[STAB]]-Table1[[#This Row],[AMOUNT]]</f>
        <v>4440</v>
      </c>
      <c r="S167" s="1">
        <v>0</v>
      </c>
      <c r="T167" s="1" t="s">
        <v>79</v>
      </c>
      <c r="U167" s="1">
        <v>0</v>
      </c>
      <c r="V167" s="1" t="s">
        <v>267</v>
      </c>
      <c r="W167" s="1" t="s">
        <v>266</v>
      </c>
      <c r="X167" s="1" t="s">
        <v>268</v>
      </c>
      <c r="Y167" s="21" t="s">
        <v>2111</v>
      </c>
      <c r="Z167" s="21" t="s">
        <v>1579</v>
      </c>
      <c r="AA167" s="21" t="s">
        <v>1699</v>
      </c>
      <c r="AB167" s="21" t="s">
        <v>105</v>
      </c>
      <c r="AC167" s="21" t="s">
        <v>91</v>
      </c>
      <c r="AD167" s="21" t="s">
        <v>270</v>
      </c>
      <c r="AE167" s="21" t="s">
        <v>271</v>
      </c>
      <c r="AF167" s="21" t="s">
        <v>245</v>
      </c>
      <c r="AG167" s="21">
        <v>802555024</v>
      </c>
      <c r="AH167" s="21" t="s">
        <v>131</v>
      </c>
      <c r="AI167" s="21" t="s">
        <v>492</v>
      </c>
      <c r="AJ167" s="21"/>
      <c r="AK167" s="28" t="s">
        <v>447</v>
      </c>
      <c r="AL167" s="21" t="s">
        <v>458</v>
      </c>
      <c r="AM167" s="21" t="s">
        <v>2098</v>
      </c>
      <c r="AN167" s="21" t="s">
        <v>2093</v>
      </c>
      <c r="AO167" s="23">
        <v>45881</v>
      </c>
      <c r="AP167" s="21">
        <v>7370</v>
      </c>
      <c r="AQ167" s="21" t="s">
        <v>1823</v>
      </c>
      <c r="AR167" s="21" t="s">
        <v>1156</v>
      </c>
      <c r="AS167" s="21" t="s">
        <v>1914</v>
      </c>
      <c r="AT167" s="24"/>
    </row>
    <row r="168" spans="1:46" x14ac:dyDescent="0.25">
      <c r="A168" s="20" t="s">
        <v>1218</v>
      </c>
      <c r="B168" s="21" t="s">
        <v>1338</v>
      </c>
      <c r="C168" s="1" t="s">
        <v>47</v>
      </c>
      <c r="D168" s="21">
        <v>20</v>
      </c>
      <c r="E168" s="21" t="s">
        <v>1458</v>
      </c>
      <c r="F168" s="21" t="s">
        <v>77</v>
      </c>
      <c r="G168" s="22">
        <f>Table1[[#This Row],[ENR]]-Table1[[#This Row],[CREDIT]]</f>
        <v>3285.260000000002</v>
      </c>
      <c r="H168" s="21">
        <v>50000</v>
      </c>
      <c r="I168" s="35">
        <v>53285.26</v>
      </c>
      <c r="J168" s="22" t="s">
        <v>78</v>
      </c>
      <c r="K168" s="22">
        <v>53285.26</v>
      </c>
      <c r="L168" s="22">
        <v>46683.44</v>
      </c>
      <c r="M168" s="21">
        <v>12570</v>
      </c>
      <c r="N168" s="22">
        <v>3730</v>
      </c>
      <c r="O168" s="1" t="s">
        <v>41</v>
      </c>
      <c r="P168" s="1" t="s">
        <v>42</v>
      </c>
      <c r="Q168" s="15">
        <v>0</v>
      </c>
      <c r="R168" s="22">
        <f>Table1[[#This Row],[STAB]]-Table1[[#This Row],[AMOUNT]]</f>
        <v>3730</v>
      </c>
      <c r="S168" s="1">
        <v>0</v>
      </c>
      <c r="T168" s="1" t="s">
        <v>79</v>
      </c>
      <c r="U168" s="1">
        <v>0</v>
      </c>
      <c r="V168" s="1" t="s">
        <v>267</v>
      </c>
      <c r="W168" s="1" t="s">
        <v>107</v>
      </c>
      <c r="X168" s="1" t="s">
        <v>200</v>
      </c>
      <c r="Y168" s="21" t="s">
        <v>2111</v>
      </c>
      <c r="Z168" s="21" t="s">
        <v>1580</v>
      </c>
      <c r="AA168" s="21" t="s">
        <v>1700</v>
      </c>
      <c r="AB168" s="21" t="s">
        <v>138</v>
      </c>
      <c r="AC168" s="21" t="s">
        <v>93</v>
      </c>
      <c r="AD168" s="21" t="s">
        <v>139</v>
      </c>
      <c r="AE168" s="21" t="s">
        <v>202</v>
      </c>
      <c r="AF168" s="21" t="s">
        <v>490</v>
      </c>
      <c r="AG168" s="21">
        <v>802823528</v>
      </c>
      <c r="AH168" s="21" t="s">
        <v>488</v>
      </c>
      <c r="AI168" s="21" t="s">
        <v>492</v>
      </c>
      <c r="AJ168" s="21"/>
      <c r="AK168" s="28" t="s">
        <v>447</v>
      </c>
      <c r="AL168" s="21" t="s">
        <v>463</v>
      </c>
      <c r="AM168" s="21" t="s">
        <v>1966</v>
      </c>
      <c r="AN168" s="21" t="s">
        <v>1949</v>
      </c>
      <c r="AO168" s="23">
        <v>45459</v>
      </c>
      <c r="AP168" s="21">
        <v>4580</v>
      </c>
      <c r="AQ168" s="21" t="s">
        <v>1824</v>
      </c>
      <c r="AR168" s="21" t="s">
        <v>1156</v>
      </c>
      <c r="AS168" s="21" t="s">
        <v>1914</v>
      </c>
      <c r="AT168" s="24"/>
    </row>
    <row r="169" spans="1:46" x14ac:dyDescent="0.25">
      <c r="A169" s="20" t="s">
        <v>1219</v>
      </c>
      <c r="B169" s="21" t="s">
        <v>1339</v>
      </c>
      <c r="C169" s="1" t="s">
        <v>47</v>
      </c>
      <c r="D169" s="21">
        <v>20</v>
      </c>
      <c r="E169" s="21" t="s">
        <v>1459</v>
      </c>
      <c r="F169" s="21" t="s">
        <v>1012</v>
      </c>
      <c r="G169" s="22">
        <f>Table1[[#This Row],[ENR]]-Table1[[#This Row],[CREDIT]]</f>
        <v>-43848.639999999999</v>
      </c>
      <c r="H169" s="21">
        <v>90000</v>
      </c>
      <c r="I169" s="35">
        <v>46151.360000000001</v>
      </c>
      <c r="J169" s="22" t="s">
        <v>78</v>
      </c>
      <c r="K169" s="22">
        <v>46151.360000000001</v>
      </c>
      <c r="L169" s="22">
        <v>43211.45</v>
      </c>
      <c r="M169" s="21">
        <v>9550</v>
      </c>
      <c r="N169" s="22">
        <v>4680</v>
      </c>
      <c r="O169" s="1" t="s">
        <v>49</v>
      </c>
      <c r="P169" s="1" t="s">
        <v>12</v>
      </c>
      <c r="Q169" s="15">
        <v>45702.9</v>
      </c>
      <c r="R169" s="22">
        <f>Table1[[#This Row],[STAB]]-Table1[[#This Row],[AMOUNT]]</f>
        <v>-41022.9</v>
      </c>
      <c r="S169" s="1">
        <v>0</v>
      </c>
      <c r="T169" s="1" t="s">
        <v>79</v>
      </c>
      <c r="U169" s="1">
        <v>0</v>
      </c>
      <c r="V169" s="1" t="s">
        <v>267</v>
      </c>
      <c r="W169" s="1" t="s">
        <v>645</v>
      </c>
      <c r="X169" s="1" t="s">
        <v>646</v>
      </c>
      <c r="Y169" s="21" t="s">
        <v>2111</v>
      </c>
      <c r="Z169" s="21" t="s">
        <v>1581</v>
      </c>
      <c r="AA169" s="21" t="s">
        <v>1701</v>
      </c>
      <c r="AB169" s="21" t="s">
        <v>433</v>
      </c>
      <c r="AC169" s="21" t="s">
        <v>443</v>
      </c>
      <c r="AD169" s="21" t="s">
        <v>75</v>
      </c>
      <c r="AE169" s="21" t="s">
        <v>441</v>
      </c>
      <c r="AF169" s="21" t="s">
        <v>442</v>
      </c>
      <c r="AG169" s="21">
        <v>802789320</v>
      </c>
      <c r="AH169" s="21" t="s">
        <v>130</v>
      </c>
      <c r="AI169" s="21" t="s">
        <v>492</v>
      </c>
      <c r="AJ169" s="21"/>
      <c r="AK169" s="28" t="s">
        <v>447</v>
      </c>
      <c r="AL169" s="21"/>
      <c r="AM169" s="21"/>
      <c r="AN169" s="21"/>
      <c r="AO169" s="23">
        <v>46314</v>
      </c>
      <c r="AP169" s="21">
        <v>30000</v>
      </c>
      <c r="AQ169" s="21" t="s">
        <v>1825</v>
      </c>
      <c r="AR169" s="21" t="s">
        <v>106</v>
      </c>
      <c r="AS169" s="21" t="s">
        <v>1914</v>
      </c>
      <c r="AT169" s="24"/>
    </row>
    <row r="170" spans="1:46" x14ac:dyDescent="0.25">
      <c r="A170" s="20" t="s">
        <v>1220</v>
      </c>
      <c r="B170" s="21" t="s">
        <v>1340</v>
      </c>
      <c r="C170" s="1" t="s">
        <v>47</v>
      </c>
      <c r="D170" s="21">
        <v>21</v>
      </c>
      <c r="E170" s="21" t="s">
        <v>1460</v>
      </c>
      <c r="F170" s="21" t="s">
        <v>77</v>
      </c>
      <c r="G170" s="22">
        <f>Table1[[#This Row],[ENR]]-Table1[[#This Row],[CREDIT]]</f>
        <v>653340.14</v>
      </c>
      <c r="H170" s="21">
        <v>280000</v>
      </c>
      <c r="I170" s="35">
        <v>933340.14</v>
      </c>
      <c r="J170" s="22">
        <v>580116.75</v>
      </c>
      <c r="K170" s="22">
        <v>353223.39</v>
      </c>
      <c r="L170" s="22">
        <v>324775.57</v>
      </c>
      <c r="M170" s="21">
        <v>169640</v>
      </c>
      <c r="N170" s="22">
        <v>59960</v>
      </c>
      <c r="O170" s="1" t="s">
        <v>41</v>
      </c>
      <c r="P170" s="1" t="s">
        <v>42</v>
      </c>
      <c r="Q170" s="15">
        <v>0</v>
      </c>
      <c r="R170" s="22">
        <f>Table1[[#This Row],[STAB]]-Table1[[#This Row],[AMOUNT]]</f>
        <v>59960</v>
      </c>
      <c r="S170" s="1">
        <v>0</v>
      </c>
      <c r="T170" s="1" t="s">
        <v>79</v>
      </c>
      <c r="U170" s="1">
        <v>0</v>
      </c>
      <c r="V170" s="1" t="s">
        <v>267</v>
      </c>
      <c r="W170" s="1" t="s">
        <v>266</v>
      </c>
      <c r="X170" s="1" t="s">
        <v>268</v>
      </c>
      <c r="Y170" s="21" t="s">
        <v>2111</v>
      </c>
      <c r="Z170" s="21" t="s">
        <v>1582</v>
      </c>
      <c r="AA170" s="21" t="s">
        <v>1702</v>
      </c>
      <c r="AB170" s="21" t="s">
        <v>80</v>
      </c>
      <c r="AC170" s="21" t="s">
        <v>91</v>
      </c>
      <c r="AD170" s="21" t="s">
        <v>111</v>
      </c>
      <c r="AE170" s="21" t="s">
        <v>565</v>
      </c>
      <c r="AF170" s="21" t="s">
        <v>563</v>
      </c>
      <c r="AG170" s="21">
        <v>802794852</v>
      </c>
      <c r="AH170" s="21" t="s">
        <v>130</v>
      </c>
      <c r="AI170" s="21" t="s">
        <v>492</v>
      </c>
      <c r="AJ170" s="21"/>
      <c r="AK170" s="28" t="s">
        <v>447</v>
      </c>
      <c r="AL170" s="21" t="s">
        <v>454</v>
      </c>
      <c r="AM170" s="21" t="s">
        <v>1971</v>
      </c>
      <c r="AN170" s="21" t="s">
        <v>1956</v>
      </c>
      <c r="AO170" s="23">
        <v>46263</v>
      </c>
      <c r="AP170" s="21">
        <v>1000</v>
      </c>
      <c r="AQ170" s="21" t="s">
        <v>1826</v>
      </c>
      <c r="AR170" s="21" t="s">
        <v>1912</v>
      </c>
      <c r="AS170" s="21" t="s">
        <v>1914</v>
      </c>
      <c r="AT170" s="24"/>
    </row>
    <row r="171" spans="1:46" x14ac:dyDescent="0.25">
      <c r="A171" s="20" t="s">
        <v>1221</v>
      </c>
      <c r="B171" s="21" t="s">
        <v>1341</v>
      </c>
      <c r="C171" s="1" t="s">
        <v>47</v>
      </c>
      <c r="D171" s="21">
        <v>21</v>
      </c>
      <c r="E171" s="21" t="s">
        <v>1461</v>
      </c>
      <c r="F171" s="21" t="s">
        <v>77</v>
      </c>
      <c r="G171" s="22">
        <f>Table1[[#This Row],[ENR]]-Table1[[#This Row],[CREDIT]]</f>
        <v>8934.3999999999942</v>
      </c>
      <c r="H171" s="21">
        <v>120000</v>
      </c>
      <c r="I171" s="35">
        <v>128934.39999999999</v>
      </c>
      <c r="J171" s="22" t="s">
        <v>78</v>
      </c>
      <c r="K171" s="22">
        <v>128934.39999999999</v>
      </c>
      <c r="L171" s="22">
        <v>119985.49</v>
      </c>
      <c r="M171" s="21">
        <v>19230</v>
      </c>
      <c r="N171" s="22">
        <v>1850</v>
      </c>
      <c r="O171" s="1" t="s">
        <v>41</v>
      </c>
      <c r="P171" s="1" t="s">
        <v>42</v>
      </c>
      <c r="Q171" s="15">
        <v>0</v>
      </c>
      <c r="R171" s="22">
        <f>Table1[[#This Row],[STAB]]-Table1[[#This Row],[AMOUNT]]</f>
        <v>1850</v>
      </c>
      <c r="S171" s="1">
        <v>0</v>
      </c>
      <c r="T171" s="1" t="s">
        <v>79</v>
      </c>
      <c r="U171" s="1">
        <v>0</v>
      </c>
      <c r="V171" s="1" t="s">
        <v>267</v>
      </c>
      <c r="W171" s="1" t="s">
        <v>266</v>
      </c>
      <c r="X171" s="1" t="s">
        <v>268</v>
      </c>
      <c r="Y171" s="21" t="s">
        <v>2110</v>
      </c>
      <c r="Z171" s="21" t="s">
        <v>1583</v>
      </c>
      <c r="AA171" s="21" t="s">
        <v>1703</v>
      </c>
      <c r="AB171" s="21" t="s">
        <v>248</v>
      </c>
      <c r="AC171" s="21" t="s">
        <v>91</v>
      </c>
      <c r="AD171" s="21" t="s">
        <v>122</v>
      </c>
      <c r="AE171" s="21" t="s">
        <v>667</v>
      </c>
      <c r="AF171" s="21" t="s">
        <v>666</v>
      </c>
      <c r="AG171" s="21">
        <v>802663344</v>
      </c>
      <c r="AH171" s="21" t="s">
        <v>132</v>
      </c>
      <c r="AI171" s="21" t="s">
        <v>492</v>
      </c>
      <c r="AJ171" s="21"/>
      <c r="AK171" s="28" t="s">
        <v>43</v>
      </c>
      <c r="AL171" s="21"/>
      <c r="AM171" s="21"/>
      <c r="AN171" s="21"/>
      <c r="AO171" s="23">
        <v>45540</v>
      </c>
      <c r="AP171" s="21">
        <v>20000</v>
      </c>
      <c r="AQ171" s="21" t="s">
        <v>1827</v>
      </c>
      <c r="AR171" s="21" t="s">
        <v>1912</v>
      </c>
      <c r="AS171" s="21" t="s">
        <v>1914</v>
      </c>
      <c r="AT171" s="24"/>
    </row>
    <row r="172" spans="1:46" x14ac:dyDescent="0.25">
      <c r="A172" s="20" t="s">
        <v>1222</v>
      </c>
      <c r="B172" s="21" t="s">
        <v>1342</v>
      </c>
      <c r="C172" s="1" t="s">
        <v>83</v>
      </c>
      <c r="D172" s="21">
        <v>21</v>
      </c>
      <c r="E172" s="21" t="s">
        <v>1462</v>
      </c>
      <c r="F172" s="21" t="s">
        <v>77</v>
      </c>
      <c r="G172" s="22">
        <f>Table1[[#This Row],[ENR]]-Table1[[#This Row],[CREDIT]]</f>
        <v>443930.91000000003</v>
      </c>
      <c r="H172" s="21">
        <v>260000</v>
      </c>
      <c r="I172" s="35">
        <v>703930.91</v>
      </c>
      <c r="J172" s="22">
        <v>417070.79</v>
      </c>
      <c r="K172" s="22">
        <v>286860.12</v>
      </c>
      <c r="L172" s="22">
        <v>270684.76</v>
      </c>
      <c r="M172" s="21">
        <v>146300</v>
      </c>
      <c r="N172" s="22">
        <v>84090</v>
      </c>
      <c r="O172" s="1" t="s">
        <v>41</v>
      </c>
      <c r="P172" s="1" t="s">
        <v>42</v>
      </c>
      <c r="Q172" s="15">
        <v>0</v>
      </c>
      <c r="R172" s="22">
        <f>Table1[[#This Row],[STAB]]-Table1[[#This Row],[AMOUNT]]</f>
        <v>84090</v>
      </c>
      <c r="S172" s="1">
        <v>0</v>
      </c>
      <c r="T172" s="1" t="s">
        <v>79</v>
      </c>
      <c r="U172" s="1">
        <v>0</v>
      </c>
      <c r="V172" s="1" t="s">
        <v>267</v>
      </c>
      <c r="W172" s="1" t="s">
        <v>265</v>
      </c>
      <c r="X172" s="1" t="s">
        <v>269</v>
      </c>
      <c r="Y172" s="21" t="s">
        <v>2111</v>
      </c>
      <c r="Z172" s="21" t="s">
        <v>1584</v>
      </c>
      <c r="AA172" s="21" t="s">
        <v>1704</v>
      </c>
      <c r="AB172" s="21" t="s">
        <v>1104</v>
      </c>
      <c r="AC172" s="21" t="s">
        <v>91</v>
      </c>
      <c r="AD172" s="21" t="s">
        <v>86</v>
      </c>
      <c r="AE172" s="21" t="s">
        <v>1166</v>
      </c>
      <c r="AF172" s="21" t="s">
        <v>1162</v>
      </c>
      <c r="AG172" s="21">
        <v>802370852</v>
      </c>
      <c r="AH172" s="21" t="s">
        <v>132</v>
      </c>
      <c r="AI172" s="21" t="s">
        <v>492</v>
      </c>
      <c r="AJ172" s="21"/>
      <c r="AK172" s="28" t="s">
        <v>43</v>
      </c>
      <c r="AL172" s="21"/>
      <c r="AM172" s="21"/>
      <c r="AN172" s="21"/>
      <c r="AO172" s="23">
        <v>45603</v>
      </c>
      <c r="AP172" s="21">
        <v>98394</v>
      </c>
      <c r="AQ172" s="21" t="s">
        <v>1828</v>
      </c>
      <c r="AR172" s="21" t="s">
        <v>1912</v>
      </c>
      <c r="AS172" s="21" t="s">
        <v>1914</v>
      </c>
      <c r="AT172" s="24"/>
    </row>
    <row r="173" spans="1:46" x14ac:dyDescent="0.25">
      <c r="A173" s="20" t="s">
        <v>1223</v>
      </c>
      <c r="B173" s="21" t="s">
        <v>1343</v>
      </c>
      <c r="C173" s="1" t="s">
        <v>47</v>
      </c>
      <c r="D173" s="21">
        <v>21</v>
      </c>
      <c r="E173" s="21" t="s">
        <v>1463</v>
      </c>
      <c r="F173" s="21" t="s">
        <v>77</v>
      </c>
      <c r="G173" s="22">
        <f>Table1[[#This Row],[ENR]]-Table1[[#This Row],[CREDIT]]</f>
        <v>15478.149999999994</v>
      </c>
      <c r="H173" s="21">
        <v>120000</v>
      </c>
      <c r="I173" s="35">
        <v>135478.15</v>
      </c>
      <c r="J173" s="22" t="s">
        <v>78</v>
      </c>
      <c r="K173" s="22">
        <v>135478.15</v>
      </c>
      <c r="L173" s="22">
        <v>119847.53</v>
      </c>
      <c r="M173" s="21">
        <v>37250</v>
      </c>
      <c r="N173" s="22">
        <v>18110</v>
      </c>
      <c r="O173" s="1" t="s">
        <v>41</v>
      </c>
      <c r="P173" s="1" t="s">
        <v>42</v>
      </c>
      <c r="Q173" s="15">
        <v>0</v>
      </c>
      <c r="R173" s="22">
        <f>Table1[[#This Row],[STAB]]-Table1[[#This Row],[AMOUNT]]</f>
        <v>18110</v>
      </c>
      <c r="S173" s="1">
        <v>0</v>
      </c>
      <c r="T173" s="1" t="s">
        <v>79</v>
      </c>
      <c r="U173" s="1">
        <v>0</v>
      </c>
      <c r="V173" s="1" t="s">
        <v>267</v>
      </c>
      <c r="W173" s="1" t="s">
        <v>645</v>
      </c>
      <c r="X173" s="1" t="s">
        <v>646</v>
      </c>
      <c r="Y173" s="21" t="s">
        <v>2111</v>
      </c>
      <c r="Z173" s="21" t="s">
        <v>1585</v>
      </c>
      <c r="AA173" s="21" t="s">
        <v>1705</v>
      </c>
      <c r="AB173" s="21" t="s">
        <v>1105</v>
      </c>
      <c r="AC173" s="21" t="s">
        <v>92</v>
      </c>
      <c r="AD173" s="21" t="s">
        <v>1158</v>
      </c>
      <c r="AE173" s="21" t="s">
        <v>1167</v>
      </c>
      <c r="AF173" s="21" t="s">
        <v>491</v>
      </c>
      <c r="AG173" s="21">
        <v>802663436</v>
      </c>
      <c r="AH173" s="21" t="s">
        <v>132</v>
      </c>
      <c r="AI173" s="21" t="s">
        <v>492</v>
      </c>
      <c r="AJ173" s="21"/>
      <c r="AK173" s="28" t="s">
        <v>43</v>
      </c>
      <c r="AL173" s="21"/>
      <c r="AM173" s="21"/>
      <c r="AN173" s="21"/>
      <c r="AO173" s="23">
        <v>45636</v>
      </c>
      <c r="AP173" s="21">
        <v>30000</v>
      </c>
      <c r="AQ173" s="21" t="s">
        <v>1829</v>
      </c>
      <c r="AR173" s="21" t="s">
        <v>1912</v>
      </c>
      <c r="AS173" s="21" t="s">
        <v>1914</v>
      </c>
      <c r="AT173" s="24"/>
    </row>
    <row r="174" spans="1:46" x14ac:dyDescent="0.25">
      <c r="A174" s="20" t="s">
        <v>1224</v>
      </c>
      <c r="B174" s="21" t="s">
        <v>1344</v>
      </c>
      <c r="C174" s="1" t="s">
        <v>47</v>
      </c>
      <c r="D174" s="21">
        <v>21</v>
      </c>
      <c r="E174" s="21" t="s">
        <v>1464</v>
      </c>
      <c r="F174" s="21" t="s">
        <v>77</v>
      </c>
      <c r="G174" s="22">
        <f>Table1[[#This Row],[ENR]]-Table1[[#This Row],[CREDIT]]</f>
        <v>-18677.080000000002</v>
      </c>
      <c r="H174" s="21">
        <v>118000</v>
      </c>
      <c r="I174" s="35">
        <v>99322.92</v>
      </c>
      <c r="J174" s="22" t="s">
        <v>78</v>
      </c>
      <c r="K174" s="22">
        <v>99322.92</v>
      </c>
      <c r="L174" s="22">
        <v>88097.4</v>
      </c>
      <c r="M174" s="21">
        <v>16640</v>
      </c>
      <c r="N174" s="22">
        <v>6750</v>
      </c>
      <c r="O174" s="1" t="s">
        <v>41</v>
      </c>
      <c r="P174" s="1" t="s">
        <v>42</v>
      </c>
      <c r="Q174" s="15">
        <v>0</v>
      </c>
      <c r="R174" s="22">
        <f>Table1[[#This Row],[STAB]]-Table1[[#This Row],[AMOUNT]]</f>
        <v>6750</v>
      </c>
      <c r="S174" s="1">
        <v>0</v>
      </c>
      <c r="T174" s="1" t="s">
        <v>79</v>
      </c>
      <c r="U174" s="1">
        <v>0</v>
      </c>
      <c r="V174" s="1" t="s">
        <v>267</v>
      </c>
      <c r="W174" s="1" t="s">
        <v>107</v>
      </c>
      <c r="X174" s="1" t="s">
        <v>200</v>
      </c>
      <c r="Y174" s="21" t="s">
        <v>2111</v>
      </c>
      <c r="Z174" s="21" t="s">
        <v>1586</v>
      </c>
      <c r="AA174" s="21" t="s">
        <v>1706</v>
      </c>
      <c r="AB174" s="21" t="s">
        <v>256</v>
      </c>
      <c r="AC174" s="21" t="s">
        <v>93</v>
      </c>
      <c r="AD174" s="21" t="s">
        <v>460</v>
      </c>
      <c r="AE174" s="21" t="s">
        <v>444</v>
      </c>
      <c r="AF174" s="21" t="s">
        <v>181</v>
      </c>
      <c r="AG174" s="21">
        <v>802823180</v>
      </c>
      <c r="AH174" s="21" t="s">
        <v>132</v>
      </c>
      <c r="AI174" s="21" t="s">
        <v>492</v>
      </c>
      <c r="AJ174" s="21"/>
      <c r="AK174" s="28" t="s">
        <v>43</v>
      </c>
      <c r="AL174" s="21"/>
      <c r="AM174" s="21"/>
      <c r="AN174" s="21"/>
      <c r="AO174" s="23">
        <v>45672</v>
      </c>
      <c r="AP174" s="21">
        <v>6810</v>
      </c>
      <c r="AQ174" s="21" t="s">
        <v>1830</v>
      </c>
      <c r="AR174" s="21" t="s">
        <v>1912</v>
      </c>
      <c r="AS174" s="21" t="s">
        <v>1914</v>
      </c>
      <c r="AT174" s="24"/>
    </row>
    <row r="175" spans="1:46" x14ac:dyDescent="0.25">
      <c r="A175" s="20" t="s">
        <v>1225</v>
      </c>
      <c r="B175" s="21" t="s">
        <v>1345</v>
      </c>
      <c r="C175" s="1" t="s">
        <v>47</v>
      </c>
      <c r="D175" s="21">
        <v>21</v>
      </c>
      <c r="E175" s="21" t="s">
        <v>1465</v>
      </c>
      <c r="F175" s="21" t="s">
        <v>77</v>
      </c>
      <c r="G175" s="22">
        <f>Table1[[#This Row],[ENR]]-Table1[[#This Row],[CREDIT]]</f>
        <v>482168.6</v>
      </c>
      <c r="H175" s="21">
        <v>70000</v>
      </c>
      <c r="I175" s="35">
        <v>552168.6</v>
      </c>
      <c r="J175" s="22">
        <v>432130.92</v>
      </c>
      <c r="K175" s="22">
        <v>120037.68</v>
      </c>
      <c r="L175" s="22">
        <v>104752.26</v>
      </c>
      <c r="M175" s="21">
        <v>104280</v>
      </c>
      <c r="N175" s="22">
        <v>54230</v>
      </c>
      <c r="O175" s="1" t="s">
        <v>41</v>
      </c>
      <c r="P175" s="1" t="s">
        <v>42</v>
      </c>
      <c r="Q175" s="15">
        <v>0</v>
      </c>
      <c r="R175" s="22">
        <f>Table1[[#This Row],[STAB]]-Table1[[#This Row],[AMOUNT]]</f>
        <v>54230</v>
      </c>
      <c r="S175" s="1">
        <v>0</v>
      </c>
      <c r="T175" s="1" t="s">
        <v>79</v>
      </c>
      <c r="U175" s="1">
        <v>0</v>
      </c>
      <c r="V175" s="1" t="s">
        <v>267</v>
      </c>
      <c r="W175" s="1" t="s">
        <v>266</v>
      </c>
      <c r="X175" s="1" t="s">
        <v>268</v>
      </c>
      <c r="Y175" s="21" t="s">
        <v>2111</v>
      </c>
      <c r="Z175" s="21" t="s">
        <v>1587</v>
      </c>
      <c r="AA175" s="21" t="s">
        <v>1707</v>
      </c>
      <c r="AB175" s="21" t="s">
        <v>80</v>
      </c>
      <c r="AC175" s="21" t="s">
        <v>91</v>
      </c>
      <c r="AD175" s="21" t="s">
        <v>111</v>
      </c>
      <c r="AE175" s="21" t="s">
        <v>565</v>
      </c>
      <c r="AF175" s="21" t="s">
        <v>563</v>
      </c>
      <c r="AG175" s="21">
        <v>802794852</v>
      </c>
      <c r="AH175" s="21" t="s">
        <v>130</v>
      </c>
      <c r="AI175" s="21" t="s">
        <v>492</v>
      </c>
      <c r="AJ175" s="21"/>
      <c r="AK175" s="28" t="s">
        <v>447</v>
      </c>
      <c r="AL175" s="21" t="s">
        <v>458</v>
      </c>
      <c r="AM175" s="21" t="s">
        <v>1940</v>
      </c>
      <c r="AN175" s="21" t="s">
        <v>1941</v>
      </c>
      <c r="AO175" s="23">
        <v>45482</v>
      </c>
      <c r="AP175" s="21">
        <v>76481.929999999993</v>
      </c>
      <c r="AQ175" s="21" t="s">
        <v>1831</v>
      </c>
      <c r="AR175" s="21" t="s">
        <v>1912</v>
      </c>
      <c r="AS175" s="21" t="s">
        <v>1914</v>
      </c>
      <c r="AT175" s="24"/>
    </row>
    <row r="176" spans="1:46" x14ac:dyDescent="0.25">
      <c r="A176" s="20" t="s">
        <v>1226</v>
      </c>
      <c r="B176" s="21" t="s">
        <v>1346</v>
      </c>
      <c r="C176" s="1" t="s">
        <v>47</v>
      </c>
      <c r="D176" s="21">
        <v>21</v>
      </c>
      <c r="E176" s="21" t="s">
        <v>1466</v>
      </c>
      <c r="F176" s="21" t="s">
        <v>77</v>
      </c>
      <c r="G176" s="22">
        <f>Table1[[#This Row],[ENR]]-Table1[[#This Row],[CREDIT]]</f>
        <v>5.2999999999883585</v>
      </c>
      <c r="H176" s="21">
        <v>160000</v>
      </c>
      <c r="I176" s="35">
        <v>160005.29999999999</v>
      </c>
      <c r="J176" s="22" t="s">
        <v>78</v>
      </c>
      <c r="K176" s="22">
        <v>160005.29999999999</v>
      </c>
      <c r="L176" s="22">
        <v>143783.13</v>
      </c>
      <c r="M176" s="21">
        <v>25070</v>
      </c>
      <c r="N176" s="22">
        <v>9890</v>
      </c>
      <c r="O176" s="1" t="s">
        <v>49</v>
      </c>
      <c r="P176" s="1" t="s">
        <v>12</v>
      </c>
      <c r="Q176" s="15">
        <v>25070</v>
      </c>
      <c r="R176" s="22">
        <f>Table1[[#This Row],[STAB]]-Table1[[#This Row],[AMOUNT]]</f>
        <v>-15180</v>
      </c>
      <c r="S176" s="1" t="s">
        <v>1949</v>
      </c>
      <c r="T176" s="1" t="s">
        <v>446</v>
      </c>
      <c r="U176" s="1">
        <v>0</v>
      </c>
      <c r="V176" s="1" t="s">
        <v>267</v>
      </c>
      <c r="W176" s="1" t="s">
        <v>266</v>
      </c>
      <c r="X176" s="1" t="s">
        <v>268</v>
      </c>
      <c r="Y176" s="21" t="s">
        <v>2111</v>
      </c>
      <c r="Z176" s="21" t="s">
        <v>1588</v>
      </c>
      <c r="AA176" s="21" t="s">
        <v>1708</v>
      </c>
      <c r="AB176" s="21" t="s">
        <v>149</v>
      </c>
      <c r="AC176" s="21" t="s">
        <v>91</v>
      </c>
      <c r="AD176" s="1" t="s">
        <v>2080</v>
      </c>
      <c r="AE176" s="59" t="s">
        <v>2081</v>
      </c>
      <c r="AF176" s="21" t="s">
        <v>274</v>
      </c>
      <c r="AG176" s="21">
        <v>801354813</v>
      </c>
      <c r="AH176" s="21" t="s">
        <v>132</v>
      </c>
      <c r="AI176" s="21" t="s">
        <v>492</v>
      </c>
      <c r="AJ176" s="21"/>
      <c r="AK176" s="28" t="s">
        <v>447</v>
      </c>
      <c r="AL176" s="21"/>
      <c r="AM176" s="21"/>
      <c r="AN176" s="21"/>
      <c r="AO176" s="23">
        <v>45566</v>
      </c>
      <c r="AP176" s="21">
        <v>10000</v>
      </c>
      <c r="AQ176" s="21" t="s">
        <v>1832</v>
      </c>
      <c r="AR176" s="21" t="s">
        <v>1912</v>
      </c>
      <c r="AS176" s="21" t="s">
        <v>1914</v>
      </c>
      <c r="AT176" s="24"/>
    </row>
    <row r="177" spans="1:46" x14ac:dyDescent="0.25">
      <c r="A177" s="20" t="s">
        <v>1227</v>
      </c>
      <c r="B177" s="21" t="s">
        <v>1347</v>
      </c>
      <c r="C177" s="1" t="s">
        <v>47</v>
      </c>
      <c r="D177" s="21">
        <v>21</v>
      </c>
      <c r="E177" s="21" t="s">
        <v>1467</v>
      </c>
      <c r="F177" s="21" t="s">
        <v>77</v>
      </c>
      <c r="G177" s="22">
        <f>Table1[[#This Row],[ENR]]-Table1[[#This Row],[CREDIT]]</f>
        <v>632087.14</v>
      </c>
      <c r="H177" s="21">
        <v>270000</v>
      </c>
      <c r="I177" s="35">
        <v>902087.14</v>
      </c>
      <c r="J177" s="22">
        <v>562077.92000000004</v>
      </c>
      <c r="K177" s="22">
        <v>340009.22</v>
      </c>
      <c r="L177" s="22">
        <v>317627.83</v>
      </c>
      <c r="M177" s="21">
        <v>162090</v>
      </c>
      <c r="N177" s="22">
        <v>62630</v>
      </c>
      <c r="O177" s="1" t="s">
        <v>41</v>
      </c>
      <c r="P177" s="1" t="s">
        <v>42</v>
      </c>
      <c r="Q177" s="15">
        <v>0</v>
      </c>
      <c r="R177" s="22">
        <f>Table1[[#This Row],[STAB]]-Table1[[#This Row],[AMOUNT]]</f>
        <v>62630</v>
      </c>
      <c r="S177" s="1">
        <v>0</v>
      </c>
      <c r="T177" s="1" t="s">
        <v>79</v>
      </c>
      <c r="U177" s="1">
        <v>0</v>
      </c>
      <c r="V177" s="1" t="s">
        <v>267</v>
      </c>
      <c r="W177" s="1" t="s">
        <v>265</v>
      </c>
      <c r="X177" s="1" t="s">
        <v>269</v>
      </c>
      <c r="Y177" s="21" t="s">
        <v>2111</v>
      </c>
      <c r="Z177" s="21" t="s">
        <v>1589</v>
      </c>
      <c r="AA177" s="21" t="s">
        <v>1709</v>
      </c>
      <c r="AB177" s="21" t="s">
        <v>70</v>
      </c>
      <c r="AC177" s="21" t="s">
        <v>91</v>
      </c>
      <c r="AD177" s="21" t="s">
        <v>51</v>
      </c>
      <c r="AE177" s="21" t="s">
        <v>189</v>
      </c>
      <c r="AF177" s="21" t="s">
        <v>136</v>
      </c>
      <c r="AG177" s="21">
        <v>801772792</v>
      </c>
      <c r="AH177" s="21" t="s">
        <v>132</v>
      </c>
      <c r="AI177" s="21" t="s">
        <v>492</v>
      </c>
      <c r="AJ177" s="21"/>
      <c r="AK177" s="28" t="s">
        <v>43</v>
      </c>
      <c r="AL177" s="21"/>
      <c r="AM177" s="21"/>
      <c r="AN177" s="21"/>
      <c r="AO177" s="23">
        <v>45447</v>
      </c>
      <c r="AP177" s="21">
        <v>90000</v>
      </c>
      <c r="AQ177" s="21" t="s">
        <v>1833</v>
      </c>
      <c r="AR177" s="21" t="s">
        <v>1912</v>
      </c>
      <c r="AS177" s="21" t="s">
        <v>1914</v>
      </c>
      <c r="AT177" s="24"/>
    </row>
    <row r="178" spans="1:46" x14ac:dyDescent="0.25">
      <c r="A178" s="20" t="s">
        <v>1228</v>
      </c>
      <c r="B178" s="21" t="s">
        <v>1348</v>
      </c>
      <c r="C178" s="1" t="s">
        <v>47</v>
      </c>
      <c r="D178" s="21">
        <v>21</v>
      </c>
      <c r="E178" s="21" t="s">
        <v>1468</v>
      </c>
      <c r="F178" s="21" t="s">
        <v>77</v>
      </c>
      <c r="G178" s="22">
        <f>Table1[[#This Row],[ENR]]-Table1[[#This Row],[CREDIT]]</f>
        <v>3012.0599999999977</v>
      </c>
      <c r="H178" s="21">
        <v>100000</v>
      </c>
      <c r="I178" s="35">
        <v>103012.06</v>
      </c>
      <c r="J178" s="22">
        <v>81183.67</v>
      </c>
      <c r="K178" s="22">
        <v>21828.39</v>
      </c>
      <c r="L178" s="22">
        <v>16615.759999999998</v>
      </c>
      <c r="M178" s="21">
        <v>18190</v>
      </c>
      <c r="N178" s="22">
        <v>8110</v>
      </c>
      <c r="O178" s="1" t="s">
        <v>41</v>
      </c>
      <c r="P178" s="1" t="s">
        <v>42</v>
      </c>
      <c r="Q178" s="15">
        <v>0</v>
      </c>
      <c r="R178" s="22">
        <f>Table1[[#This Row],[STAB]]-Table1[[#This Row],[AMOUNT]]</f>
        <v>8110</v>
      </c>
      <c r="S178" s="1">
        <v>0</v>
      </c>
      <c r="T178" s="1" t="s">
        <v>79</v>
      </c>
      <c r="U178" s="1">
        <v>0</v>
      </c>
      <c r="V178" s="1" t="s">
        <v>267</v>
      </c>
      <c r="W178" s="1" t="s">
        <v>107</v>
      </c>
      <c r="X178" s="1" t="s">
        <v>200</v>
      </c>
      <c r="Y178" s="21" t="s">
        <v>2111</v>
      </c>
      <c r="Z178" s="21" t="s">
        <v>1590</v>
      </c>
      <c r="AA178" s="21" t="s">
        <v>1710</v>
      </c>
      <c r="AB178" s="21" t="s">
        <v>256</v>
      </c>
      <c r="AC178" s="21" t="s">
        <v>93</v>
      </c>
      <c r="AD178" s="21" t="s">
        <v>460</v>
      </c>
      <c r="AE178" s="21" t="s">
        <v>444</v>
      </c>
      <c r="AF178" s="21" t="s">
        <v>181</v>
      </c>
      <c r="AG178" s="21">
        <v>802823180</v>
      </c>
      <c r="AH178" s="21" t="s">
        <v>132</v>
      </c>
      <c r="AI178" s="21" t="s">
        <v>492</v>
      </c>
      <c r="AJ178" s="21"/>
      <c r="AK178" s="28" t="s">
        <v>43</v>
      </c>
      <c r="AL178" s="21"/>
      <c r="AM178" s="21"/>
      <c r="AN178" s="21"/>
      <c r="AO178" s="23">
        <v>45288</v>
      </c>
      <c r="AP178" s="21">
        <v>81100</v>
      </c>
      <c r="AQ178" s="21" t="s">
        <v>1834</v>
      </c>
      <c r="AR178" s="21" t="s">
        <v>1912</v>
      </c>
      <c r="AS178" s="21" t="s">
        <v>1914</v>
      </c>
      <c r="AT178" s="24"/>
    </row>
    <row r="179" spans="1:46" x14ac:dyDescent="0.25">
      <c r="A179" s="20" t="s">
        <v>1229</v>
      </c>
      <c r="B179" s="21" t="s">
        <v>1349</v>
      </c>
      <c r="C179" s="1" t="s">
        <v>47</v>
      </c>
      <c r="D179" s="21">
        <v>21</v>
      </c>
      <c r="E179" s="21" t="s">
        <v>1469</v>
      </c>
      <c r="F179" s="21" t="s">
        <v>1544</v>
      </c>
      <c r="G179" s="22">
        <f>Table1[[#This Row],[ENR]]-Table1[[#This Row],[CREDIT]]</f>
        <v>-76769.279999999999</v>
      </c>
      <c r="H179" s="21">
        <v>100000</v>
      </c>
      <c r="I179" s="35">
        <v>23230.720000000001</v>
      </c>
      <c r="J179" s="22" t="s">
        <v>78</v>
      </c>
      <c r="K179" s="22">
        <v>23230.720000000001</v>
      </c>
      <c r="L179" s="22">
        <v>22073.25</v>
      </c>
      <c r="M179" s="21">
        <v>3080</v>
      </c>
      <c r="N179" s="22">
        <v>1840</v>
      </c>
      <c r="O179" s="1" t="s">
        <v>41</v>
      </c>
      <c r="P179" s="1" t="s">
        <v>42</v>
      </c>
      <c r="Q179" s="15">
        <v>0</v>
      </c>
      <c r="R179" s="22">
        <f>Table1[[#This Row],[STAB]]-Table1[[#This Row],[AMOUNT]]</f>
        <v>1840</v>
      </c>
      <c r="S179" s="1">
        <v>0</v>
      </c>
      <c r="T179" s="1" t="s">
        <v>79</v>
      </c>
      <c r="U179" s="1">
        <v>0</v>
      </c>
      <c r="V179" s="1" t="s">
        <v>267</v>
      </c>
      <c r="W179" s="1" t="s">
        <v>265</v>
      </c>
      <c r="X179" s="1" t="s">
        <v>269</v>
      </c>
      <c r="Y179" s="21" t="s">
        <v>2111</v>
      </c>
      <c r="Z179" s="21" t="s">
        <v>1591</v>
      </c>
      <c r="AA179" s="21" t="s">
        <v>1711</v>
      </c>
      <c r="AB179" s="21" t="s">
        <v>224</v>
      </c>
      <c r="AC179" s="21" t="s">
        <v>252</v>
      </c>
      <c r="AD179" s="21" t="s">
        <v>253</v>
      </c>
      <c r="AE179" s="21" t="s">
        <v>255</v>
      </c>
      <c r="AF179" s="21" t="s">
        <v>151</v>
      </c>
      <c r="AG179" s="21">
        <v>801723195</v>
      </c>
      <c r="AH179" s="21" t="s">
        <v>132</v>
      </c>
      <c r="AI179" s="21" t="s">
        <v>492</v>
      </c>
      <c r="AJ179" s="21"/>
      <c r="AK179" s="28" t="s">
        <v>43</v>
      </c>
      <c r="AL179" s="21"/>
      <c r="AM179" s="21"/>
      <c r="AN179" s="21"/>
      <c r="AO179" s="23">
        <v>45759</v>
      </c>
      <c r="AP179" s="21">
        <v>35000</v>
      </c>
      <c r="AQ179" s="21" t="s">
        <v>1835</v>
      </c>
      <c r="AR179" s="21" t="s">
        <v>89</v>
      </c>
      <c r="AS179" s="21" t="s">
        <v>1914</v>
      </c>
      <c r="AT179" s="24"/>
    </row>
    <row r="180" spans="1:46" x14ac:dyDescent="0.25">
      <c r="A180" s="20" t="s">
        <v>1230</v>
      </c>
      <c r="B180" s="21" t="s">
        <v>1350</v>
      </c>
      <c r="C180" s="1" t="s">
        <v>47</v>
      </c>
      <c r="D180" s="21">
        <v>21</v>
      </c>
      <c r="E180" s="21" t="s">
        <v>1470</v>
      </c>
      <c r="F180" s="21" t="s">
        <v>77</v>
      </c>
      <c r="G180" s="22">
        <f>Table1[[#This Row],[ENR]]-Table1[[#This Row],[CREDIT]]</f>
        <v>4095.1500000000015</v>
      </c>
      <c r="H180" s="21">
        <v>30000</v>
      </c>
      <c r="I180" s="35">
        <v>34095.15</v>
      </c>
      <c r="J180" s="22" t="s">
        <v>78</v>
      </c>
      <c r="K180" s="22">
        <v>34095.15</v>
      </c>
      <c r="L180" s="22">
        <v>29995.9</v>
      </c>
      <c r="M180" s="21">
        <v>9820</v>
      </c>
      <c r="N180" s="22">
        <v>3220</v>
      </c>
      <c r="O180" s="1" t="s">
        <v>41</v>
      </c>
      <c r="P180" s="1" t="s">
        <v>42</v>
      </c>
      <c r="Q180" s="15">
        <v>0</v>
      </c>
      <c r="R180" s="22">
        <f>Table1[[#This Row],[STAB]]-Table1[[#This Row],[AMOUNT]]</f>
        <v>3220</v>
      </c>
      <c r="S180" s="1">
        <v>0</v>
      </c>
      <c r="T180" s="1" t="s">
        <v>79</v>
      </c>
      <c r="U180" s="1">
        <v>0</v>
      </c>
      <c r="V180" s="1" t="s">
        <v>267</v>
      </c>
      <c r="W180" s="1" t="s">
        <v>266</v>
      </c>
      <c r="X180" s="1" t="s">
        <v>268</v>
      </c>
      <c r="Y180" s="21" t="s">
        <v>2111</v>
      </c>
      <c r="Z180" s="21" t="s">
        <v>1592</v>
      </c>
      <c r="AA180" s="21" t="s">
        <v>1712</v>
      </c>
      <c r="AB180" s="21" t="s">
        <v>149</v>
      </c>
      <c r="AC180" s="21" t="s">
        <v>91</v>
      </c>
      <c r="AD180" s="1" t="s">
        <v>2080</v>
      </c>
      <c r="AE180" s="59" t="s">
        <v>2081</v>
      </c>
      <c r="AF180" s="21" t="s">
        <v>274</v>
      </c>
      <c r="AG180" s="21">
        <v>801354813</v>
      </c>
      <c r="AH180" s="21" t="s">
        <v>132</v>
      </c>
      <c r="AI180" s="21" t="s">
        <v>492</v>
      </c>
      <c r="AJ180" s="21"/>
      <c r="AK180" s="28" t="s">
        <v>43</v>
      </c>
      <c r="AL180" s="21"/>
      <c r="AM180" s="21"/>
      <c r="AN180" s="21"/>
      <c r="AO180" s="23">
        <v>45633</v>
      </c>
      <c r="AP180" s="21">
        <v>3124.66</v>
      </c>
      <c r="AQ180" s="21" t="s">
        <v>1836</v>
      </c>
      <c r="AR180" s="21" t="s">
        <v>223</v>
      </c>
      <c r="AS180" s="21" t="s">
        <v>1914</v>
      </c>
      <c r="AT180" s="24"/>
    </row>
    <row r="181" spans="1:46" x14ac:dyDescent="0.25">
      <c r="A181" s="20" t="s">
        <v>1231</v>
      </c>
      <c r="B181" s="21" t="s">
        <v>1351</v>
      </c>
      <c r="C181" s="1" t="s">
        <v>47</v>
      </c>
      <c r="D181" s="21">
        <v>21</v>
      </c>
      <c r="E181" s="21" t="s">
        <v>1471</v>
      </c>
      <c r="F181" s="21" t="s">
        <v>77</v>
      </c>
      <c r="G181" s="22">
        <f>Table1[[#This Row],[ENR]]-Table1[[#This Row],[CREDIT]]</f>
        <v>5170.25</v>
      </c>
      <c r="H181" s="21">
        <v>50000</v>
      </c>
      <c r="I181" s="35">
        <v>55170.25</v>
      </c>
      <c r="J181" s="22">
        <v>8461.8799999999992</v>
      </c>
      <c r="K181" s="22">
        <v>46708.37</v>
      </c>
      <c r="L181" s="22">
        <v>41299.410000000003</v>
      </c>
      <c r="M181" s="21">
        <v>15410</v>
      </c>
      <c r="N181" s="22">
        <v>9280</v>
      </c>
      <c r="O181" s="1" t="s">
        <v>41</v>
      </c>
      <c r="P181" s="1" t="s">
        <v>42</v>
      </c>
      <c r="Q181" s="15">
        <v>0</v>
      </c>
      <c r="R181" s="22">
        <f>Table1[[#This Row],[STAB]]-Table1[[#This Row],[AMOUNT]]</f>
        <v>9280</v>
      </c>
      <c r="S181" s="1">
        <v>0</v>
      </c>
      <c r="T181" s="1" t="s">
        <v>79</v>
      </c>
      <c r="U181" s="1">
        <v>0</v>
      </c>
      <c r="V181" s="1" t="s">
        <v>267</v>
      </c>
      <c r="W181" s="1" t="s">
        <v>265</v>
      </c>
      <c r="X181" s="1" t="s">
        <v>269</v>
      </c>
      <c r="Y181" s="21" t="s">
        <v>2111</v>
      </c>
      <c r="Z181" s="21" t="s">
        <v>1593</v>
      </c>
      <c r="AA181" s="21" t="s">
        <v>1713</v>
      </c>
      <c r="AB181" s="21" t="s">
        <v>1104</v>
      </c>
      <c r="AC181" s="21" t="s">
        <v>91</v>
      </c>
      <c r="AD181" s="21" t="s">
        <v>86</v>
      </c>
      <c r="AE181" s="21" t="s">
        <v>1166</v>
      </c>
      <c r="AF181" s="21" t="s">
        <v>1162</v>
      </c>
      <c r="AG181" s="21">
        <v>802370852</v>
      </c>
      <c r="AH181" s="21" t="s">
        <v>132</v>
      </c>
      <c r="AI181" s="21" t="s">
        <v>492</v>
      </c>
      <c r="AJ181" s="21"/>
      <c r="AK181" s="28" t="s">
        <v>43</v>
      </c>
      <c r="AL181" s="21"/>
      <c r="AM181" s="21"/>
      <c r="AN181" s="21"/>
      <c r="AO181" s="23">
        <v>45633</v>
      </c>
      <c r="AP181" s="21">
        <v>4876.92</v>
      </c>
      <c r="AQ181" s="21" t="s">
        <v>1837</v>
      </c>
      <c r="AR181" s="21" t="s">
        <v>223</v>
      </c>
      <c r="AS181" s="21" t="s">
        <v>1914</v>
      </c>
      <c r="AT181" s="24"/>
    </row>
    <row r="182" spans="1:46" x14ac:dyDescent="0.25">
      <c r="A182" s="20" t="s">
        <v>1232</v>
      </c>
      <c r="B182" s="21" t="s">
        <v>1352</v>
      </c>
      <c r="C182" s="1" t="s">
        <v>47</v>
      </c>
      <c r="D182" s="21">
        <v>21</v>
      </c>
      <c r="E182" s="21" t="s">
        <v>1472</v>
      </c>
      <c r="F182" s="21" t="s">
        <v>77</v>
      </c>
      <c r="G182" s="22">
        <f>Table1[[#This Row],[ENR]]-Table1[[#This Row],[CREDIT]]</f>
        <v>-93128.489999999991</v>
      </c>
      <c r="H182" s="21">
        <v>300000</v>
      </c>
      <c r="I182" s="35">
        <v>206871.51</v>
      </c>
      <c r="J182" s="22">
        <v>25729.35</v>
      </c>
      <c r="K182" s="22">
        <v>181142.16</v>
      </c>
      <c r="L182" s="22">
        <v>170071.34</v>
      </c>
      <c r="M182" s="21">
        <v>52400</v>
      </c>
      <c r="N182" s="22">
        <v>38450</v>
      </c>
      <c r="O182" s="1" t="s">
        <v>41</v>
      </c>
      <c r="P182" s="1" t="s">
        <v>42</v>
      </c>
      <c r="Q182" s="15">
        <v>0</v>
      </c>
      <c r="R182" s="22">
        <f>Table1[[#This Row],[STAB]]-Table1[[#This Row],[AMOUNT]]</f>
        <v>38450</v>
      </c>
      <c r="S182" s="1">
        <v>0</v>
      </c>
      <c r="T182" s="1" t="s">
        <v>79</v>
      </c>
      <c r="U182" s="1">
        <v>0</v>
      </c>
      <c r="V182" s="1" t="s">
        <v>267</v>
      </c>
      <c r="W182" s="1" t="s">
        <v>645</v>
      </c>
      <c r="X182" s="1" t="s">
        <v>646</v>
      </c>
      <c r="Y182" s="21" t="s">
        <v>2110</v>
      </c>
      <c r="Z182" s="21" t="s">
        <v>1594</v>
      </c>
      <c r="AA182" s="21" t="s">
        <v>1714</v>
      </c>
      <c r="AB182" s="21" t="s">
        <v>104</v>
      </c>
      <c r="AC182" s="21" t="s">
        <v>258</v>
      </c>
      <c r="AD182" s="21" t="s">
        <v>461</v>
      </c>
      <c r="AE182" s="21" t="s">
        <v>1168</v>
      </c>
      <c r="AF182" s="21" t="s">
        <v>133</v>
      </c>
      <c r="AG182" s="21">
        <v>802913252</v>
      </c>
      <c r="AH182" s="21" t="s">
        <v>130</v>
      </c>
      <c r="AI182" s="21" t="s">
        <v>492</v>
      </c>
      <c r="AJ182" s="21"/>
      <c r="AK182" s="28" t="s">
        <v>43</v>
      </c>
      <c r="AL182" s="21"/>
      <c r="AM182" s="21"/>
      <c r="AN182" s="21"/>
      <c r="AO182" s="23">
        <v>45482</v>
      </c>
      <c r="AP182" s="21">
        <v>29500</v>
      </c>
      <c r="AQ182" s="21" t="s">
        <v>1838</v>
      </c>
      <c r="AR182" s="21" t="s">
        <v>223</v>
      </c>
      <c r="AS182" s="21" t="s">
        <v>1914</v>
      </c>
      <c r="AT182" s="24"/>
    </row>
    <row r="183" spans="1:46" x14ac:dyDescent="0.25">
      <c r="A183" s="20" t="s">
        <v>1233</v>
      </c>
      <c r="B183" s="21" t="s">
        <v>1353</v>
      </c>
      <c r="C183" s="1" t="s">
        <v>83</v>
      </c>
      <c r="D183" s="21">
        <v>21</v>
      </c>
      <c r="E183" s="21" t="s">
        <v>1473</v>
      </c>
      <c r="F183" s="21" t="s">
        <v>77</v>
      </c>
      <c r="G183" s="22">
        <f>Table1[[#This Row],[ENR]]-Table1[[#This Row],[CREDIT]]</f>
        <v>2545.4900000000016</v>
      </c>
      <c r="H183" s="21">
        <v>30000</v>
      </c>
      <c r="I183" s="35">
        <v>32545.49</v>
      </c>
      <c r="J183" s="22" t="s">
        <v>78</v>
      </c>
      <c r="K183" s="22">
        <v>32545.49</v>
      </c>
      <c r="L183" s="22">
        <v>28674.38</v>
      </c>
      <c r="M183" s="21">
        <v>11320</v>
      </c>
      <c r="N183" s="22">
        <v>5060</v>
      </c>
      <c r="O183" s="1" t="s">
        <v>49</v>
      </c>
      <c r="P183" s="1" t="s">
        <v>12</v>
      </c>
      <c r="Q183" s="15">
        <v>11320</v>
      </c>
      <c r="R183" s="22">
        <f>Table1[[#This Row],[STAB]]-Table1[[#This Row],[AMOUNT]]</f>
        <v>-6260</v>
      </c>
      <c r="S183" s="1" t="s">
        <v>1949</v>
      </c>
      <c r="T183" s="1" t="s">
        <v>446</v>
      </c>
      <c r="U183" s="1">
        <v>0</v>
      </c>
      <c r="V183" s="1" t="s">
        <v>267</v>
      </c>
      <c r="W183" s="1" t="s">
        <v>266</v>
      </c>
      <c r="X183" s="1" t="s">
        <v>268</v>
      </c>
      <c r="Y183" s="21" t="s">
        <v>2111</v>
      </c>
      <c r="Z183" s="21" t="s">
        <v>1595</v>
      </c>
      <c r="AA183" s="21" t="s">
        <v>1715</v>
      </c>
      <c r="AB183" s="21" t="s">
        <v>72</v>
      </c>
      <c r="AC183" s="21" t="s">
        <v>91</v>
      </c>
      <c r="AD183" s="21" t="s">
        <v>113</v>
      </c>
      <c r="AE183" s="21" t="s">
        <v>1170</v>
      </c>
      <c r="AF183" s="21" t="s">
        <v>133</v>
      </c>
      <c r="AG183" s="21">
        <v>802913252</v>
      </c>
      <c r="AH183" s="21" t="s">
        <v>130</v>
      </c>
      <c r="AI183" s="21" t="s">
        <v>492</v>
      </c>
      <c r="AJ183" s="21"/>
      <c r="AK183" s="28" t="s">
        <v>447</v>
      </c>
      <c r="AL183" s="21"/>
      <c r="AM183" s="21"/>
      <c r="AN183" s="21"/>
      <c r="AO183" s="23">
        <v>45482</v>
      </c>
      <c r="AP183" s="21">
        <v>3520</v>
      </c>
      <c r="AQ183" s="21" t="s">
        <v>1839</v>
      </c>
      <c r="AR183" s="21" t="s">
        <v>223</v>
      </c>
      <c r="AS183" s="21" t="s">
        <v>1914</v>
      </c>
      <c r="AT183" s="24"/>
    </row>
    <row r="184" spans="1:46" x14ac:dyDescent="0.25">
      <c r="A184" s="20" t="s">
        <v>1234</v>
      </c>
      <c r="B184" s="21" t="s">
        <v>1354</v>
      </c>
      <c r="C184" s="1" t="s">
        <v>47</v>
      </c>
      <c r="D184" s="21">
        <v>21</v>
      </c>
      <c r="E184" s="21" t="s">
        <v>1474</v>
      </c>
      <c r="F184" s="21" t="s">
        <v>77</v>
      </c>
      <c r="G184" s="22">
        <f>Table1[[#This Row],[ENR]]-Table1[[#This Row],[CREDIT]]</f>
        <v>7781.6600000000035</v>
      </c>
      <c r="H184" s="21">
        <v>100000</v>
      </c>
      <c r="I184" s="35">
        <v>107781.66</v>
      </c>
      <c r="J184" s="22">
        <v>32611.48</v>
      </c>
      <c r="K184" s="22">
        <v>75170.179999999993</v>
      </c>
      <c r="L184" s="22">
        <v>66170.8</v>
      </c>
      <c r="M184" s="21">
        <v>18180</v>
      </c>
      <c r="N184" s="22">
        <v>8110</v>
      </c>
      <c r="O184" s="1" t="s">
        <v>41</v>
      </c>
      <c r="P184" s="1" t="s">
        <v>42</v>
      </c>
      <c r="Q184" s="15">
        <v>0</v>
      </c>
      <c r="R184" s="22">
        <f>Table1[[#This Row],[STAB]]-Table1[[#This Row],[AMOUNT]]</f>
        <v>8110</v>
      </c>
      <c r="S184" s="1">
        <v>0</v>
      </c>
      <c r="T184" s="1" t="s">
        <v>79</v>
      </c>
      <c r="U184" s="1">
        <v>0</v>
      </c>
      <c r="V184" s="1" t="s">
        <v>267</v>
      </c>
      <c r="W184" s="1" t="s">
        <v>265</v>
      </c>
      <c r="X184" s="1" t="s">
        <v>269</v>
      </c>
      <c r="Y184" s="21" t="s">
        <v>2111</v>
      </c>
      <c r="Z184" s="21" t="s">
        <v>1596</v>
      </c>
      <c r="AA184" s="21" t="s">
        <v>1716</v>
      </c>
      <c r="AB184" s="21" t="s">
        <v>1107</v>
      </c>
      <c r="AC184" s="21" t="s">
        <v>252</v>
      </c>
      <c r="AD184" s="21" t="s">
        <v>250</v>
      </c>
      <c r="AE184" s="21" t="s">
        <v>251</v>
      </c>
      <c r="AF184" s="21" t="s">
        <v>135</v>
      </c>
      <c r="AG184" s="21">
        <v>802823175</v>
      </c>
      <c r="AH184" s="21" t="s">
        <v>132</v>
      </c>
      <c r="AI184" s="21" t="s">
        <v>492</v>
      </c>
      <c r="AJ184" s="21"/>
      <c r="AK184" s="28" t="s">
        <v>447</v>
      </c>
      <c r="AL184" s="21" t="s">
        <v>458</v>
      </c>
      <c r="AM184" s="21" t="s">
        <v>2094</v>
      </c>
      <c r="AN184" s="21" t="s">
        <v>2093</v>
      </c>
      <c r="AO184" s="23">
        <v>45632</v>
      </c>
      <c r="AP184" s="21">
        <v>12854.27</v>
      </c>
      <c r="AQ184" s="21" t="s">
        <v>1840</v>
      </c>
      <c r="AR184" s="21" t="s">
        <v>223</v>
      </c>
      <c r="AS184" s="21" t="s">
        <v>1914</v>
      </c>
      <c r="AT184" s="24"/>
    </row>
    <row r="185" spans="1:46" x14ac:dyDescent="0.25">
      <c r="A185" s="20" t="s">
        <v>1235</v>
      </c>
      <c r="B185" s="21" t="s">
        <v>1355</v>
      </c>
      <c r="C185" s="1" t="s">
        <v>47</v>
      </c>
      <c r="D185" s="21">
        <v>21</v>
      </c>
      <c r="E185" s="21" t="s">
        <v>1475</v>
      </c>
      <c r="F185" s="21" t="s">
        <v>77</v>
      </c>
      <c r="G185" s="22">
        <f>Table1[[#This Row],[ENR]]-Table1[[#This Row],[CREDIT]]</f>
        <v>12331.359999999986</v>
      </c>
      <c r="H185" s="21">
        <v>120000</v>
      </c>
      <c r="I185" s="35">
        <v>132331.35999999999</v>
      </c>
      <c r="J185" s="22" t="s">
        <v>78</v>
      </c>
      <c r="K185" s="22">
        <v>132331.35999999999</v>
      </c>
      <c r="L185" s="22">
        <v>119749.73</v>
      </c>
      <c r="M185" s="21">
        <v>31540</v>
      </c>
      <c r="N185" s="22">
        <v>12290</v>
      </c>
      <c r="O185" s="1" t="s">
        <v>41</v>
      </c>
      <c r="P185" s="1" t="s">
        <v>42</v>
      </c>
      <c r="Q185" s="15">
        <v>0</v>
      </c>
      <c r="R185" s="22">
        <f>Table1[[#This Row],[STAB]]-Table1[[#This Row],[AMOUNT]]</f>
        <v>12290</v>
      </c>
      <c r="S185" s="1">
        <v>0</v>
      </c>
      <c r="T185" s="1" t="s">
        <v>79</v>
      </c>
      <c r="U185" s="1">
        <v>0</v>
      </c>
      <c r="V185" s="1" t="s">
        <v>267</v>
      </c>
      <c r="W185" s="1" t="s">
        <v>645</v>
      </c>
      <c r="X185" s="1" t="s">
        <v>646</v>
      </c>
      <c r="Y185" s="21" t="s">
        <v>2111</v>
      </c>
      <c r="Z185" s="21" t="s">
        <v>1597</v>
      </c>
      <c r="AA185" s="21" t="s">
        <v>1717</v>
      </c>
      <c r="AB185" s="21" t="s">
        <v>71</v>
      </c>
      <c r="AC185" s="21" t="s">
        <v>92</v>
      </c>
      <c r="AD185" s="21" t="s">
        <v>95</v>
      </c>
      <c r="AE185" s="21" t="s">
        <v>190</v>
      </c>
      <c r="AF185" s="21" t="s">
        <v>134</v>
      </c>
      <c r="AG185" s="21">
        <v>801436997</v>
      </c>
      <c r="AH185" s="21" t="s">
        <v>130</v>
      </c>
      <c r="AI185" s="21" t="s">
        <v>492</v>
      </c>
      <c r="AJ185" s="21"/>
      <c r="AK185" s="28" t="s">
        <v>447</v>
      </c>
      <c r="AL185" s="21" t="s">
        <v>463</v>
      </c>
      <c r="AM185" s="21" t="s">
        <v>2122</v>
      </c>
      <c r="AN185" s="21" t="s">
        <v>2115</v>
      </c>
      <c r="AO185" s="23">
        <v>46169</v>
      </c>
      <c r="AP185" s="21">
        <v>15310</v>
      </c>
      <c r="AQ185" s="21" t="s">
        <v>1841</v>
      </c>
      <c r="AR185" s="21" t="s">
        <v>223</v>
      </c>
      <c r="AS185" s="21" t="s">
        <v>1914</v>
      </c>
      <c r="AT185" s="24"/>
    </row>
    <row r="186" spans="1:46" x14ac:dyDescent="0.25">
      <c r="A186" s="20" t="s">
        <v>1236</v>
      </c>
      <c r="B186" s="21" t="s">
        <v>1356</v>
      </c>
      <c r="C186" s="1" t="s">
        <v>47</v>
      </c>
      <c r="D186" s="21">
        <v>21</v>
      </c>
      <c r="E186" s="21" t="s">
        <v>1476</v>
      </c>
      <c r="F186" s="21" t="s">
        <v>77</v>
      </c>
      <c r="G186" s="22">
        <f>Table1[[#This Row],[ENR]]-Table1[[#This Row],[CREDIT]]</f>
        <v>-645.26000000000931</v>
      </c>
      <c r="H186" s="21">
        <v>140000</v>
      </c>
      <c r="I186" s="35">
        <v>139354.74</v>
      </c>
      <c r="J186" s="22" t="s">
        <v>78</v>
      </c>
      <c r="K186" s="22">
        <v>139354.74</v>
      </c>
      <c r="L186" s="22">
        <v>124991.21</v>
      </c>
      <c r="M186" s="21">
        <v>36500</v>
      </c>
      <c r="N186" s="22">
        <v>17330</v>
      </c>
      <c r="O186" s="1" t="s">
        <v>41</v>
      </c>
      <c r="P186" s="1" t="s">
        <v>42</v>
      </c>
      <c r="Q186" s="15">
        <v>0</v>
      </c>
      <c r="R186" s="22">
        <f>Table1[[#This Row],[STAB]]-Table1[[#This Row],[AMOUNT]]</f>
        <v>17330</v>
      </c>
      <c r="S186" s="1">
        <v>0</v>
      </c>
      <c r="T186" s="1" t="s">
        <v>79</v>
      </c>
      <c r="U186" s="1">
        <v>0</v>
      </c>
      <c r="V186" s="1" t="s">
        <v>267</v>
      </c>
      <c r="W186" s="1" t="s">
        <v>266</v>
      </c>
      <c r="X186" s="1" t="s">
        <v>268</v>
      </c>
      <c r="Y186" s="21" t="s">
        <v>2111</v>
      </c>
      <c r="Z186" s="21" t="s">
        <v>1598</v>
      </c>
      <c r="AA186" s="21" t="s">
        <v>1718</v>
      </c>
      <c r="AB186" s="21" t="s">
        <v>1786</v>
      </c>
      <c r="AC186" s="21" t="s">
        <v>91</v>
      </c>
      <c r="AD186" s="21" t="s">
        <v>1160</v>
      </c>
      <c r="AE186" s="21" t="s">
        <v>1169</v>
      </c>
      <c r="AF186" s="21" t="s">
        <v>1163</v>
      </c>
      <c r="AG186" s="21">
        <v>801772794</v>
      </c>
      <c r="AH186" s="21" t="s">
        <v>1161</v>
      </c>
      <c r="AI186" s="21" t="s">
        <v>492</v>
      </c>
      <c r="AJ186" s="21"/>
      <c r="AK186" s="28" t="s">
        <v>447</v>
      </c>
      <c r="AL186" s="21" t="s">
        <v>458</v>
      </c>
      <c r="AM186" s="21" t="s">
        <v>1938</v>
      </c>
      <c r="AN186" s="21" t="s">
        <v>1927</v>
      </c>
      <c r="AO186" s="23">
        <v>45482</v>
      </c>
      <c r="AP186" s="21">
        <v>102324.47</v>
      </c>
      <c r="AQ186" s="21" t="s">
        <v>1842</v>
      </c>
      <c r="AR186" s="21" t="s">
        <v>223</v>
      </c>
      <c r="AS186" s="21" t="s">
        <v>1914</v>
      </c>
      <c r="AT186" s="24"/>
    </row>
    <row r="187" spans="1:46" x14ac:dyDescent="0.25">
      <c r="A187" s="20" t="s">
        <v>1237</v>
      </c>
      <c r="B187" s="21" t="s">
        <v>1357</v>
      </c>
      <c r="C187" s="1" t="s">
        <v>47</v>
      </c>
      <c r="D187" s="21">
        <v>21</v>
      </c>
      <c r="E187" s="21" t="s">
        <v>1477</v>
      </c>
      <c r="F187" s="21" t="s">
        <v>77</v>
      </c>
      <c r="G187" s="22">
        <f>Table1[[#This Row],[ENR]]-Table1[[#This Row],[CREDIT]]</f>
        <v>3297.0400000000009</v>
      </c>
      <c r="H187" s="21">
        <v>36000</v>
      </c>
      <c r="I187" s="35">
        <v>39297.040000000001</v>
      </c>
      <c r="J187" s="22" t="s">
        <v>78</v>
      </c>
      <c r="K187" s="22">
        <v>39297.040000000001</v>
      </c>
      <c r="L187" s="22">
        <v>35760.379999999997</v>
      </c>
      <c r="M187" s="21">
        <v>10160</v>
      </c>
      <c r="N187" s="22">
        <v>1790</v>
      </c>
      <c r="O187" s="1" t="s">
        <v>41</v>
      </c>
      <c r="P187" s="1" t="s">
        <v>42</v>
      </c>
      <c r="Q187" s="15">
        <v>0</v>
      </c>
      <c r="R187" s="22">
        <f>Table1[[#This Row],[STAB]]-Table1[[#This Row],[AMOUNT]]</f>
        <v>1790</v>
      </c>
      <c r="S187" s="1">
        <v>0</v>
      </c>
      <c r="T187" s="1" t="s">
        <v>79</v>
      </c>
      <c r="U187" s="1">
        <v>0</v>
      </c>
      <c r="V187" s="1" t="s">
        <v>267</v>
      </c>
      <c r="W187" s="1" t="s">
        <v>266</v>
      </c>
      <c r="X187" s="1" t="s">
        <v>268</v>
      </c>
      <c r="Y187" s="21" t="s">
        <v>2111</v>
      </c>
      <c r="Z187" s="21" t="s">
        <v>1599</v>
      </c>
      <c r="AA187" s="21" t="s">
        <v>1719</v>
      </c>
      <c r="AB187" s="21" t="s">
        <v>149</v>
      </c>
      <c r="AC187" s="21" t="s">
        <v>91</v>
      </c>
      <c r="AD187" s="1" t="s">
        <v>2080</v>
      </c>
      <c r="AE187" s="59" t="s">
        <v>2081</v>
      </c>
      <c r="AF187" s="21" t="s">
        <v>274</v>
      </c>
      <c r="AG187" s="21">
        <v>801354813</v>
      </c>
      <c r="AH187" s="21" t="s">
        <v>132</v>
      </c>
      <c r="AI187" s="21" t="s">
        <v>492</v>
      </c>
      <c r="AJ187" s="21"/>
      <c r="AK187" s="28" t="s">
        <v>43</v>
      </c>
      <c r="AL187" s="21"/>
      <c r="AM187" s="21"/>
      <c r="AN187" s="21"/>
      <c r="AO187" s="23">
        <v>46027</v>
      </c>
      <c r="AP187" s="21">
        <v>5760</v>
      </c>
      <c r="AQ187" s="21" t="s">
        <v>1843</v>
      </c>
      <c r="AR187" s="21" t="s">
        <v>223</v>
      </c>
      <c r="AS187" s="21" t="s">
        <v>1914</v>
      </c>
      <c r="AT187" s="24"/>
    </row>
    <row r="188" spans="1:46" x14ac:dyDescent="0.25">
      <c r="A188" s="20" t="s">
        <v>1238</v>
      </c>
      <c r="B188" s="21" t="s">
        <v>1358</v>
      </c>
      <c r="C188" s="1" t="s">
        <v>47</v>
      </c>
      <c r="D188" s="21">
        <v>21</v>
      </c>
      <c r="E188" s="21" t="s">
        <v>1478</v>
      </c>
      <c r="F188" s="21" t="s">
        <v>77</v>
      </c>
      <c r="G188" s="22">
        <f>Table1[[#This Row],[ENR]]-Table1[[#This Row],[CREDIT]]</f>
        <v>61664.91</v>
      </c>
      <c r="H188" s="21">
        <v>80000</v>
      </c>
      <c r="I188" s="35">
        <v>141664.91</v>
      </c>
      <c r="J188" s="22">
        <v>45930.239999999998</v>
      </c>
      <c r="K188" s="22">
        <v>95734.67</v>
      </c>
      <c r="L188" s="22">
        <v>83212.77</v>
      </c>
      <c r="M188" s="21">
        <v>41790</v>
      </c>
      <c r="N188" s="22">
        <v>20760</v>
      </c>
      <c r="O188" s="1" t="s">
        <v>41</v>
      </c>
      <c r="P188" s="1" t="s">
        <v>42</v>
      </c>
      <c r="Q188" s="15">
        <v>0</v>
      </c>
      <c r="R188" s="22">
        <f>Table1[[#This Row],[STAB]]-Table1[[#This Row],[AMOUNT]]</f>
        <v>20760</v>
      </c>
      <c r="S188" s="1">
        <v>0</v>
      </c>
      <c r="T188" s="1" t="s">
        <v>79</v>
      </c>
      <c r="U188" s="1">
        <v>0</v>
      </c>
      <c r="V188" s="1" t="s">
        <v>267</v>
      </c>
      <c r="W188" s="1" t="s">
        <v>645</v>
      </c>
      <c r="X188" s="1" t="s">
        <v>646</v>
      </c>
      <c r="Y188" s="21" t="s">
        <v>2111</v>
      </c>
      <c r="Z188" s="21" t="s">
        <v>1600</v>
      </c>
      <c r="AA188" s="21" t="s">
        <v>1720</v>
      </c>
      <c r="AB188" s="21" t="s">
        <v>1105</v>
      </c>
      <c r="AC188" s="21" t="s">
        <v>92</v>
      </c>
      <c r="AD188" s="21" t="s">
        <v>1158</v>
      </c>
      <c r="AE188" s="21" t="s">
        <v>1167</v>
      </c>
      <c r="AF188" s="21" t="s">
        <v>491</v>
      </c>
      <c r="AG188" s="21">
        <v>802663436</v>
      </c>
      <c r="AH188" s="21" t="s">
        <v>132</v>
      </c>
      <c r="AI188" s="21" t="s">
        <v>492</v>
      </c>
      <c r="AJ188" s="21"/>
      <c r="AK188" s="28" t="s">
        <v>43</v>
      </c>
      <c r="AL188" s="21"/>
      <c r="AM188" s="21"/>
      <c r="AN188" s="21"/>
      <c r="AO188" s="23">
        <v>46242</v>
      </c>
      <c r="AP188" s="21">
        <v>3730</v>
      </c>
      <c r="AQ188" s="21" t="s">
        <v>1844</v>
      </c>
      <c r="AR188" s="21" t="s">
        <v>223</v>
      </c>
      <c r="AS188" s="21" t="s">
        <v>1914</v>
      </c>
      <c r="AT188" s="24"/>
    </row>
    <row r="189" spans="1:46" x14ac:dyDescent="0.25">
      <c r="A189" s="20" t="s">
        <v>1239</v>
      </c>
      <c r="B189" s="21" t="s">
        <v>1359</v>
      </c>
      <c r="C189" s="1" t="s">
        <v>47</v>
      </c>
      <c r="D189" s="21">
        <v>21</v>
      </c>
      <c r="E189" s="21" t="s">
        <v>1479</v>
      </c>
      <c r="F189" s="21" t="s">
        <v>77</v>
      </c>
      <c r="G189" s="22">
        <f>Table1[[#This Row],[ENR]]-Table1[[#This Row],[CREDIT]]</f>
        <v>-412.16999999999825</v>
      </c>
      <c r="H189" s="21">
        <v>80000</v>
      </c>
      <c r="I189" s="35">
        <v>79587.83</v>
      </c>
      <c r="J189" s="22">
        <v>5950.62</v>
      </c>
      <c r="K189" s="22">
        <v>73637.210000000006</v>
      </c>
      <c r="L189" s="22">
        <v>67397.429999999993</v>
      </c>
      <c r="M189" s="21">
        <v>13240</v>
      </c>
      <c r="N189" s="22">
        <v>4790</v>
      </c>
      <c r="O189" s="1" t="s">
        <v>41</v>
      </c>
      <c r="P189" s="1" t="s">
        <v>42</v>
      </c>
      <c r="Q189" s="15">
        <v>0</v>
      </c>
      <c r="R189" s="22">
        <f>Table1[[#This Row],[STAB]]-Table1[[#This Row],[AMOUNT]]</f>
        <v>4790</v>
      </c>
      <c r="S189" s="1">
        <v>0</v>
      </c>
      <c r="T189" s="1" t="s">
        <v>79</v>
      </c>
      <c r="U189" s="1">
        <v>0</v>
      </c>
      <c r="V189" s="1" t="s">
        <v>267</v>
      </c>
      <c r="W189" s="1" t="s">
        <v>107</v>
      </c>
      <c r="X189" s="1" t="s">
        <v>200</v>
      </c>
      <c r="Y189" s="21" t="s">
        <v>2111</v>
      </c>
      <c r="Z189" s="21" t="s">
        <v>1601</v>
      </c>
      <c r="AA189" s="21" t="s">
        <v>1721</v>
      </c>
      <c r="AB189" s="21" t="s">
        <v>1787</v>
      </c>
      <c r="AC189" s="21" t="s">
        <v>93</v>
      </c>
      <c r="AD189" s="21" t="s">
        <v>1917</v>
      </c>
      <c r="AE189" s="21" t="s">
        <v>1919</v>
      </c>
      <c r="AF189" s="21" t="s">
        <v>151</v>
      </c>
      <c r="AG189" s="21">
        <v>801723195</v>
      </c>
      <c r="AH189" s="21" t="s">
        <v>132</v>
      </c>
      <c r="AI189" s="21" t="s">
        <v>492</v>
      </c>
      <c r="AJ189" s="21"/>
      <c r="AK189" s="28" t="s">
        <v>43</v>
      </c>
      <c r="AL189" s="21"/>
      <c r="AM189" s="21"/>
      <c r="AN189" s="21"/>
      <c r="AO189" s="23">
        <v>45538</v>
      </c>
      <c r="AP189" s="21">
        <v>2000</v>
      </c>
      <c r="AQ189" s="21" t="s">
        <v>1845</v>
      </c>
      <c r="AR189" s="21" t="s">
        <v>223</v>
      </c>
      <c r="AS189" s="21" t="s">
        <v>1914</v>
      </c>
      <c r="AT189" s="24"/>
    </row>
    <row r="190" spans="1:46" x14ac:dyDescent="0.25">
      <c r="A190" s="20" t="s">
        <v>1240</v>
      </c>
      <c r="B190" s="21" t="s">
        <v>1360</v>
      </c>
      <c r="C190" s="1" t="s">
        <v>83</v>
      </c>
      <c r="D190" s="21">
        <v>21</v>
      </c>
      <c r="E190" s="21" t="s">
        <v>1480</v>
      </c>
      <c r="F190" s="21" t="s">
        <v>77</v>
      </c>
      <c r="G190" s="22">
        <f>Table1[[#This Row],[ENR]]-Table1[[#This Row],[CREDIT]]</f>
        <v>-58094.59</v>
      </c>
      <c r="H190" s="21">
        <v>210000</v>
      </c>
      <c r="I190" s="35">
        <v>151905.41</v>
      </c>
      <c r="J190" s="22" t="s">
        <v>78</v>
      </c>
      <c r="K190" s="22">
        <v>151905.41</v>
      </c>
      <c r="L190" s="22">
        <v>143740.79999999999</v>
      </c>
      <c r="M190" s="21">
        <v>18410</v>
      </c>
      <c r="N190" s="22">
        <v>8830</v>
      </c>
      <c r="O190" s="1" t="s">
        <v>49</v>
      </c>
      <c r="P190" s="1" t="s">
        <v>12</v>
      </c>
      <c r="Q190" s="15">
        <v>0</v>
      </c>
      <c r="R190" s="22">
        <f>Table1[[#This Row],[STAB]]-Table1[[#This Row],[AMOUNT]]</f>
        <v>8830</v>
      </c>
      <c r="S190" s="1" t="s">
        <v>2115</v>
      </c>
      <c r="T190" s="1" t="s">
        <v>446</v>
      </c>
      <c r="U190" s="1">
        <v>0</v>
      </c>
      <c r="V190" s="1" t="s">
        <v>267</v>
      </c>
      <c r="W190" s="1" t="s">
        <v>266</v>
      </c>
      <c r="X190" s="1" t="s">
        <v>268</v>
      </c>
      <c r="Y190" s="21" t="s">
        <v>2111</v>
      </c>
      <c r="Z190" s="21" t="s">
        <v>1602</v>
      </c>
      <c r="AA190" s="21" t="s">
        <v>1722</v>
      </c>
      <c r="AB190" s="21" t="s">
        <v>80</v>
      </c>
      <c r="AC190" s="21" t="s">
        <v>91</v>
      </c>
      <c r="AD190" s="21" t="s">
        <v>99</v>
      </c>
      <c r="AE190" s="21" t="s">
        <v>449</v>
      </c>
      <c r="AF190" s="21" t="s">
        <v>450</v>
      </c>
      <c r="AG190" s="21">
        <v>802898520</v>
      </c>
      <c r="AH190" s="21" t="s">
        <v>130</v>
      </c>
      <c r="AI190" s="21" t="s">
        <v>492</v>
      </c>
      <c r="AJ190" s="21"/>
      <c r="AK190" s="28" t="s">
        <v>447</v>
      </c>
      <c r="AL190" s="21" t="s">
        <v>456</v>
      </c>
      <c r="AM190" s="21" t="s">
        <v>2120</v>
      </c>
      <c r="AN190" s="21" t="s">
        <v>2115</v>
      </c>
      <c r="AO190" s="23">
        <v>46133</v>
      </c>
      <c r="AP190" s="21">
        <v>6040</v>
      </c>
      <c r="AQ190" s="21" t="s">
        <v>1846</v>
      </c>
      <c r="AR190" s="21" t="s">
        <v>223</v>
      </c>
      <c r="AS190" s="21" t="s">
        <v>1914</v>
      </c>
      <c r="AT190" s="24"/>
    </row>
    <row r="191" spans="1:46" x14ac:dyDescent="0.25">
      <c r="A191" s="20" t="s">
        <v>1241</v>
      </c>
      <c r="B191" s="21" t="s">
        <v>1361</v>
      </c>
      <c r="C191" s="1" t="s">
        <v>47</v>
      </c>
      <c r="D191" s="21">
        <v>21</v>
      </c>
      <c r="E191" s="21" t="s">
        <v>1481</v>
      </c>
      <c r="F191" s="21" t="s">
        <v>77</v>
      </c>
      <c r="G191" s="22">
        <f>Table1[[#This Row],[ENR]]-Table1[[#This Row],[CREDIT]]</f>
        <v>-10927.36</v>
      </c>
      <c r="H191" s="21">
        <v>100000</v>
      </c>
      <c r="I191" s="35">
        <v>89072.639999999999</v>
      </c>
      <c r="J191" s="22" t="s">
        <v>78</v>
      </c>
      <c r="K191" s="22">
        <v>89072.639999999999</v>
      </c>
      <c r="L191" s="22">
        <v>78720.649999999994</v>
      </c>
      <c r="M191" s="21">
        <v>15200</v>
      </c>
      <c r="N191" s="22">
        <v>6200</v>
      </c>
      <c r="O191" s="1" t="s">
        <v>49</v>
      </c>
      <c r="P191" s="1" t="s">
        <v>13</v>
      </c>
      <c r="Q191" s="15">
        <v>6200</v>
      </c>
      <c r="R191" s="22">
        <f>Table1[[#This Row],[STAB]]-Table1[[#This Row],[AMOUNT]]</f>
        <v>0</v>
      </c>
      <c r="S191" s="1" t="s">
        <v>1956</v>
      </c>
      <c r="T191" s="1" t="s">
        <v>673</v>
      </c>
      <c r="U191" s="1">
        <v>0</v>
      </c>
      <c r="V191" s="1" t="s">
        <v>267</v>
      </c>
      <c r="W191" s="1" t="s">
        <v>266</v>
      </c>
      <c r="X191" s="1" t="s">
        <v>268</v>
      </c>
      <c r="Y191" s="21" t="s">
        <v>2110</v>
      </c>
      <c r="Z191" s="21" t="s">
        <v>1603</v>
      </c>
      <c r="AA191" s="21" t="s">
        <v>1723</v>
      </c>
      <c r="AB191" s="21" t="s">
        <v>248</v>
      </c>
      <c r="AC191" s="21" t="s">
        <v>91</v>
      </c>
      <c r="AD191" s="21" t="s">
        <v>122</v>
      </c>
      <c r="AE191" s="21" t="s">
        <v>667</v>
      </c>
      <c r="AF191" s="21" t="s">
        <v>666</v>
      </c>
      <c r="AG191" s="21">
        <v>802663344</v>
      </c>
      <c r="AH191" s="21" t="s">
        <v>132</v>
      </c>
      <c r="AI191" s="21" t="s">
        <v>492</v>
      </c>
      <c r="AJ191" s="21"/>
      <c r="AK191" s="28" t="s">
        <v>447</v>
      </c>
      <c r="AL191" s="21" t="s">
        <v>458</v>
      </c>
      <c r="AM191" s="21" t="s">
        <v>1960</v>
      </c>
      <c r="AN191" s="21" t="s">
        <v>1949</v>
      </c>
      <c r="AO191" s="23">
        <v>46034</v>
      </c>
      <c r="AP191" s="21">
        <v>4710</v>
      </c>
      <c r="AQ191" s="21" t="s">
        <v>1847</v>
      </c>
      <c r="AR191" s="21" t="s">
        <v>223</v>
      </c>
      <c r="AS191" s="21" t="s">
        <v>1914</v>
      </c>
      <c r="AT191" s="24"/>
    </row>
    <row r="192" spans="1:46" x14ac:dyDescent="0.25">
      <c r="A192" s="20" t="s">
        <v>1242</v>
      </c>
      <c r="B192" s="21" t="s">
        <v>1362</v>
      </c>
      <c r="C192" s="1" t="s">
        <v>47</v>
      </c>
      <c r="D192" s="21">
        <v>21</v>
      </c>
      <c r="E192" s="21" t="s">
        <v>1482</v>
      </c>
      <c r="F192" s="21" t="s">
        <v>77</v>
      </c>
      <c r="G192" s="22">
        <f>Table1[[#This Row],[ENR]]-Table1[[#This Row],[CREDIT]]</f>
        <v>-2924.9900000000052</v>
      </c>
      <c r="H192" s="21">
        <v>130000</v>
      </c>
      <c r="I192" s="35">
        <v>127075.01</v>
      </c>
      <c r="J192" s="22" t="s">
        <v>78</v>
      </c>
      <c r="K192" s="22">
        <v>127075.01</v>
      </c>
      <c r="L192" s="22">
        <v>118150</v>
      </c>
      <c r="M192" s="21">
        <v>20450</v>
      </c>
      <c r="N192" s="22">
        <v>5910</v>
      </c>
      <c r="O192" s="1" t="s">
        <v>41</v>
      </c>
      <c r="P192" s="1" t="s">
        <v>42</v>
      </c>
      <c r="Q192" s="15">
        <v>0</v>
      </c>
      <c r="R192" s="22">
        <f>Table1[[#This Row],[STAB]]-Table1[[#This Row],[AMOUNT]]</f>
        <v>5910</v>
      </c>
      <c r="S192" s="1">
        <v>0</v>
      </c>
      <c r="T192" s="1" t="s">
        <v>79</v>
      </c>
      <c r="U192" s="1">
        <v>0</v>
      </c>
      <c r="V192" s="1" t="s">
        <v>267</v>
      </c>
      <c r="W192" s="1" t="s">
        <v>265</v>
      </c>
      <c r="X192" s="1" t="s">
        <v>269</v>
      </c>
      <c r="Y192" s="21" t="s">
        <v>2111</v>
      </c>
      <c r="Z192" s="21" t="s">
        <v>1604</v>
      </c>
      <c r="AA192" s="21" t="s">
        <v>1724</v>
      </c>
      <c r="AB192" s="21" t="s">
        <v>224</v>
      </c>
      <c r="AC192" s="21" t="s">
        <v>252</v>
      </c>
      <c r="AD192" s="21" t="s">
        <v>253</v>
      </c>
      <c r="AE192" s="21" t="s">
        <v>255</v>
      </c>
      <c r="AF192" s="21" t="s">
        <v>151</v>
      </c>
      <c r="AG192" s="21">
        <v>801723195</v>
      </c>
      <c r="AH192" s="21" t="s">
        <v>132</v>
      </c>
      <c r="AI192" s="21" t="s">
        <v>492</v>
      </c>
      <c r="AJ192" s="21"/>
      <c r="AK192" s="28" t="s">
        <v>43</v>
      </c>
      <c r="AL192" s="21"/>
      <c r="AM192" s="21"/>
      <c r="AN192" s="21"/>
      <c r="AO192" s="23">
        <v>45339</v>
      </c>
      <c r="AP192" s="21">
        <v>12600</v>
      </c>
      <c r="AQ192" s="21" t="s">
        <v>1848</v>
      </c>
      <c r="AR192" s="21" t="s">
        <v>223</v>
      </c>
      <c r="AS192" s="21" t="s">
        <v>1914</v>
      </c>
      <c r="AT192" s="24"/>
    </row>
    <row r="193" spans="1:46" x14ac:dyDescent="0.25">
      <c r="A193" s="20" t="s">
        <v>1243</v>
      </c>
      <c r="B193" s="21" t="s">
        <v>1363</v>
      </c>
      <c r="C193" s="1" t="s">
        <v>47</v>
      </c>
      <c r="D193" s="21">
        <v>21</v>
      </c>
      <c r="E193" s="21" t="s">
        <v>1483</v>
      </c>
      <c r="F193" s="21" t="s">
        <v>77</v>
      </c>
      <c r="G193" s="22">
        <f>Table1[[#This Row],[ENR]]-Table1[[#This Row],[CREDIT]]</f>
        <v>-50924.240000000005</v>
      </c>
      <c r="H193" s="21">
        <v>80000</v>
      </c>
      <c r="I193" s="35">
        <v>29075.759999999998</v>
      </c>
      <c r="J193" s="22" t="s">
        <v>78</v>
      </c>
      <c r="K193" s="22">
        <v>29075.759999999998</v>
      </c>
      <c r="L193" s="22">
        <v>26000</v>
      </c>
      <c r="M193" s="21">
        <v>5620</v>
      </c>
      <c r="N193" s="22">
        <v>1300</v>
      </c>
      <c r="O193" s="1" t="s">
        <v>41</v>
      </c>
      <c r="P193" s="1" t="s">
        <v>42</v>
      </c>
      <c r="Q193" s="15">
        <v>0</v>
      </c>
      <c r="R193" s="22">
        <f>Table1[[#This Row],[STAB]]-Table1[[#This Row],[AMOUNT]]</f>
        <v>1300</v>
      </c>
      <c r="S193" s="1">
        <v>0</v>
      </c>
      <c r="T193" s="1" t="s">
        <v>79</v>
      </c>
      <c r="U193" s="1">
        <v>0</v>
      </c>
      <c r="V193" s="1" t="s">
        <v>267</v>
      </c>
      <c r="W193" s="1" t="s">
        <v>107</v>
      </c>
      <c r="X193" s="1" t="s">
        <v>200</v>
      </c>
      <c r="Y193" s="21" t="s">
        <v>2111</v>
      </c>
      <c r="Z193" s="21" t="s">
        <v>1605</v>
      </c>
      <c r="AA193" s="21" t="s">
        <v>1725</v>
      </c>
      <c r="AB193" s="21" t="s">
        <v>138</v>
      </c>
      <c r="AC193" s="21" t="s">
        <v>93</v>
      </c>
      <c r="AD193" s="21" t="s">
        <v>139</v>
      </c>
      <c r="AE193" s="21" t="s">
        <v>202</v>
      </c>
      <c r="AF193" s="21" t="s">
        <v>490</v>
      </c>
      <c r="AG193" s="21">
        <v>802823528</v>
      </c>
      <c r="AH193" s="21" t="s">
        <v>488</v>
      </c>
      <c r="AI193" s="21" t="s">
        <v>492</v>
      </c>
      <c r="AJ193" s="21"/>
      <c r="AK193" s="28" t="s">
        <v>447</v>
      </c>
      <c r="AL193" s="21" t="s">
        <v>458</v>
      </c>
      <c r="AM193" s="21" t="s">
        <v>2109</v>
      </c>
      <c r="AN193" s="21" t="s">
        <v>2093</v>
      </c>
      <c r="AO193" s="23">
        <v>45478</v>
      </c>
      <c r="AP193" s="21">
        <v>10000</v>
      </c>
      <c r="AQ193" s="21" t="s">
        <v>1849</v>
      </c>
      <c r="AR193" s="21" t="s">
        <v>223</v>
      </c>
      <c r="AS193" s="21" t="s">
        <v>1914</v>
      </c>
      <c r="AT193" s="24"/>
    </row>
    <row r="194" spans="1:46" x14ac:dyDescent="0.25">
      <c r="A194" s="20" t="s">
        <v>1244</v>
      </c>
      <c r="B194" s="21" t="s">
        <v>1364</v>
      </c>
      <c r="C194" s="1" t="s">
        <v>47</v>
      </c>
      <c r="D194" s="21">
        <v>21</v>
      </c>
      <c r="E194" s="21" t="s">
        <v>1484</v>
      </c>
      <c r="F194" s="21" t="s">
        <v>77</v>
      </c>
      <c r="G194" s="22">
        <f>Table1[[#This Row],[ENR]]-Table1[[#This Row],[CREDIT]]</f>
        <v>-51917.22</v>
      </c>
      <c r="H194" s="21">
        <v>300000</v>
      </c>
      <c r="I194" s="35">
        <v>248082.78</v>
      </c>
      <c r="J194" s="22" t="s">
        <v>78</v>
      </c>
      <c r="K194" s="22">
        <v>248082.78</v>
      </c>
      <c r="L194" s="22">
        <v>231400</v>
      </c>
      <c r="M194" s="21">
        <v>39250</v>
      </c>
      <c r="N194" s="22">
        <v>11570</v>
      </c>
      <c r="O194" s="1" t="s">
        <v>41</v>
      </c>
      <c r="P194" s="1" t="s">
        <v>42</v>
      </c>
      <c r="Q194" s="15">
        <v>0</v>
      </c>
      <c r="R194" s="22">
        <f>Table1[[#This Row],[STAB]]-Table1[[#This Row],[AMOUNT]]</f>
        <v>11570</v>
      </c>
      <c r="S194" s="1">
        <v>0</v>
      </c>
      <c r="T194" s="1" t="s">
        <v>79</v>
      </c>
      <c r="U194" s="1">
        <v>0</v>
      </c>
      <c r="V194" s="1" t="s">
        <v>267</v>
      </c>
      <c r="W194" s="1" t="s">
        <v>266</v>
      </c>
      <c r="X194" s="1" t="s">
        <v>268</v>
      </c>
      <c r="Y194" s="21" t="s">
        <v>2111</v>
      </c>
      <c r="Z194" s="21" t="s">
        <v>1606</v>
      </c>
      <c r="AA194" s="21" t="s">
        <v>1726</v>
      </c>
      <c r="AB194" s="21" t="s">
        <v>1788</v>
      </c>
      <c r="AC194" s="21" t="s">
        <v>91</v>
      </c>
      <c r="AD194" s="21" t="s">
        <v>1160</v>
      </c>
      <c r="AE194" s="21" t="s">
        <v>1169</v>
      </c>
      <c r="AF194" s="21" t="s">
        <v>1163</v>
      </c>
      <c r="AG194" s="21">
        <v>801772794</v>
      </c>
      <c r="AH194" s="21" t="s">
        <v>1161</v>
      </c>
      <c r="AI194" s="21" t="s">
        <v>492</v>
      </c>
      <c r="AJ194" s="21"/>
      <c r="AK194" s="28" t="s">
        <v>447</v>
      </c>
      <c r="AL194" s="21" t="s">
        <v>463</v>
      </c>
      <c r="AM194" s="21" t="s">
        <v>2105</v>
      </c>
      <c r="AN194" s="21" t="s">
        <v>2093</v>
      </c>
      <c r="AO194" s="23">
        <v>46241</v>
      </c>
      <c r="AP194" s="21">
        <v>43864</v>
      </c>
      <c r="AQ194" s="21" t="s">
        <v>1850</v>
      </c>
      <c r="AR194" s="21" t="s">
        <v>223</v>
      </c>
      <c r="AS194" s="21" t="s">
        <v>1914</v>
      </c>
      <c r="AT194" s="24"/>
    </row>
    <row r="195" spans="1:46" x14ac:dyDescent="0.25">
      <c r="A195" s="20" t="s">
        <v>1245</v>
      </c>
      <c r="B195" s="21" t="s">
        <v>1365</v>
      </c>
      <c r="C195" s="1" t="s">
        <v>83</v>
      </c>
      <c r="D195" s="21">
        <v>21</v>
      </c>
      <c r="E195" s="21" t="s">
        <v>1485</v>
      </c>
      <c r="F195" s="21" t="s">
        <v>77</v>
      </c>
      <c r="G195" s="22">
        <f>Table1[[#This Row],[ENR]]-Table1[[#This Row],[CREDIT]]</f>
        <v>5836.6399999999994</v>
      </c>
      <c r="H195" s="21">
        <v>80000</v>
      </c>
      <c r="I195" s="35">
        <v>85836.64</v>
      </c>
      <c r="J195" s="22" t="s">
        <v>78</v>
      </c>
      <c r="K195" s="22">
        <v>85836.64</v>
      </c>
      <c r="L195" s="22">
        <v>79656.3</v>
      </c>
      <c r="M195" s="21">
        <v>19510</v>
      </c>
      <c r="N195" s="22">
        <v>13910</v>
      </c>
      <c r="O195" s="1" t="s">
        <v>41</v>
      </c>
      <c r="P195" s="1" t="s">
        <v>42</v>
      </c>
      <c r="Q195" s="15">
        <v>0</v>
      </c>
      <c r="R195" s="22">
        <f>Table1[[#This Row],[STAB]]-Table1[[#This Row],[AMOUNT]]</f>
        <v>13910</v>
      </c>
      <c r="S195" s="1">
        <v>0</v>
      </c>
      <c r="T195" s="1" t="s">
        <v>79</v>
      </c>
      <c r="U195" s="1">
        <v>0</v>
      </c>
      <c r="V195" s="1" t="s">
        <v>267</v>
      </c>
      <c r="W195" s="1" t="s">
        <v>107</v>
      </c>
      <c r="X195" s="1" t="s">
        <v>200</v>
      </c>
      <c r="Y195" s="21" t="s">
        <v>2111</v>
      </c>
      <c r="Z195" s="21" t="s">
        <v>1607</v>
      </c>
      <c r="AA195" s="21" t="s">
        <v>1727</v>
      </c>
      <c r="AB195" s="21" t="s">
        <v>434</v>
      </c>
      <c r="AC195" s="21" t="s">
        <v>93</v>
      </c>
      <c r="AD195" s="21" t="s">
        <v>460</v>
      </c>
      <c r="AE195" s="21" t="s">
        <v>444</v>
      </c>
      <c r="AF195" s="21" t="s">
        <v>181</v>
      </c>
      <c r="AG195" s="21">
        <v>802823180</v>
      </c>
      <c r="AH195" s="21" t="s">
        <v>132</v>
      </c>
      <c r="AI195" s="21" t="s">
        <v>492</v>
      </c>
      <c r="AJ195" s="21"/>
      <c r="AK195" s="28" t="s">
        <v>43</v>
      </c>
      <c r="AL195" s="21"/>
      <c r="AM195" s="21"/>
      <c r="AN195" s="21"/>
      <c r="AO195" s="23">
        <v>45969</v>
      </c>
      <c r="AP195" s="21">
        <v>61500</v>
      </c>
      <c r="AQ195" s="21" t="s">
        <v>1851</v>
      </c>
      <c r="AR195" s="21" t="s">
        <v>223</v>
      </c>
      <c r="AS195" s="21" t="s">
        <v>1914</v>
      </c>
      <c r="AT195" s="24"/>
    </row>
    <row r="196" spans="1:46" x14ac:dyDescent="0.25">
      <c r="A196" s="20" t="s">
        <v>1246</v>
      </c>
      <c r="B196" s="21" t="s">
        <v>1366</v>
      </c>
      <c r="C196" s="1" t="s">
        <v>83</v>
      </c>
      <c r="D196" s="21">
        <v>21</v>
      </c>
      <c r="E196" s="21" t="s">
        <v>1486</v>
      </c>
      <c r="F196" s="21" t="s">
        <v>77</v>
      </c>
      <c r="G196" s="22">
        <f>Table1[[#This Row],[ENR]]-Table1[[#This Row],[CREDIT]]</f>
        <v>-30.869999999998981</v>
      </c>
      <c r="H196" s="21">
        <v>30000</v>
      </c>
      <c r="I196" s="35">
        <v>29969.13</v>
      </c>
      <c r="J196" s="22" t="s">
        <v>78</v>
      </c>
      <c r="K196" s="22">
        <v>29969.13</v>
      </c>
      <c r="L196" s="22">
        <v>25275.71</v>
      </c>
      <c r="M196" s="21">
        <v>7410</v>
      </c>
      <c r="N196" s="22">
        <v>3727</v>
      </c>
      <c r="O196" s="1" t="s">
        <v>41</v>
      </c>
      <c r="P196" s="1" t="s">
        <v>42</v>
      </c>
      <c r="Q196" s="15">
        <v>0</v>
      </c>
      <c r="R196" s="22">
        <f>Table1[[#This Row],[STAB]]-Table1[[#This Row],[AMOUNT]]</f>
        <v>3727</v>
      </c>
      <c r="S196" s="1">
        <v>0</v>
      </c>
      <c r="T196" s="1" t="s">
        <v>79</v>
      </c>
      <c r="U196" s="1">
        <v>0</v>
      </c>
      <c r="V196" s="1" t="s">
        <v>267</v>
      </c>
      <c r="W196" s="1" t="s">
        <v>645</v>
      </c>
      <c r="X196" s="1" t="s">
        <v>646</v>
      </c>
      <c r="Y196" s="21" t="s">
        <v>2111</v>
      </c>
      <c r="Z196" s="21" t="s">
        <v>1608</v>
      </c>
      <c r="AA196" s="21" t="s">
        <v>1728</v>
      </c>
      <c r="AB196" s="21" t="s">
        <v>628</v>
      </c>
      <c r="AC196" s="21" t="s">
        <v>662</v>
      </c>
      <c r="AD196" s="21" t="s">
        <v>626</v>
      </c>
      <c r="AE196" s="21"/>
      <c r="AF196" s="21" t="s">
        <v>151</v>
      </c>
      <c r="AG196" s="21">
        <v>801723195</v>
      </c>
      <c r="AH196" s="21" t="s">
        <v>132</v>
      </c>
      <c r="AI196" s="21" t="s">
        <v>492</v>
      </c>
      <c r="AJ196" s="21"/>
      <c r="AK196" s="28" t="s">
        <v>43</v>
      </c>
      <c r="AL196" s="21"/>
      <c r="AM196" s="21"/>
      <c r="AN196" s="21"/>
      <c r="AO196" s="23">
        <v>46073</v>
      </c>
      <c r="AP196" s="21">
        <v>1400</v>
      </c>
      <c r="AQ196" s="21" t="s">
        <v>1852</v>
      </c>
      <c r="AR196" s="21" t="s">
        <v>223</v>
      </c>
      <c r="AS196" s="21" t="s">
        <v>1914</v>
      </c>
      <c r="AT196" s="24"/>
    </row>
    <row r="197" spans="1:46" x14ac:dyDescent="0.25">
      <c r="A197" s="20" t="s">
        <v>1247</v>
      </c>
      <c r="B197" s="21" t="s">
        <v>1367</v>
      </c>
      <c r="C197" s="1" t="s">
        <v>47</v>
      </c>
      <c r="D197" s="21">
        <v>21</v>
      </c>
      <c r="E197" s="21" t="s">
        <v>1487</v>
      </c>
      <c r="F197" s="21" t="s">
        <v>77</v>
      </c>
      <c r="G197" s="22">
        <f>Table1[[#This Row],[ENR]]-Table1[[#This Row],[CREDIT]]</f>
        <v>4729.0899999999965</v>
      </c>
      <c r="H197" s="21">
        <v>80000</v>
      </c>
      <c r="I197" s="35">
        <v>84729.09</v>
      </c>
      <c r="J197" s="22" t="s">
        <v>78</v>
      </c>
      <c r="K197" s="22">
        <v>84729.09</v>
      </c>
      <c r="L197" s="22">
        <v>79646.539999999994</v>
      </c>
      <c r="M197" s="21">
        <v>17930</v>
      </c>
      <c r="N197" s="22">
        <v>7530</v>
      </c>
      <c r="O197" s="1" t="s">
        <v>41</v>
      </c>
      <c r="P197" s="1" t="s">
        <v>42</v>
      </c>
      <c r="Q197" s="15">
        <v>0</v>
      </c>
      <c r="R197" s="22">
        <f>Table1[[#This Row],[STAB]]-Table1[[#This Row],[AMOUNT]]</f>
        <v>7530</v>
      </c>
      <c r="S197" s="1">
        <v>0</v>
      </c>
      <c r="T197" s="1" t="s">
        <v>79</v>
      </c>
      <c r="U197" s="1">
        <v>0</v>
      </c>
      <c r="V197" s="1" t="s">
        <v>267</v>
      </c>
      <c r="W197" s="1" t="s">
        <v>645</v>
      </c>
      <c r="X197" s="1" t="s">
        <v>646</v>
      </c>
      <c r="Y197" s="21" t="s">
        <v>2111</v>
      </c>
      <c r="Z197" s="21" t="s">
        <v>1609</v>
      </c>
      <c r="AA197" s="21" t="s">
        <v>1729</v>
      </c>
      <c r="AB197" s="21" t="s">
        <v>435</v>
      </c>
      <c r="AC197" s="21" t="s">
        <v>443</v>
      </c>
      <c r="AD197" s="21" t="s">
        <v>75</v>
      </c>
      <c r="AE197" s="21" t="s">
        <v>441</v>
      </c>
      <c r="AF197" s="21" t="s">
        <v>442</v>
      </c>
      <c r="AG197" s="21">
        <v>802789320</v>
      </c>
      <c r="AH197" s="21" t="s">
        <v>130</v>
      </c>
      <c r="AI197" s="21" t="s">
        <v>492</v>
      </c>
      <c r="AJ197" s="21"/>
      <c r="AK197" s="28" t="s">
        <v>43</v>
      </c>
      <c r="AL197" s="21"/>
      <c r="AM197" s="21"/>
      <c r="AN197" s="21"/>
      <c r="AO197" s="23">
        <v>45626</v>
      </c>
      <c r="AP197" s="21">
        <v>200</v>
      </c>
      <c r="AQ197" s="21" t="s">
        <v>1853</v>
      </c>
      <c r="AR197" s="21" t="s">
        <v>223</v>
      </c>
      <c r="AS197" s="21" t="s">
        <v>1914</v>
      </c>
      <c r="AT197" s="24"/>
    </row>
    <row r="198" spans="1:46" x14ac:dyDescent="0.25">
      <c r="A198" s="20" t="s">
        <v>1248</v>
      </c>
      <c r="B198" s="21" t="s">
        <v>1368</v>
      </c>
      <c r="C198" s="1" t="s">
        <v>47</v>
      </c>
      <c r="D198" s="21">
        <v>21</v>
      </c>
      <c r="E198" s="21" t="s">
        <v>1488</v>
      </c>
      <c r="F198" s="21" t="s">
        <v>77</v>
      </c>
      <c r="G198" s="22">
        <f>Table1[[#This Row],[ENR]]-Table1[[#This Row],[CREDIT]]</f>
        <v>7618.2899999999936</v>
      </c>
      <c r="H198" s="21">
        <v>70000</v>
      </c>
      <c r="I198" s="35">
        <v>77618.289999999994</v>
      </c>
      <c r="J198" s="22">
        <v>4380.54</v>
      </c>
      <c r="K198" s="22">
        <v>73237.75</v>
      </c>
      <c r="L198" s="22">
        <v>65600.33</v>
      </c>
      <c r="M198" s="21">
        <v>22790</v>
      </c>
      <c r="N198" s="22">
        <v>8000</v>
      </c>
      <c r="O198" s="1" t="s">
        <v>41</v>
      </c>
      <c r="P198" s="1" t="s">
        <v>42</v>
      </c>
      <c r="Q198" s="15">
        <v>0</v>
      </c>
      <c r="R198" s="22">
        <f>Table1[[#This Row],[STAB]]-Table1[[#This Row],[AMOUNT]]</f>
        <v>8000</v>
      </c>
      <c r="S198" s="1">
        <v>0</v>
      </c>
      <c r="T198" s="1" t="s">
        <v>79</v>
      </c>
      <c r="U198" s="1">
        <v>0</v>
      </c>
      <c r="V198" s="1" t="s">
        <v>267</v>
      </c>
      <c r="W198" s="1" t="s">
        <v>265</v>
      </c>
      <c r="X198" s="1" t="s">
        <v>269</v>
      </c>
      <c r="Y198" s="21" t="s">
        <v>2111</v>
      </c>
      <c r="Z198" s="21" t="s">
        <v>1610</v>
      </c>
      <c r="AA198" s="21" t="s">
        <v>1730</v>
      </c>
      <c r="AB198" s="21" t="s">
        <v>1104</v>
      </c>
      <c r="AC198" s="21" t="s">
        <v>91</v>
      </c>
      <c r="AD198" s="21" t="s">
        <v>86</v>
      </c>
      <c r="AE198" s="21" t="s">
        <v>1166</v>
      </c>
      <c r="AF198" s="21" t="s">
        <v>1162</v>
      </c>
      <c r="AG198" s="21">
        <v>802370852</v>
      </c>
      <c r="AH198" s="21" t="s">
        <v>132</v>
      </c>
      <c r="AI198" s="21" t="s">
        <v>492</v>
      </c>
      <c r="AJ198" s="21"/>
      <c r="AK198" s="28" t="s">
        <v>43</v>
      </c>
      <c r="AL198" s="21"/>
      <c r="AM198" s="21"/>
      <c r="AN198" s="21"/>
      <c r="AO198" s="23">
        <v>45707</v>
      </c>
      <c r="AP198" s="21">
        <v>20</v>
      </c>
      <c r="AQ198" s="21" t="s">
        <v>1854</v>
      </c>
      <c r="AR198" s="21" t="s">
        <v>223</v>
      </c>
      <c r="AS198" s="21" t="s">
        <v>1914</v>
      </c>
      <c r="AT198" s="24"/>
    </row>
    <row r="199" spans="1:46" x14ac:dyDescent="0.25">
      <c r="A199" s="20" t="s">
        <v>1249</v>
      </c>
      <c r="B199" s="21" t="s">
        <v>1369</v>
      </c>
      <c r="C199" s="1" t="s">
        <v>47</v>
      </c>
      <c r="D199" s="21">
        <v>21</v>
      </c>
      <c r="E199" s="21" t="s">
        <v>1489</v>
      </c>
      <c r="F199" s="21" t="s">
        <v>77</v>
      </c>
      <c r="G199" s="22">
        <f>Table1[[#This Row],[ENR]]-Table1[[#This Row],[CREDIT]]</f>
        <v>3682.0400000000009</v>
      </c>
      <c r="H199" s="21">
        <v>60000</v>
      </c>
      <c r="I199" s="35">
        <v>63682.04</v>
      </c>
      <c r="J199" s="22">
        <v>31745.89</v>
      </c>
      <c r="K199" s="22">
        <v>31936.15</v>
      </c>
      <c r="L199" s="22">
        <v>27511.61</v>
      </c>
      <c r="M199" s="21">
        <v>17490</v>
      </c>
      <c r="N199" s="22">
        <v>7820</v>
      </c>
      <c r="O199" s="1" t="s">
        <v>41</v>
      </c>
      <c r="P199" s="1" t="s">
        <v>42</v>
      </c>
      <c r="Q199" s="15">
        <v>0</v>
      </c>
      <c r="R199" s="22">
        <f>Table1[[#This Row],[STAB]]-Table1[[#This Row],[AMOUNT]]</f>
        <v>7820</v>
      </c>
      <c r="S199" s="1">
        <v>0</v>
      </c>
      <c r="T199" s="1" t="s">
        <v>79</v>
      </c>
      <c r="U199" s="1">
        <v>0</v>
      </c>
      <c r="V199" s="1" t="s">
        <v>267</v>
      </c>
      <c r="W199" s="1" t="s">
        <v>265</v>
      </c>
      <c r="X199" s="1" t="s">
        <v>269</v>
      </c>
      <c r="Y199" s="21" t="s">
        <v>2111</v>
      </c>
      <c r="Z199" s="21" t="s">
        <v>1611</v>
      </c>
      <c r="AA199" s="21" t="s">
        <v>1731</v>
      </c>
      <c r="AB199" s="21" t="s">
        <v>150</v>
      </c>
      <c r="AC199" s="21" t="s">
        <v>91</v>
      </c>
      <c r="AD199" s="21" t="s">
        <v>51</v>
      </c>
      <c r="AE199" s="21" t="s">
        <v>189</v>
      </c>
      <c r="AF199" s="21" t="s">
        <v>136</v>
      </c>
      <c r="AG199" s="21">
        <v>801772792</v>
      </c>
      <c r="AH199" s="21" t="s">
        <v>132</v>
      </c>
      <c r="AI199" s="21" t="s">
        <v>492</v>
      </c>
      <c r="AJ199" s="21"/>
      <c r="AK199" s="28" t="s">
        <v>43</v>
      </c>
      <c r="AL199" s="21"/>
      <c r="AM199" s="21"/>
      <c r="AN199" s="21"/>
      <c r="AO199" s="23">
        <v>45475</v>
      </c>
      <c r="AP199" s="21">
        <v>14363.54</v>
      </c>
      <c r="AQ199" s="21" t="s">
        <v>1855</v>
      </c>
      <c r="AR199" s="21" t="s">
        <v>223</v>
      </c>
      <c r="AS199" s="21" t="s">
        <v>1914</v>
      </c>
      <c r="AT199" s="24"/>
    </row>
    <row r="200" spans="1:46" x14ac:dyDescent="0.25">
      <c r="A200" s="20" t="s">
        <v>1250</v>
      </c>
      <c r="B200" s="21" t="s">
        <v>1370</v>
      </c>
      <c r="C200" s="1" t="s">
        <v>47</v>
      </c>
      <c r="D200" s="21">
        <v>21</v>
      </c>
      <c r="E200" s="21" t="s">
        <v>1490</v>
      </c>
      <c r="F200" s="21" t="s">
        <v>77</v>
      </c>
      <c r="G200" s="22">
        <f>Table1[[#This Row],[ENR]]-Table1[[#This Row],[CREDIT]]</f>
        <v>-1410.6999999999971</v>
      </c>
      <c r="H200" s="21">
        <v>40000</v>
      </c>
      <c r="I200" s="35">
        <v>38589.300000000003</v>
      </c>
      <c r="J200" s="22" t="s">
        <v>78</v>
      </c>
      <c r="K200" s="22">
        <v>38589.300000000003</v>
      </c>
      <c r="L200" s="22">
        <v>35000</v>
      </c>
      <c r="M200" s="21">
        <v>7010</v>
      </c>
      <c r="N200" s="22">
        <v>1750</v>
      </c>
      <c r="O200" s="1" t="s">
        <v>49</v>
      </c>
      <c r="P200" s="1" t="s">
        <v>12</v>
      </c>
      <c r="Q200" s="15">
        <v>38589.300000000003</v>
      </c>
      <c r="R200" s="22">
        <f>Table1[[#This Row],[STAB]]-Table1[[#This Row],[AMOUNT]]</f>
        <v>-36839.300000000003</v>
      </c>
      <c r="S200" s="1" t="s">
        <v>1927</v>
      </c>
      <c r="T200" s="1" t="s">
        <v>673</v>
      </c>
      <c r="U200" s="1">
        <v>0</v>
      </c>
      <c r="V200" s="1" t="s">
        <v>267</v>
      </c>
      <c r="W200" s="1" t="s">
        <v>266</v>
      </c>
      <c r="X200" s="1" t="s">
        <v>268</v>
      </c>
      <c r="Y200" s="21" t="s">
        <v>2111</v>
      </c>
      <c r="Z200" s="21" t="s">
        <v>1612</v>
      </c>
      <c r="AA200" s="21" t="s">
        <v>1732</v>
      </c>
      <c r="AB200" s="21" t="s">
        <v>72</v>
      </c>
      <c r="AC200" s="21" t="s">
        <v>91</v>
      </c>
      <c r="AD200" s="21" t="s">
        <v>76</v>
      </c>
      <c r="AE200" s="21" t="s">
        <v>411</v>
      </c>
      <c r="AF200" s="21" t="s">
        <v>245</v>
      </c>
      <c r="AG200" s="21">
        <v>802555024</v>
      </c>
      <c r="AH200" s="21" t="s">
        <v>131</v>
      </c>
      <c r="AI200" s="21" t="s">
        <v>492</v>
      </c>
      <c r="AJ200" s="21"/>
      <c r="AK200" s="28" t="s">
        <v>447</v>
      </c>
      <c r="AL200" s="21"/>
      <c r="AM200" s="21"/>
      <c r="AN200" s="21"/>
      <c r="AO200" s="23">
        <v>45484</v>
      </c>
      <c r="AP200" s="21">
        <v>3501.85</v>
      </c>
      <c r="AQ200" s="21" t="s">
        <v>1856</v>
      </c>
      <c r="AR200" s="21" t="s">
        <v>223</v>
      </c>
      <c r="AS200" s="21" t="s">
        <v>1914</v>
      </c>
      <c r="AT200" s="24"/>
    </row>
    <row r="201" spans="1:46" x14ac:dyDescent="0.25">
      <c r="A201" s="20" t="s">
        <v>1251</v>
      </c>
      <c r="B201" s="21" t="s">
        <v>1371</v>
      </c>
      <c r="C201" s="1" t="s">
        <v>47</v>
      </c>
      <c r="D201" s="21">
        <v>21</v>
      </c>
      <c r="E201" s="21" t="s">
        <v>1491</v>
      </c>
      <c r="F201" s="21" t="s">
        <v>77</v>
      </c>
      <c r="G201" s="22">
        <f>Table1[[#This Row],[ENR]]-Table1[[#This Row],[CREDIT]]</f>
        <v>-35434.239999999998</v>
      </c>
      <c r="H201" s="21">
        <v>70000</v>
      </c>
      <c r="I201" s="35">
        <v>34565.760000000002</v>
      </c>
      <c r="J201" s="22" t="s">
        <v>78</v>
      </c>
      <c r="K201" s="22">
        <v>34565.760000000002</v>
      </c>
      <c r="L201" s="22">
        <v>28559.35</v>
      </c>
      <c r="M201" s="21">
        <v>8810</v>
      </c>
      <c r="N201" s="22">
        <v>4820</v>
      </c>
      <c r="O201" s="1" t="s">
        <v>41</v>
      </c>
      <c r="P201" s="1" t="s">
        <v>42</v>
      </c>
      <c r="Q201" s="15">
        <v>0</v>
      </c>
      <c r="R201" s="22">
        <f>Table1[[#This Row],[STAB]]-Table1[[#This Row],[AMOUNT]]</f>
        <v>4820</v>
      </c>
      <c r="S201" s="1">
        <v>0</v>
      </c>
      <c r="T201" s="1" t="s">
        <v>79</v>
      </c>
      <c r="U201" s="1">
        <v>0</v>
      </c>
      <c r="V201" s="1" t="s">
        <v>267</v>
      </c>
      <c r="W201" s="1" t="s">
        <v>107</v>
      </c>
      <c r="X201" s="1" t="s">
        <v>200</v>
      </c>
      <c r="Y201" s="21" t="s">
        <v>2111</v>
      </c>
      <c r="Z201" s="21" t="s">
        <v>1613</v>
      </c>
      <c r="AA201" s="21" t="s">
        <v>1733</v>
      </c>
      <c r="AB201" s="21" t="s">
        <v>1108</v>
      </c>
      <c r="AC201" s="21" t="s">
        <v>93</v>
      </c>
      <c r="AD201" s="21" t="s">
        <v>108</v>
      </c>
      <c r="AE201" s="21" t="s">
        <v>1173</v>
      </c>
      <c r="AF201" s="21" t="s">
        <v>1164</v>
      </c>
      <c r="AG201" s="21">
        <v>802123413</v>
      </c>
      <c r="AH201" s="21" t="s">
        <v>132</v>
      </c>
      <c r="AI201" s="21" t="s">
        <v>492</v>
      </c>
      <c r="AJ201" s="21"/>
      <c r="AK201" s="28" t="s">
        <v>447</v>
      </c>
      <c r="AL201" s="21" t="s">
        <v>458</v>
      </c>
      <c r="AM201" s="21" t="s">
        <v>1976</v>
      </c>
      <c r="AN201" s="21" t="s">
        <v>1956</v>
      </c>
      <c r="AO201" s="23">
        <v>46148</v>
      </c>
      <c r="AP201" s="21">
        <v>251.7</v>
      </c>
      <c r="AQ201" s="21" t="s">
        <v>1857</v>
      </c>
      <c r="AR201" s="21" t="s">
        <v>1912</v>
      </c>
      <c r="AS201" s="21" t="s">
        <v>1914</v>
      </c>
      <c r="AT201" s="24"/>
    </row>
    <row r="202" spans="1:46" x14ac:dyDescent="0.25">
      <c r="A202" s="20" t="s">
        <v>1252</v>
      </c>
      <c r="B202" s="21" t="s">
        <v>1372</v>
      </c>
      <c r="C202" s="1" t="s">
        <v>83</v>
      </c>
      <c r="D202" s="21">
        <v>21</v>
      </c>
      <c r="E202" s="21" t="s">
        <v>1492</v>
      </c>
      <c r="F202" s="21" t="s">
        <v>77</v>
      </c>
      <c r="G202" s="22">
        <f>Table1[[#This Row],[ENR]]-Table1[[#This Row],[CREDIT]]</f>
        <v>8297.2200000000012</v>
      </c>
      <c r="H202" s="21">
        <v>100000</v>
      </c>
      <c r="I202" s="35">
        <v>108297.22</v>
      </c>
      <c r="J202" s="22" t="s">
        <v>78</v>
      </c>
      <c r="K202" s="22">
        <v>108297.22</v>
      </c>
      <c r="L202" s="22">
        <v>100467.51</v>
      </c>
      <c r="M202" s="21">
        <v>31060</v>
      </c>
      <c r="N202" s="22">
        <v>20820</v>
      </c>
      <c r="O202" s="1" t="s">
        <v>41</v>
      </c>
      <c r="P202" s="1" t="s">
        <v>42</v>
      </c>
      <c r="Q202" s="15">
        <v>0</v>
      </c>
      <c r="R202" s="22">
        <f>Table1[[#This Row],[STAB]]-Table1[[#This Row],[AMOUNT]]</f>
        <v>20820</v>
      </c>
      <c r="S202" s="1">
        <v>0</v>
      </c>
      <c r="T202" s="1" t="s">
        <v>79</v>
      </c>
      <c r="U202" s="1">
        <v>0</v>
      </c>
      <c r="V202" s="1" t="s">
        <v>267</v>
      </c>
      <c r="W202" s="1" t="s">
        <v>266</v>
      </c>
      <c r="X202" s="1" t="s">
        <v>268</v>
      </c>
      <c r="Y202" s="21" t="s">
        <v>2111</v>
      </c>
      <c r="Z202" s="21" t="s">
        <v>1614</v>
      </c>
      <c r="AA202" s="21" t="s">
        <v>1734</v>
      </c>
      <c r="AB202" s="21" t="s">
        <v>249</v>
      </c>
      <c r="AC202" s="21" t="s">
        <v>91</v>
      </c>
      <c r="AD202" s="21" t="s">
        <v>1916</v>
      </c>
      <c r="AE202" s="21" t="s">
        <v>1920</v>
      </c>
      <c r="AF202" s="21" t="s">
        <v>1163</v>
      </c>
      <c r="AG202" s="21">
        <v>801772794</v>
      </c>
      <c r="AH202" s="21" t="s">
        <v>1161</v>
      </c>
      <c r="AI202" s="21" t="s">
        <v>492</v>
      </c>
      <c r="AJ202" s="21"/>
      <c r="AK202" s="28" t="s">
        <v>43</v>
      </c>
      <c r="AL202" s="21"/>
      <c r="AM202" s="21"/>
      <c r="AN202" s="21"/>
      <c r="AO202" s="23">
        <v>45908</v>
      </c>
      <c r="AP202" s="21">
        <v>2000</v>
      </c>
      <c r="AQ202" s="21" t="s">
        <v>1858</v>
      </c>
      <c r="AR202" s="21" t="s">
        <v>223</v>
      </c>
      <c r="AS202" s="21" t="s">
        <v>1914</v>
      </c>
      <c r="AT202" s="24"/>
    </row>
    <row r="203" spans="1:46" x14ac:dyDescent="0.25">
      <c r="A203" s="20" t="s">
        <v>1253</v>
      </c>
      <c r="B203" s="21" t="s">
        <v>1373</v>
      </c>
      <c r="C203" s="1" t="s">
        <v>47</v>
      </c>
      <c r="D203" s="21">
        <v>21</v>
      </c>
      <c r="E203" s="21" t="s">
        <v>1493</v>
      </c>
      <c r="F203" s="21" t="s">
        <v>77</v>
      </c>
      <c r="G203" s="22">
        <f>Table1[[#This Row],[ENR]]-Table1[[#This Row],[CREDIT]]</f>
        <v>2392.570000000007</v>
      </c>
      <c r="H203" s="21">
        <v>100000</v>
      </c>
      <c r="I203" s="35">
        <v>102392.57</v>
      </c>
      <c r="J203" s="22" t="s">
        <v>78</v>
      </c>
      <c r="K203" s="22">
        <v>102392.57</v>
      </c>
      <c r="L203" s="22">
        <v>96576.43</v>
      </c>
      <c r="M203" s="21">
        <v>19020</v>
      </c>
      <c r="N203" s="22">
        <v>10049</v>
      </c>
      <c r="O203" s="1" t="s">
        <v>41</v>
      </c>
      <c r="P203" s="1" t="s">
        <v>42</v>
      </c>
      <c r="Q203" s="15">
        <v>0</v>
      </c>
      <c r="R203" s="22">
        <f>Table1[[#This Row],[STAB]]-Table1[[#This Row],[AMOUNT]]</f>
        <v>10049</v>
      </c>
      <c r="S203" s="1">
        <v>0</v>
      </c>
      <c r="T203" s="1" t="s">
        <v>79</v>
      </c>
      <c r="U203" s="1">
        <v>0</v>
      </c>
      <c r="V203" s="1" t="s">
        <v>267</v>
      </c>
      <c r="W203" s="1" t="s">
        <v>645</v>
      </c>
      <c r="X203" s="1" t="s">
        <v>646</v>
      </c>
      <c r="Y203" s="21" t="s">
        <v>2111</v>
      </c>
      <c r="Z203" s="21" t="s">
        <v>1615</v>
      </c>
      <c r="AA203" s="21" t="s">
        <v>1735</v>
      </c>
      <c r="AB203" s="21" t="s">
        <v>433</v>
      </c>
      <c r="AC203" s="21" t="s">
        <v>443</v>
      </c>
      <c r="AD203" s="21" t="s">
        <v>75</v>
      </c>
      <c r="AE203" s="21" t="s">
        <v>441</v>
      </c>
      <c r="AF203" s="21" t="s">
        <v>442</v>
      </c>
      <c r="AG203" s="21">
        <v>802789320</v>
      </c>
      <c r="AH203" s="21" t="s">
        <v>130</v>
      </c>
      <c r="AI203" s="21" t="s">
        <v>492</v>
      </c>
      <c r="AJ203" s="21"/>
      <c r="AK203" s="28" t="s">
        <v>447</v>
      </c>
      <c r="AL203" s="21" t="s">
        <v>458</v>
      </c>
      <c r="AM203" s="21" t="s">
        <v>2121</v>
      </c>
      <c r="AN203" s="21" t="s">
        <v>2115</v>
      </c>
      <c r="AO203" s="23">
        <v>45504</v>
      </c>
      <c r="AP203" s="21">
        <v>9001</v>
      </c>
      <c r="AQ203" s="21" t="s">
        <v>1859</v>
      </c>
      <c r="AR203" s="21" t="s">
        <v>223</v>
      </c>
      <c r="AS203" s="21" t="s">
        <v>1914</v>
      </c>
      <c r="AT203" s="24"/>
    </row>
    <row r="204" spans="1:46" x14ac:dyDescent="0.25">
      <c r="A204" s="20" t="s">
        <v>1254</v>
      </c>
      <c r="B204" s="21" t="s">
        <v>1374</v>
      </c>
      <c r="C204" s="1" t="s">
        <v>47</v>
      </c>
      <c r="D204" s="21">
        <v>21</v>
      </c>
      <c r="E204" s="21" t="s">
        <v>1494</v>
      </c>
      <c r="F204" s="21" t="s">
        <v>77</v>
      </c>
      <c r="G204" s="22">
        <f>Table1[[#This Row],[ENR]]-Table1[[#This Row],[CREDIT]]</f>
        <v>4009.3399999999965</v>
      </c>
      <c r="H204" s="21">
        <v>80000</v>
      </c>
      <c r="I204" s="35">
        <v>84009.34</v>
      </c>
      <c r="J204" s="22" t="s">
        <v>78</v>
      </c>
      <c r="K204" s="22">
        <v>84009.34</v>
      </c>
      <c r="L204" s="22">
        <v>75587.3</v>
      </c>
      <c r="M204" s="21">
        <v>16970</v>
      </c>
      <c r="N204" s="22">
        <v>4460</v>
      </c>
      <c r="O204" s="1" t="s">
        <v>41</v>
      </c>
      <c r="P204" s="1" t="s">
        <v>42</v>
      </c>
      <c r="Q204" s="15">
        <v>0</v>
      </c>
      <c r="R204" s="22">
        <f>Table1[[#This Row],[STAB]]-Table1[[#This Row],[AMOUNT]]</f>
        <v>4460</v>
      </c>
      <c r="S204" s="1">
        <v>0</v>
      </c>
      <c r="T204" s="1" t="s">
        <v>79</v>
      </c>
      <c r="U204" s="1">
        <v>0</v>
      </c>
      <c r="V204" s="1" t="s">
        <v>267</v>
      </c>
      <c r="W204" s="1" t="s">
        <v>107</v>
      </c>
      <c r="X204" s="1" t="s">
        <v>200</v>
      </c>
      <c r="Y204" s="21" t="s">
        <v>2111</v>
      </c>
      <c r="Z204" s="21" t="s">
        <v>1616</v>
      </c>
      <c r="AA204" s="21" t="s">
        <v>1736</v>
      </c>
      <c r="AB204" s="21" t="s">
        <v>549</v>
      </c>
      <c r="AC204" s="21" t="s">
        <v>93</v>
      </c>
      <c r="AD204" s="28" t="s">
        <v>2082</v>
      </c>
      <c r="AE204" s="21" t="s">
        <v>2083</v>
      </c>
      <c r="AF204" s="21" t="s">
        <v>564</v>
      </c>
      <c r="AG204" s="21">
        <v>802349062</v>
      </c>
      <c r="AH204" s="21" t="s">
        <v>130</v>
      </c>
      <c r="AI204" s="21" t="s">
        <v>492</v>
      </c>
      <c r="AJ204" s="21"/>
      <c r="AK204" s="28" t="s">
        <v>43</v>
      </c>
      <c r="AL204" s="21"/>
      <c r="AM204" s="21"/>
      <c r="AN204" s="21"/>
      <c r="AO204" s="23">
        <v>45481</v>
      </c>
      <c r="AP204" s="21">
        <v>3870</v>
      </c>
      <c r="AQ204" s="21" t="s">
        <v>1860</v>
      </c>
      <c r="AR204" s="21" t="s">
        <v>223</v>
      </c>
      <c r="AS204" s="21" t="s">
        <v>1914</v>
      </c>
      <c r="AT204" s="24"/>
    </row>
    <row r="205" spans="1:46" x14ac:dyDescent="0.25">
      <c r="A205" s="20" t="s">
        <v>1255</v>
      </c>
      <c r="B205" s="21" t="s">
        <v>1375</v>
      </c>
      <c r="C205" s="1" t="s">
        <v>47</v>
      </c>
      <c r="D205" s="21">
        <v>21</v>
      </c>
      <c r="E205" s="21" t="s">
        <v>1495</v>
      </c>
      <c r="F205" s="21" t="s">
        <v>77</v>
      </c>
      <c r="G205" s="22">
        <f>Table1[[#This Row],[ENR]]-Table1[[#This Row],[CREDIT]]</f>
        <v>57995.03</v>
      </c>
      <c r="H205" s="21">
        <v>170000</v>
      </c>
      <c r="I205" s="35">
        <v>227995.03</v>
      </c>
      <c r="J205" s="22">
        <v>132979.20000000001</v>
      </c>
      <c r="K205" s="22">
        <v>95015.83</v>
      </c>
      <c r="L205" s="22">
        <v>83402.460000000006</v>
      </c>
      <c r="M205" s="21">
        <v>32080</v>
      </c>
      <c r="N205" s="22">
        <v>16510</v>
      </c>
      <c r="O205" s="1" t="s">
        <v>41</v>
      </c>
      <c r="P205" s="1" t="s">
        <v>42</v>
      </c>
      <c r="Q205" s="15">
        <v>0</v>
      </c>
      <c r="R205" s="22">
        <f>Table1[[#This Row],[STAB]]-Table1[[#This Row],[AMOUNT]]</f>
        <v>16510</v>
      </c>
      <c r="S205" s="1">
        <v>0</v>
      </c>
      <c r="T205" s="1" t="s">
        <v>79</v>
      </c>
      <c r="U205" s="1">
        <v>0</v>
      </c>
      <c r="V205" s="1" t="s">
        <v>267</v>
      </c>
      <c r="W205" s="1" t="s">
        <v>266</v>
      </c>
      <c r="X205" s="1" t="s">
        <v>268</v>
      </c>
      <c r="Y205" s="21" t="s">
        <v>2111</v>
      </c>
      <c r="Z205" s="21" t="s">
        <v>1617</v>
      </c>
      <c r="AA205" s="21" t="s">
        <v>1737</v>
      </c>
      <c r="AB205" s="21" t="s">
        <v>105</v>
      </c>
      <c r="AC205" s="21" t="s">
        <v>91</v>
      </c>
      <c r="AD205" s="21" t="s">
        <v>270</v>
      </c>
      <c r="AE205" s="21" t="s">
        <v>271</v>
      </c>
      <c r="AF205" s="21" t="s">
        <v>245</v>
      </c>
      <c r="AG205" s="21">
        <v>802555024</v>
      </c>
      <c r="AH205" s="21" t="s">
        <v>131</v>
      </c>
      <c r="AI205" s="21" t="s">
        <v>492</v>
      </c>
      <c r="AJ205" s="21"/>
      <c r="AK205" s="28" t="s">
        <v>447</v>
      </c>
      <c r="AL205" s="21" t="s">
        <v>463</v>
      </c>
      <c r="AM205" s="21" t="s">
        <v>1962</v>
      </c>
      <c r="AN205" s="21" t="s">
        <v>1949</v>
      </c>
      <c r="AO205" s="23">
        <v>45478</v>
      </c>
      <c r="AP205" s="21">
        <v>7343</v>
      </c>
      <c r="AQ205" s="21" t="s">
        <v>1861</v>
      </c>
      <c r="AR205" s="21" t="s">
        <v>223</v>
      </c>
      <c r="AS205" s="21" t="s">
        <v>1914</v>
      </c>
      <c r="AT205" s="24"/>
    </row>
    <row r="206" spans="1:46" x14ac:dyDescent="0.25">
      <c r="A206" s="20" t="s">
        <v>1256</v>
      </c>
      <c r="B206" s="21" t="s">
        <v>1376</v>
      </c>
      <c r="C206" s="1" t="s">
        <v>47</v>
      </c>
      <c r="D206" s="21">
        <v>21</v>
      </c>
      <c r="E206" s="21" t="s">
        <v>1496</v>
      </c>
      <c r="F206" s="21" t="s">
        <v>77</v>
      </c>
      <c r="G206" s="22">
        <f>Table1[[#This Row],[ENR]]-Table1[[#This Row],[CREDIT]]</f>
        <v>11769.739999999991</v>
      </c>
      <c r="H206" s="21">
        <v>130000</v>
      </c>
      <c r="I206" s="35">
        <v>141769.74</v>
      </c>
      <c r="J206" s="22" t="s">
        <v>78</v>
      </c>
      <c r="K206" s="22">
        <v>141769.74</v>
      </c>
      <c r="L206" s="22">
        <v>130504.7</v>
      </c>
      <c r="M206" s="21">
        <v>35080</v>
      </c>
      <c r="N206" s="22">
        <v>9930</v>
      </c>
      <c r="O206" s="1" t="s">
        <v>41</v>
      </c>
      <c r="P206" s="1" t="s">
        <v>42</v>
      </c>
      <c r="Q206" s="15">
        <v>0</v>
      </c>
      <c r="R206" s="22">
        <f>Table1[[#This Row],[STAB]]-Table1[[#This Row],[AMOUNT]]</f>
        <v>9930</v>
      </c>
      <c r="S206" s="1">
        <v>0</v>
      </c>
      <c r="T206" s="1" t="s">
        <v>79</v>
      </c>
      <c r="U206" s="1">
        <v>0</v>
      </c>
      <c r="V206" s="1" t="s">
        <v>267</v>
      </c>
      <c r="W206" s="1" t="s">
        <v>265</v>
      </c>
      <c r="X206" s="1" t="s">
        <v>269</v>
      </c>
      <c r="Y206" s="21" t="s">
        <v>2111</v>
      </c>
      <c r="Z206" s="21" t="s">
        <v>1618</v>
      </c>
      <c r="AA206" s="21" t="s">
        <v>1738</v>
      </c>
      <c r="AB206" s="21" t="s">
        <v>70</v>
      </c>
      <c r="AC206" s="21" t="s">
        <v>91</v>
      </c>
      <c r="AD206" s="21" t="s">
        <v>51</v>
      </c>
      <c r="AE206" s="21" t="s">
        <v>189</v>
      </c>
      <c r="AF206" s="21" t="s">
        <v>136</v>
      </c>
      <c r="AG206" s="21">
        <v>801772792</v>
      </c>
      <c r="AH206" s="21" t="s">
        <v>132</v>
      </c>
      <c r="AI206" s="21" t="s">
        <v>492</v>
      </c>
      <c r="AJ206" s="21"/>
      <c r="AK206" s="28" t="s">
        <v>43</v>
      </c>
      <c r="AL206" s="21"/>
      <c r="AM206" s="21"/>
      <c r="AN206" s="21"/>
      <c r="AO206" s="23">
        <v>45755</v>
      </c>
      <c r="AP206" s="21">
        <v>50000</v>
      </c>
      <c r="AQ206" s="21" t="s">
        <v>1862</v>
      </c>
      <c r="AR206" s="21" t="s">
        <v>223</v>
      </c>
      <c r="AS206" s="21" t="s">
        <v>1914</v>
      </c>
      <c r="AT206" s="24"/>
    </row>
    <row r="207" spans="1:46" x14ac:dyDescent="0.25">
      <c r="A207" s="20" t="s">
        <v>1257</v>
      </c>
      <c r="B207" s="21" t="s">
        <v>1377</v>
      </c>
      <c r="C207" s="1" t="s">
        <v>47</v>
      </c>
      <c r="D207" s="21">
        <v>21</v>
      </c>
      <c r="E207" s="21" t="s">
        <v>1497</v>
      </c>
      <c r="F207" s="21" t="s">
        <v>77</v>
      </c>
      <c r="G207" s="22">
        <f>Table1[[#This Row],[ENR]]-Table1[[#This Row],[CREDIT]]</f>
        <v>-20210.169999999998</v>
      </c>
      <c r="H207" s="21">
        <v>130000</v>
      </c>
      <c r="I207" s="35">
        <v>109789.83</v>
      </c>
      <c r="J207" s="22" t="s">
        <v>78</v>
      </c>
      <c r="K207" s="22">
        <v>109789.83</v>
      </c>
      <c r="L207" s="22">
        <v>103201.77</v>
      </c>
      <c r="M207" s="21">
        <v>21330</v>
      </c>
      <c r="N207" s="22">
        <v>14369</v>
      </c>
      <c r="O207" s="1" t="s">
        <v>41</v>
      </c>
      <c r="P207" s="1" t="s">
        <v>42</v>
      </c>
      <c r="Q207" s="15">
        <v>0</v>
      </c>
      <c r="R207" s="22">
        <f>Table1[[#This Row],[STAB]]-Table1[[#This Row],[AMOUNT]]</f>
        <v>14369</v>
      </c>
      <c r="S207" s="1">
        <v>0</v>
      </c>
      <c r="T207" s="1" t="s">
        <v>79</v>
      </c>
      <c r="U207" s="1">
        <v>0</v>
      </c>
      <c r="V207" s="1" t="s">
        <v>267</v>
      </c>
      <c r="W207" s="1" t="s">
        <v>107</v>
      </c>
      <c r="X207" s="1" t="s">
        <v>200</v>
      </c>
      <c r="Y207" s="21" t="s">
        <v>2111</v>
      </c>
      <c r="Z207" s="21" t="s">
        <v>1619</v>
      </c>
      <c r="AA207" s="21" t="s">
        <v>1739</v>
      </c>
      <c r="AB207" s="21" t="s">
        <v>138</v>
      </c>
      <c r="AC207" s="21" t="s">
        <v>93</v>
      </c>
      <c r="AD207" s="21" t="s">
        <v>139</v>
      </c>
      <c r="AE207" s="21" t="s">
        <v>202</v>
      </c>
      <c r="AF207" s="21" t="s">
        <v>490</v>
      </c>
      <c r="AG207" s="21">
        <v>802823528</v>
      </c>
      <c r="AH207" s="21" t="s">
        <v>488</v>
      </c>
      <c r="AI207" s="21" t="s">
        <v>492</v>
      </c>
      <c r="AJ207" s="21"/>
      <c r="AK207" s="28" t="s">
        <v>43</v>
      </c>
      <c r="AL207" s="21"/>
      <c r="AM207" s="21"/>
      <c r="AN207" s="21"/>
      <c r="AO207" s="23">
        <v>46118</v>
      </c>
      <c r="AP207" s="21">
        <v>18640</v>
      </c>
      <c r="AQ207" s="21" t="s">
        <v>1863</v>
      </c>
      <c r="AR207" s="21" t="s">
        <v>223</v>
      </c>
      <c r="AS207" s="21" t="s">
        <v>1914</v>
      </c>
      <c r="AT207" s="24"/>
    </row>
    <row r="208" spans="1:46" x14ac:dyDescent="0.25">
      <c r="A208" s="20" t="s">
        <v>1258</v>
      </c>
      <c r="B208" s="21" t="s">
        <v>1378</v>
      </c>
      <c r="C208" s="1" t="s">
        <v>47</v>
      </c>
      <c r="D208" s="21">
        <v>21</v>
      </c>
      <c r="E208" s="21" t="s">
        <v>1498</v>
      </c>
      <c r="F208" s="21" t="s">
        <v>77</v>
      </c>
      <c r="G208" s="22">
        <f>Table1[[#This Row],[ENR]]-Table1[[#This Row],[CREDIT]]</f>
        <v>640.01999999998952</v>
      </c>
      <c r="H208" s="21">
        <v>200000</v>
      </c>
      <c r="I208" s="35">
        <v>200640.02</v>
      </c>
      <c r="J208" s="22" t="s">
        <v>78</v>
      </c>
      <c r="K208" s="22">
        <v>200640.02</v>
      </c>
      <c r="L208" s="22">
        <v>185617.51</v>
      </c>
      <c r="M208" s="21">
        <v>27370</v>
      </c>
      <c r="N208" s="22">
        <v>7940.55</v>
      </c>
      <c r="O208" s="1" t="s">
        <v>49</v>
      </c>
      <c r="P208" s="1" t="s">
        <v>13</v>
      </c>
      <c r="Q208" s="15">
        <v>11100</v>
      </c>
      <c r="R208" s="22">
        <f>Table1[[#This Row],[STAB]]-Table1[[#This Row],[AMOUNT]]</f>
        <v>-3159.45</v>
      </c>
      <c r="S208" s="1">
        <v>0</v>
      </c>
      <c r="T208" s="1" t="s">
        <v>79</v>
      </c>
      <c r="U208" s="1">
        <v>0</v>
      </c>
      <c r="V208" s="1" t="s">
        <v>267</v>
      </c>
      <c r="W208" s="1" t="s">
        <v>265</v>
      </c>
      <c r="X208" s="1" t="s">
        <v>269</v>
      </c>
      <c r="Y208" s="21" t="s">
        <v>2111</v>
      </c>
      <c r="Z208" s="21" t="s">
        <v>1620</v>
      </c>
      <c r="AA208" s="21" t="s">
        <v>1740</v>
      </c>
      <c r="AB208" s="21" t="s">
        <v>433</v>
      </c>
      <c r="AC208" s="21" t="s">
        <v>252</v>
      </c>
      <c r="AD208" s="21" t="s">
        <v>253</v>
      </c>
      <c r="AE208" s="21" t="s">
        <v>255</v>
      </c>
      <c r="AF208" s="21" t="s">
        <v>151</v>
      </c>
      <c r="AG208" s="21">
        <v>801723195</v>
      </c>
      <c r="AH208" s="21" t="s">
        <v>132</v>
      </c>
      <c r="AI208" s="21" t="s">
        <v>492</v>
      </c>
      <c r="AJ208" s="21"/>
      <c r="AK208" s="28" t="s">
        <v>447</v>
      </c>
      <c r="AL208" s="21"/>
      <c r="AM208" s="21"/>
      <c r="AN208" s="21"/>
      <c r="AO208" s="23">
        <v>45639</v>
      </c>
      <c r="AP208" s="21">
        <v>199663</v>
      </c>
      <c r="AQ208" s="21" t="s">
        <v>1864</v>
      </c>
      <c r="AR208" s="21" t="s">
        <v>223</v>
      </c>
      <c r="AS208" s="21" t="s">
        <v>1914</v>
      </c>
      <c r="AT208" s="24"/>
    </row>
    <row r="209" spans="1:46" x14ac:dyDescent="0.25">
      <c r="A209" s="20" t="s">
        <v>1259</v>
      </c>
      <c r="B209" s="21" t="s">
        <v>1379</v>
      </c>
      <c r="C209" s="1" t="s">
        <v>47</v>
      </c>
      <c r="D209" s="21">
        <v>21</v>
      </c>
      <c r="E209" s="21" t="s">
        <v>1499</v>
      </c>
      <c r="F209" s="21" t="s">
        <v>77</v>
      </c>
      <c r="G209" s="22">
        <f>Table1[[#This Row],[ENR]]-Table1[[#This Row],[CREDIT]]</f>
        <v>6092.9900000000052</v>
      </c>
      <c r="H209" s="21">
        <v>86000</v>
      </c>
      <c r="I209" s="35">
        <v>92092.99</v>
      </c>
      <c r="J209" s="22">
        <v>73030.509999999995</v>
      </c>
      <c r="K209" s="22">
        <v>19062.48</v>
      </c>
      <c r="L209" s="22">
        <v>12968.75</v>
      </c>
      <c r="M209" s="21">
        <v>18280</v>
      </c>
      <c r="N209" s="22">
        <v>11080</v>
      </c>
      <c r="O209" s="1" t="s">
        <v>41</v>
      </c>
      <c r="P209" s="1" t="s">
        <v>42</v>
      </c>
      <c r="Q209" s="15">
        <v>0</v>
      </c>
      <c r="R209" s="22">
        <f>Table1[[#This Row],[STAB]]-Table1[[#This Row],[AMOUNT]]</f>
        <v>11080</v>
      </c>
      <c r="S209" s="1">
        <v>0</v>
      </c>
      <c r="T209" s="1" t="s">
        <v>79</v>
      </c>
      <c r="U209" s="1">
        <v>0</v>
      </c>
      <c r="V209" s="1" t="s">
        <v>267</v>
      </c>
      <c r="W209" s="1" t="s">
        <v>266</v>
      </c>
      <c r="X209" s="1" t="s">
        <v>268</v>
      </c>
      <c r="Y209" s="21" t="s">
        <v>2110</v>
      </c>
      <c r="Z209" s="21" t="s">
        <v>1621</v>
      </c>
      <c r="AA209" s="21" t="s">
        <v>1741</v>
      </c>
      <c r="AB209" s="21" t="s">
        <v>248</v>
      </c>
      <c r="AC209" s="21" t="s">
        <v>91</v>
      </c>
      <c r="AD209" s="21" t="s">
        <v>122</v>
      </c>
      <c r="AE209" s="21" t="s">
        <v>667</v>
      </c>
      <c r="AF209" s="21" t="s">
        <v>666</v>
      </c>
      <c r="AG209" s="21">
        <v>802663344</v>
      </c>
      <c r="AH209" s="21" t="s">
        <v>132</v>
      </c>
      <c r="AI209" s="21" t="s">
        <v>492</v>
      </c>
      <c r="AJ209" s="21"/>
      <c r="AK209" s="28" t="s">
        <v>447</v>
      </c>
      <c r="AL209" s="21" t="s">
        <v>458</v>
      </c>
      <c r="AM209" s="21" t="s">
        <v>1959</v>
      </c>
      <c r="AN209" s="21" t="s">
        <v>1949</v>
      </c>
      <c r="AO209" s="23">
        <v>45451</v>
      </c>
      <c r="AP209" s="21">
        <v>38124.660000000003</v>
      </c>
      <c r="AQ209" s="21" t="s">
        <v>1865</v>
      </c>
      <c r="AR209" s="21" t="s">
        <v>223</v>
      </c>
      <c r="AS209" s="21" t="s">
        <v>1914</v>
      </c>
      <c r="AT209" s="24"/>
    </row>
    <row r="210" spans="1:46" x14ac:dyDescent="0.25">
      <c r="A210" s="20" t="s">
        <v>1260</v>
      </c>
      <c r="B210" s="21" t="s">
        <v>1380</v>
      </c>
      <c r="C210" s="1" t="s">
        <v>47</v>
      </c>
      <c r="D210" s="21">
        <v>21</v>
      </c>
      <c r="E210" s="21" t="s">
        <v>1500</v>
      </c>
      <c r="F210" s="21" t="s">
        <v>77</v>
      </c>
      <c r="G210" s="22">
        <f>Table1[[#This Row],[ENR]]-Table1[[#This Row],[CREDIT]]</f>
        <v>168589.11</v>
      </c>
      <c r="H210" s="21">
        <v>590000</v>
      </c>
      <c r="I210" s="35">
        <v>758589.11</v>
      </c>
      <c r="J210" s="22">
        <v>352468.37</v>
      </c>
      <c r="K210" s="22">
        <v>406120.74</v>
      </c>
      <c r="L210" s="22">
        <v>365343.13</v>
      </c>
      <c r="M210" s="21">
        <v>94550</v>
      </c>
      <c r="N210" s="22">
        <v>39130</v>
      </c>
      <c r="O210" s="1" t="s">
        <v>41</v>
      </c>
      <c r="P210" s="1" t="s">
        <v>42</v>
      </c>
      <c r="Q210" s="15">
        <v>0</v>
      </c>
      <c r="R210" s="22">
        <f>Table1[[#This Row],[STAB]]-Table1[[#This Row],[AMOUNT]]</f>
        <v>39130</v>
      </c>
      <c r="S210" s="1">
        <v>0</v>
      </c>
      <c r="T210" s="1" t="s">
        <v>79</v>
      </c>
      <c r="U210" s="1">
        <v>0</v>
      </c>
      <c r="V210" s="1" t="s">
        <v>267</v>
      </c>
      <c r="W210" s="1" t="s">
        <v>107</v>
      </c>
      <c r="X210" s="1" t="s">
        <v>200</v>
      </c>
      <c r="Y210" s="21" t="s">
        <v>2111</v>
      </c>
      <c r="Z210" s="21" t="s">
        <v>1622</v>
      </c>
      <c r="AA210" s="21" t="s">
        <v>1742</v>
      </c>
      <c r="AB210" s="21" t="s">
        <v>434</v>
      </c>
      <c r="AC210" s="21" t="s">
        <v>93</v>
      </c>
      <c r="AD210" s="21" t="s">
        <v>460</v>
      </c>
      <c r="AE210" s="21" t="s">
        <v>444</v>
      </c>
      <c r="AF210" s="21" t="s">
        <v>181</v>
      </c>
      <c r="AG210" s="21">
        <v>802823180</v>
      </c>
      <c r="AH210" s="21" t="s">
        <v>132</v>
      </c>
      <c r="AI210" s="21" t="s">
        <v>492</v>
      </c>
      <c r="AJ210" s="21"/>
      <c r="AK210" s="28" t="s">
        <v>43</v>
      </c>
      <c r="AL210" s="21"/>
      <c r="AM210" s="21"/>
      <c r="AN210" s="21"/>
      <c r="AO210" s="23">
        <v>46280</v>
      </c>
      <c r="AP210" s="21">
        <v>6500</v>
      </c>
      <c r="AQ210" s="21" t="s">
        <v>1866</v>
      </c>
      <c r="AR210" s="21" t="s">
        <v>223</v>
      </c>
      <c r="AS210" s="21" t="s">
        <v>1914</v>
      </c>
      <c r="AT210" s="24"/>
    </row>
    <row r="211" spans="1:46" x14ac:dyDescent="0.25">
      <c r="A211" s="20" t="s">
        <v>1261</v>
      </c>
      <c r="B211" s="21" t="s">
        <v>1381</v>
      </c>
      <c r="C211" s="1" t="s">
        <v>47</v>
      </c>
      <c r="D211" s="21">
        <v>21</v>
      </c>
      <c r="E211" s="21" t="s">
        <v>1501</v>
      </c>
      <c r="F211" s="21" t="s">
        <v>77</v>
      </c>
      <c r="G211" s="22">
        <f>Table1[[#This Row],[ENR]]-Table1[[#This Row],[CREDIT]]</f>
        <v>-127514.05</v>
      </c>
      <c r="H211" s="21">
        <v>170000</v>
      </c>
      <c r="I211" s="35">
        <v>42485.95</v>
      </c>
      <c r="J211" s="22" t="s">
        <v>78</v>
      </c>
      <c r="K211" s="22">
        <v>42485.95</v>
      </c>
      <c r="L211" s="22">
        <v>41241.51</v>
      </c>
      <c r="M211" s="21">
        <v>2970</v>
      </c>
      <c r="N211" s="22">
        <v>100</v>
      </c>
      <c r="O211" s="1" t="s">
        <v>49</v>
      </c>
      <c r="P211" s="1" t="s">
        <v>12</v>
      </c>
      <c r="Q211" s="15">
        <v>42485.95</v>
      </c>
      <c r="R211" s="22">
        <f>Table1[[#This Row],[STAB]]-Table1[[#This Row],[AMOUNT]]</f>
        <v>-42385.95</v>
      </c>
      <c r="S211" s="1" t="s">
        <v>1927</v>
      </c>
      <c r="T211" s="1" t="s">
        <v>446</v>
      </c>
      <c r="U211" s="1">
        <v>0</v>
      </c>
      <c r="V211" s="1" t="s">
        <v>267</v>
      </c>
      <c r="W211" s="1" t="s">
        <v>266</v>
      </c>
      <c r="X211" s="1" t="s">
        <v>268</v>
      </c>
      <c r="Y211" s="21" t="s">
        <v>2111</v>
      </c>
      <c r="Z211" s="21" t="s">
        <v>1623</v>
      </c>
      <c r="AA211" s="21" t="s">
        <v>1743</v>
      </c>
      <c r="AB211" s="21" t="s">
        <v>72</v>
      </c>
      <c r="AC211" s="21" t="s">
        <v>91</v>
      </c>
      <c r="AD211" s="21" t="s">
        <v>76</v>
      </c>
      <c r="AE211" s="21" t="s">
        <v>411</v>
      </c>
      <c r="AF211" s="21" t="s">
        <v>245</v>
      </c>
      <c r="AG211" s="21">
        <v>802555024</v>
      </c>
      <c r="AH211" s="21" t="s">
        <v>131</v>
      </c>
      <c r="AI211" s="21" t="s">
        <v>492</v>
      </c>
      <c r="AJ211" s="21"/>
      <c r="AK211" s="28" t="s">
        <v>447</v>
      </c>
      <c r="AL211" s="21"/>
      <c r="AM211" s="21"/>
      <c r="AN211" s="21"/>
      <c r="AO211" s="23">
        <v>46275</v>
      </c>
      <c r="AP211" s="21">
        <v>6335.74</v>
      </c>
      <c r="AQ211" s="21" t="s">
        <v>1867</v>
      </c>
      <c r="AR211" s="21" t="s">
        <v>223</v>
      </c>
      <c r="AS211" s="21" t="s">
        <v>1914</v>
      </c>
      <c r="AT211" s="24"/>
    </row>
    <row r="212" spans="1:46" x14ac:dyDescent="0.25">
      <c r="A212" s="20" t="s">
        <v>1262</v>
      </c>
      <c r="B212" s="21" t="s">
        <v>1382</v>
      </c>
      <c r="C212" s="1" t="s">
        <v>83</v>
      </c>
      <c r="D212" s="21">
        <v>21</v>
      </c>
      <c r="E212" s="21" t="s">
        <v>1502</v>
      </c>
      <c r="F212" s="21" t="s">
        <v>77</v>
      </c>
      <c r="G212" s="22">
        <f>Table1[[#This Row],[ENR]]-Table1[[#This Row],[CREDIT]]</f>
        <v>3933.7200000000012</v>
      </c>
      <c r="H212" s="21">
        <v>60000</v>
      </c>
      <c r="I212" s="35">
        <v>63933.72</v>
      </c>
      <c r="J212" s="22" t="s">
        <v>78</v>
      </c>
      <c r="K212" s="22">
        <v>63933.72</v>
      </c>
      <c r="L212" s="22">
        <v>59613.74</v>
      </c>
      <c r="M212" s="21">
        <v>18330</v>
      </c>
      <c r="N212" s="22">
        <v>10040</v>
      </c>
      <c r="O212" s="1" t="s">
        <v>41</v>
      </c>
      <c r="P212" s="1" t="s">
        <v>42</v>
      </c>
      <c r="Q212" s="15">
        <v>0</v>
      </c>
      <c r="R212" s="22">
        <f>Table1[[#This Row],[STAB]]-Table1[[#This Row],[AMOUNT]]</f>
        <v>10040</v>
      </c>
      <c r="S212" s="1">
        <v>0</v>
      </c>
      <c r="T212" s="1" t="s">
        <v>79</v>
      </c>
      <c r="U212" s="1">
        <v>0</v>
      </c>
      <c r="V212" s="1" t="s">
        <v>267</v>
      </c>
      <c r="W212" s="1" t="s">
        <v>645</v>
      </c>
      <c r="X212" s="1" t="s">
        <v>646</v>
      </c>
      <c r="Y212" s="21" t="s">
        <v>2110</v>
      </c>
      <c r="Z212" s="21" t="s">
        <v>1624</v>
      </c>
      <c r="AA212" s="21" t="s">
        <v>1744</v>
      </c>
      <c r="AB212" s="21" t="s">
        <v>104</v>
      </c>
      <c r="AC212" s="21" t="s">
        <v>258</v>
      </c>
      <c r="AD212" s="21" t="s">
        <v>461</v>
      </c>
      <c r="AE212" s="21" t="s">
        <v>1168</v>
      </c>
      <c r="AF212" s="21" t="s">
        <v>133</v>
      </c>
      <c r="AG212" s="21">
        <v>802913252</v>
      </c>
      <c r="AH212" s="21" t="s">
        <v>130</v>
      </c>
      <c r="AI212" s="21" t="s">
        <v>492</v>
      </c>
      <c r="AJ212" s="21"/>
      <c r="AK212" s="28" t="s">
        <v>43</v>
      </c>
      <c r="AL212" s="21"/>
      <c r="AM212" s="21"/>
      <c r="AN212" s="21"/>
      <c r="AO212" s="23">
        <v>45769</v>
      </c>
      <c r="AP212" s="21">
        <v>21966</v>
      </c>
      <c r="AQ212" s="21" t="s">
        <v>1868</v>
      </c>
      <c r="AR212" s="21" t="s">
        <v>223</v>
      </c>
      <c r="AS212" s="21" t="s">
        <v>1914</v>
      </c>
      <c r="AT212" s="24"/>
    </row>
    <row r="213" spans="1:46" x14ac:dyDescent="0.25">
      <c r="A213" s="20" t="s">
        <v>1263</v>
      </c>
      <c r="B213" s="21" t="s">
        <v>1383</v>
      </c>
      <c r="C213" s="1" t="s">
        <v>47</v>
      </c>
      <c r="D213" s="21">
        <v>21</v>
      </c>
      <c r="E213" s="21" t="s">
        <v>1503</v>
      </c>
      <c r="F213" s="21" t="s">
        <v>77</v>
      </c>
      <c r="G213" s="22">
        <f>Table1[[#This Row],[ENR]]-Table1[[#This Row],[CREDIT]]</f>
        <v>7639.7400000000052</v>
      </c>
      <c r="H213" s="21">
        <v>100000</v>
      </c>
      <c r="I213" s="35">
        <v>107639.74</v>
      </c>
      <c r="J213" s="22" t="s">
        <v>78</v>
      </c>
      <c r="K213" s="22">
        <v>107639.74</v>
      </c>
      <c r="L213" s="22">
        <v>99858.95</v>
      </c>
      <c r="M213" s="21">
        <v>24790</v>
      </c>
      <c r="N213" s="22">
        <v>5000</v>
      </c>
      <c r="O213" s="1" t="s">
        <v>41</v>
      </c>
      <c r="P213" s="1" t="s">
        <v>42</v>
      </c>
      <c r="Q213" s="15">
        <v>0</v>
      </c>
      <c r="R213" s="22">
        <f>Table1[[#This Row],[STAB]]-Table1[[#This Row],[AMOUNT]]</f>
        <v>5000</v>
      </c>
      <c r="S213" s="1">
        <v>0</v>
      </c>
      <c r="T213" s="1" t="s">
        <v>79</v>
      </c>
      <c r="U213" s="1">
        <v>0</v>
      </c>
      <c r="V213" s="1" t="s">
        <v>267</v>
      </c>
      <c r="W213" s="1" t="s">
        <v>266</v>
      </c>
      <c r="X213" s="1" t="s">
        <v>268</v>
      </c>
      <c r="Y213" s="21" t="s">
        <v>2111</v>
      </c>
      <c r="Z213" s="21" t="s">
        <v>1625</v>
      </c>
      <c r="AA213" s="21" t="s">
        <v>1745</v>
      </c>
      <c r="AB213" s="21" t="s">
        <v>548</v>
      </c>
      <c r="AC213" s="21" t="s">
        <v>91</v>
      </c>
      <c r="AD213" s="21" t="s">
        <v>664</v>
      </c>
      <c r="AE213" s="21" t="s">
        <v>668</v>
      </c>
      <c r="AF213" s="21" t="s">
        <v>180</v>
      </c>
      <c r="AG213" s="21">
        <v>802835406</v>
      </c>
      <c r="AH213" s="21" t="s">
        <v>131</v>
      </c>
      <c r="AI213" s="21" t="s">
        <v>492</v>
      </c>
      <c r="AJ213" s="21"/>
      <c r="AK213" s="28" t="s">
        <v>43</v>
      </c>
      <c r="AL213" s="21"/>
      <c r="AM213" s="21"/>
      <c r="AN213" s="21"/>
      <c r="AO213" s="23">
        <v>45575</v>
      </c>
      <c r="AP213" s="21">
        <v>99159.3</v>
      </c>
      <c r="AQ213" s="21" t="s">
        <v>1869</v>
      </c>
      <c r="AR213" s="21" t="s">
        <v>223</v>
      </c>
      <c r="AS213" s="21" t="s">
        <v>1914</v>
      </c>
      <c r="AT213" s="24"/>
    </row>
    <row r="214" spans="1:46" x14ac:dyDescent="0.25">
      <c r="A214" s="20" t="s">
        <v>1264</v>
      </c>
      <c r="B214" s="21" t="s">
        <v>1384</v>
      </c>
      <c r="C214" s="1" t="s">
        <v>47</v>
      </c>
      <c r="D214" s="21">
        <v>21</v>
      </c>
      <c r="E214" s="21" t="s">
        <v>1504</v>
      </c>
      <c r="F214" s="21" t="s">
        <v>77</v>
      </c>
      <c r="G214" s="22">
        <f>Table1[[#This Row],[ENR]]-Table1[[#This Row],[CREDIT]]</f>
        <v>-301144.83999999997</v>
      </c>
      <c r="H214" s="21">
        <v>420000</v>
      </c>
      <c r="I214" s="35">
        <v>118855.16</v>
      </c>
      <c r="J214" s="22" t="s">
        <v>78</v>
      </c>
      <c r="K214" s="22">
        <v>118855.16</v>
      </c>
      <c r="L214" s="22">
        <v>114727.93</v>
      </c>
      <c r="M214" s="21">
        <v>38880</v>
      </c>
      <c r="N214" s="22">
        <v>13691</v>
      </c>
      <c r="O214" s="1" t="s">
        <v>49</v>
      </c>
      <c r="P214" s="1" t="s">
        <v>12</v>
      </c>
      <c r="Q214" s="15">
        <v>40000</v>
      </c>
      <c r="R214" s="22">
        <f>Table1[[#This Row],[STAB]]-Table1[[#This Row],[AMOUNT]]</f>
        <v>-26309</v>
      </c>
      <c r="S214" s="1" t="s">
        <v>1927</v>
      </c>
      <c r="T214" s="1" t="s">
        <v>673</v>
      </c>
      <c r="U214" s="1">
        <v>0</v>
      </c>
      <c r="V214" s="1" t="s">
        <v>267</v>
      </c>
      <c r="W214" s="1" t="s">
        <v>266</v>
      </c>
      <c r="X214" s="1" t="s">
        <v>268</v>
      </c>
      <c r="Y214" s="21" t="s">
        <v>2111</v>
      </c>
      <c r="Z214" s="21" t="s">
        <v>1626</v>
      </c>
      <c r="AA214" s="21" t="s">
        <v>1746</v>
      </c>
      <c r="AB214" s="21" t="s">
        <v>80</v>
      </c>
      <c r="AC214" s="21" t="s">
        <v>91</v>
      </c>
      <c r="AD214" s="21" t="s">
        <v>111</v>
      </c>
      <c r="AE214" s="21" t="s">
        <v>565</v>
      </c>
      <c r="AF214" s="21" t="s">
        <v>563</v>
      </c>
      <c r="AG214" s="21">
        <v>802794852</v>
      </c>
      <c r="AH214" s="21" t="s">
        <v>130</v>
      </c>
      <c r="AI214" s="21" t="s">
        <v>492</v>
      </c>
      <c r="AJ214" s="21"/>
      <c r="AK214" s="28" t="s">
        <v>447</v>
      </c>
      <c r="AL214" s="21" t="s">
        <v>458</v>
      </c>
      <c r="AM214" s="21" t="s">
        <v>1939</v>
      </c>
      <c r="AN214" s="21" t="s">
        <v>1927</v>
      </c>
      <c r="AO214" s="23">
        <v>46273</v>
      </c>
      <c r="AP214" s="21">
        <v>29965.85</v>
      </c>
      <c r="AQ214" s="21" t="s">
        <v>1870</v>
      </c>
      <c r="AR214" s="21" t="s">
        <v>1912</v>
      </c>
      <c r="AS214" s="21" t="s">
        <v>1914</v>
      </c>
      <c r="AT214" s="24"/>
    </row>
    <row r="215" spans="1:46" x14ac:dyDescent="0.25">
      <c r="A215" s="20" t="s">
        <v>1265</v>
      </c>
      <c r="B215" s="21" t="s">
        <v>1385</v>
      </c>
      <c r="C215" s="1" t="s">
        <v>47</v>
      </c>
      <c r="D215" s="21">
        <v>21</v>
      </c>
      <c r="E215" s="21" t="s">
        <v>1505</v>
      </c>
      <c r="F215" s="21" t="s">
        <v>77</v>
      </c>
      <c r="G215" s="22">
        <f>Table1[[#This Row],[ENR]]-Table1[[#This Row],[CREDIT]]</f>
        <v>470144.03</v>
      </c>
      <c r="H215" s="21">
        <v>180000</v>
      </c>
      <c r="I215" s="35">
        <v>650144.03</v>
      </c>
      <c r="J215" s="22">
        <v>612849.57999999996</v>
      </c>
      <c r="K215" s="22">
        <v>37294.449999999997</v>
      </c>
      <c r="L215" s="22">
        <v>31262.28</v>
      </c>
      <c r="M215" s="21">
        <v>37294.449999999997</v>
      </c>
      <c r="N215" s="22">
        <v>17090.29</v>
      </c>
      <c r="O215" s="1" t="s">
        <v>49</v>
      </c>
      <c r="P215" s="1" t="s">
        <v>12</v>
      </c>
      <c r="Q215" s="15">
        <v>37294.449999999997</v>
      </c>
      <c r="R215" s="22">
        <f>Table1[[#This Row],[STAB]]-Table1[[#This Row],[AMOUNT]]</f>
        <v>-20204.159999999996</v>
      </c>
      <c r="S215" s="1">
        <v>0</v>
      </c>
      <c r="T215" s="1" t="s">
        <v>79</v>
      </c>
      <c r="U215" s="1">
        <v>0</v>
      </c>
      <c r="V215" s="1" t="s">
        <v>267</v>
      </c>
      <c r="W215" s="1" t="s">
        <v>266</v>
      </c>
      <c r="X215" s="1" t="s">
        <v>268</v>
      </c>
      <c r="Y215" s="21" t="s">
        <v>2111</v>
      </c>
      <c r="Z215" s="21" t="s">
        <v>1627</v>
      </c>
      <c r="AA215" s="21" t="s">
        <v>1747</v>
      </c>
      <c r="AB215" s="21" t="s">
        <v>80</v>
      </c>
      <c r="AC215" s="21" t="s">
        <v>91</v>
      </c>
      <c r="AD215" s="21" t="s">
        <v>111</v>
      </c>
      <c r="AE215" s="21" t="s">
        <v>565</v>
      </c>
      <c r="AF215" s="21" t="s">
        <v>563</v>
      </c>
      <c r="AG215" s="21">
        <v>802794852</v>
      </c>
      <c r="AH215" s="21" t="s">
        <v>130</v>
      </c>
      <c r="AI215" s="21" t="s">
        <v>492</v>
      </c>
      <c r="AJ215" s="21"/>
      <c r="AK215" s="28" t="s">
        <v>447</v>
      </c>
      <c r="AL215" s="21" t="s">
        <v>456</v>
      </c>
      <c r="AM215" s="21" t="s">
        <v>1943</v>
      </c>
      <c r="AN215" s="21" t="s">
        <v>1941</v>
      </c>
      <c r="AO215" s="23" t="s">
        <v>78</v>
      </c>
      <c r="AP215" s="21">
        <v>0</v>
      </c>
      <c r="AQ215" s="21" t="s">
        <v>1871</v>
      </c>
      <c r="AR215" s="21" t="s">
        <v>223</v>
      </c>
      <c r="AS215" s="21" t="s">
        <v>1914</v>
      </c>
      <c r="AT215" s="24"/>
    </row>
    <row r="216" spans="1:46" x14ac:dyDescent="0.25">
      <c r="A216" s="20" t="s">
        <v>1266</v>
      </c>
      <c r="B216" s="21" t="s">
        <v>1386</v>
      </c>
      <c r="C216" s="1" t="s">
        <v>47</v>
      </c>
      <c r="D216" s="21">
        <v>21</v>
      </c>
      <c r="E216" s="21" t="s">
        <v>1506</v>
      </c>
      <c r="F216" s="21" t="s">
        <v>77</v>
      </c>
      <c r="G216" s="22">
        <f>Table1[[#This Row],[ENR]]-Table1[[#This Row],[CREDIT]]</f>
        <v>13625.119999999995</v>
      </c>
      <c r="H216" s="21">
        <v>300000</v>
      </c>
      <c r="I216" s="35">
        <v>313625.12</v>
      </c>
      <c r="J216" s="22">
        <v>248567.33</v>
      </c>
      <c r="K216" s="22">
        <v>65057.79</v>
      </c>
      <c r="L216" s="22">
        <v>51159.27</v>
      </c>
      <c r="M216" s="21">
        <v>37880</v>
      </c>
      <c r="N216" s="22">
        <v>16720</v>
      </c>
      <c r="O216" s="1" t="s">
        <v>41</v>
      </c>
      <c r="P216" s="1" t="s">
        <v>42</v>
      </c>
      <c r="Q216" s="15">
        <v>0</v>
      </c>
      <c r="R216" s="22">
        <f>Table1[[#This Row],[STAB]]-Table1[[#This Row],[AMOUNT]]</f>
        <v>16720</v>
      </c>
      <c r="S216" s="1">
        <v>0</v>
      </c>
      <c r="T216" s="1" t="s">
        <v>79</v>
      </c>
      <c r="U216" s="1">
        <v>0</v>
      </c>
      <c r="V216" s="1" t="s">
        <v>267</v>
      </c>
      <c r="W216" s="1" t="s">
        <v>265</v>
      </c>
      <c r="X216" s="1" t="s">
        <v>269</v>
      </c>
      <c r="Y216" s="21" t="s">
        <v>2111</v>
      </c>
      <c r="Z216" s="21" t="s">
        <v>1628</v>
      </c>
      <c r="AA216" s="21" t="s">
        <v>1748</v>
      </c>
      <c r="AB216" s="21" t="s">
        <v>1104</v>
      </c>
      <c r="AC216" s="21" t="s">
        <v>91</v>
      </c>
      <c r="AD216" s="21" t="s">
        <v>86</v>
      </c>
      <c r="AE216" s="21" t="s">
        <v>1166</v>
      </c>
      <c r="AF216" s="21" t="s">
        <v>1162</v>
      </c>
      <c r="AG216" s="21">
        <v>802370852</v>
      </c>
      <c r="AH216" s="21" t="s">
        <v>132</v>
      </c>
      <c r="AI216" s="21" t="s">
        <v>492</v>
      </c>
      <c r="AJ216" s="21"/>
      <c r="AK216" s="28" t="s">
        <v>43</v>
      </c>
      <c r="AL216" s="21"/>
      <c r="AM216" s="21"/>
      <c r="AN216" s="21"/>
      <c r="AO216" s="23">
        <v>46274</v>
      </c>
      <c r="AP216" s="21">
        <v>19156.39</v>
      </c>
      <c r="AQ216" s="21" t="s">
        <v>1872</v>
      </c>
      <c r="AR216" s="21" t="s">
        <v>223</v>
      </c>
      <c r="AS216" s="21" t="s">
        <v>1914</v>
      </c>
      <c r="AT216" s="24"/>
    </row>
    <row r="217" spans="1:46" x14ac:dyDescent="0.25">
      <c r="A217" s="20" t="s">
        <v>1267</v>
      </c>
      <c r="B217" s="21" t="s">
        <v>1387</v>
      </c>
      <c r="C217" s="1" t="s">
        <v>47</v>
      </c>
      <c r="D217" s="21">
        <v>21</v>
      </c>
      <c r="E217" s="21" t="s">
        <v>1507</v>
      </c>
      <c r="F217" s="21" t="s">
        <v>77</v>
      </c>
      <c r="G217" s="22">
        <f>Table1[[#This Row],[ENR]]-Table1[[#This Row],[CREDIT]]</f>
        <v>-28222.770000000004</v>
      </c>
      <c r="H217" s="21">
        <v>100000</v>
      </c>
      <c r="I217" s="35">
        <v>71777.23</v>
      </c>
      <c r="J217" s="22">
        <v>9666.84</v>
      </c>
      <c r="K217" s="22">
        <v>62110.39</v>
      </c>
      <c r="L217" s="22">
        <v>55892.59</v>
      </c>
      <c r="M217" s="21">
        <v>13510</v>
      </c>
      <c r="N217" s="22">
        <v>2728.2</v>
      </c>
      <c r="O217" s="1" t="s">
        <v>49</v>
      </c>
      <c r="P217" s="1" t="s">
        <v>13</v>
      </c>
      <c r="Q217" s="15">
        <v>0</v>
      </c>
      <c r="R217" s="22">
        <f>Table1[[#This Row],[STAB]]-Table1[[#This Row],[AMOUNT]]</f>
        <v>2728.2</v>
      </c>
      <c r="S217" s="1" t="s">
        <v>2115</v>
      </c>
      <c r="T217" s="1" t="s">
        <v>446</v>
      </c>
      <c r="U217" s="1">
        <v>0</v>
      </c>
      <c r="V217" s="1" t="s">
        <v>267</v>
      </c>
      <c r="W217" s="1" t="s">
        <v>266</v>
      </c>
      <c r="X217" s="1" t="s">
        <v>268</v>
      </c>
      <c r="Y217" s="21" t="s">
        <v>2111</v>
      </c>
      <c r="Z217" s="21" t="s">
        <v>1629</v>
      </c>
      <c r="AA217" s="21" t="s">
        <v>1749</v>
      </c>
      <c r="AB217" s="21" t="s">
        <v>1108</v>
      </c>
      <c r="AC217" s="21" t="s">
        <v>91</v>
      </c>
      <c r="AD217" s="21" t="s">
        <v>1160</v>
      </c>
      <c r="AE217" s="21" t="s">
        <v>1169</v>
      </c>
      <c r="AF217" s="21" t="s">
        <v>1163</v>
      </c>
      <c r="AG217" s="21">
        <v>801772794</v>
      </c>
      <c r="AH217" s="21" t="s">
        <v>1161</v>
      </c>
      <c r="AI217" s="21" t="s">
        <v>492</v>
      </c>
      <c r="AJ217" s="21"/>
      <c r="AK217" s="28" t="s">
        <v>447</v>
      </c>
      <c r="AL217" s="21" t="s">
        <v>456</v>
      </c>
      <c r="AM217" s="21" t="s">
        <v>2097</v>
      </c>
      <c r="AN217" s="21" t="s">
        <v>2093</v>
      </c>
      <c r="AO217" s="23">
        <v>45877</v>
      </c>
      <c r="AP217" s="21">
        <v>5151</v>
      </c>
      <c r="AQ217" s="21" t="s">
        <v>1873</v>
      </c>
      <c r="AR217" s="21" t="s">
        <v>223</v>
      </c>
      <c r="AS217" s="21" t="s">
        <v>1914</v>
      </c>
      <c r="AT217" s="24"/>
    </row>
    <row r="218" spans="1:46" x14ac:dyDescent="0.25">
      <c r="A218" s="20" t="s">
        <v>1268</v>
      </c>
      <c r="B218" s="21" t="s">
        <v>1388</v>
      </c>
      <c r="C218" s="1" t="s">
        <v>47</v>
      </c>
      <c r="D218" s="21">
        <v>21</v>
      </c>
      <c r="E218" s="21" t="s">
        <v>1508</v>
      </c>
      <c r="F218" s="21" t="s">
        <v>77</v>
      </c>
      <c r="G218" s="22">
        <f>Table1[[#This Row],[ENR]]-Table1[[#This Row],[CREDIT]]</f>
        <v>-11478.170000000013</v>
      </c>
      <c r="H218" s="21">
        <v>170000</v>
      </c>
      <c r="I218" s="35">
        <v>158521.82999999999</v>
      </c>
      <c r="J218" s="22">
        <v>137623.35</v>
      </c>
      <c r="K218" s="22">
        <v>20898.48</v>
      </c>
      <c r="L218" s="22">
        <v>12544.54</v>
      </c>
      <c r="M218" s="21">
        <v>20898.48</v>
      </c>
      <c r="N218" s="22">
        <v>9473.5499999999993</v>
      </c>
      <c r="O218" s="1" t="s">
        <v>41</v>
      </c>
      <c r="P218" s="1" t="s">
        <v>42</v>
      </c>
      <c r="Q218" s="15">
        <v>0</v>
      </c>
      <c r="R218" s="22">
        <f>Table1[[#This Row],[STAB]]-Table1[[#This Row],[AMOUNT]]</f>
        <v>9473.5499999999993</v>
      </c>
      <c r="S218" s="1">
        <v>0</v>
      </c>
      <c r="T218" s="1" t="s">
        <v>79</v>
      </c>
      <c r="U218" s="1">
        <v>0</v>
      </c>
      <c r="V218" s="1" t="s">
        <v>267</v>
      </c>
      <c r="W218" s="1" t="s">
        <v>107</v>
      </c>
      <c r="X218" s="1" t="s">
        <v>200</v>
      </c>
      <c r="Y218" s="21" t="s">
        <v>2111</v>
      </c>
      <c r="Z218" s="21" t="s">
        <v>1630</v>
      </c>
      <c r="AA218" s="21" t="s">
        <v>1750</v>
      </c>
      <c r="AB218" s="21" t="s">
        <v>103</v>
      </c>
      <c r="AC218" s="21" t="s">
        <v>93</v>
      </c>
      <c r="AD218" s="21" t="s">
        <v>102</v>
      </c>
      <c r="AE218" s="21" t="s">
        <v>201</v>
      </c>
      <c r="AF218" s="21" t="s">
        <v>137</v>
      </c>
      <c r="AG218" s="21">
        <v>845041675</v>
      </c>
      <c r="AH218" s="21" t="s">
        <v>130</v>
      </c>
      <c r="AI218" s="21" t="s">
        <v>492</v>
      </c>
      <c r="AJ218" s="21"/>
      <c r="AK218" s="28" t="s">
        <v>447</v>
      </c>
      <c r="AL218" s="21" t="s">
        <v>458</v>
      </c>
      <c r="AM218" s="21" t="s">
        <v>2117</v>
      </c>
      <c r="AN218" s="21" t="s">
        <v>2115</v>
      </c>
      <c r="AO218" s="23">
        <v>45636</v>
      </c>
      <c r="AP218" s="21">
        <v>26946.720000000001</v>
      </c>
      <c r="AQ218" s="21" t="s">
        <v>1874</v>
      </c>
      <c r="AR218" s="21" t="s">
        <v>223</v>
      </c>
      <c r="AS218" s="21" t="s">
        <v>1914</v>
      </c>
      <c r="AT218" s="24"/>
    </row>
    <row r="219" spans="1:46" x14ac:dyDescent="0.25">
      <c r="A219" s="20" t="s">
        <v>1269</v>
      </c>
      <c r="B219" s="21" t="s">
        <v>1389</v>
      </c>
      <c r="C219" s="1" t="s">
        <v>47</v>
      </c>
      <c r="D219" s="21">
        <v>21</v>
      </c>
      <c r="E219" s="21" t="s">
        <v>1509</v>
      </c>
      <c r="F219" s="21" t="s">
        <v>77</v>
      </c>
      <c r="G219" s="22">
        <f>Table1[[#This Row],[ENR]]-Table1[[#This Row],[CREDIT]]</f>
        <v>8365.1199999999953</v>
      </c>
      <c r="H219" s="21">
        <v>100000</v>
      </c>
      <c r="I219" s="35">
        <v>108365.12</v>
      </c>
      <c r="J219" s="22" t="s">
        <v>78</v>
      </c>
      <c r="K219" s="22">
        <v>108365.12</v>
      </c>
      <c r="L219" s="22">
        <v>99994</v>
      </c>
      <c r="M219" s="21">
        <v>26070</v>
      </c>
      <c r="N219" s="22">
        <v>5000</v>
      </c>
      <c r="O219" s="1" t="s">
        <v>41</v>
      </c>
      <c r="P219" s="1" t="s">
        <v>42</v>
      </c>
      <c r="Q219" s="15">
        <v>0</v>
      </c>
      <c r="R219" s="22">
        <f>Table1[[#This Row],[STAB]]-Table1[[#This Row],[AMOUNT]]</f>
        <v>5000</v>
      </c>
      <c r="S219" s="1">
        <v>0</v>
      </c>
      <c r="T219" s="1" t="s">
        <v>79</v>
      </c>
      <c r="U219" s="1">
        <v>0</v>
      </c>
      <c r="V219" s="1" t="s">
        <v>267</v>
      </c>
      <c r="W219" s="1" t="s">
        <v>645</v>
      </c>
      <c r="X219" s="1" t="s">
        <v>646</v>
      </c>
      <c r="Y219" s="21" t="s">
        <v>2110</v>
      </c>
      <c r="Z219" s="21" t="s">
        <v>1631</v>
      </c>
      <c r="AA219" s="21" t="s">
        <v>1751</v>
      </c>
      <c r="AB219" s="21" t="s">
        <v>104</v>
      </c>
      <c r="AC219" s="21" t="s">
        <v>258</v>
      </c>
      <c r="AD219" s="21" t="s">
        <v>461</v>
      </c>
      <c r="AE219" s="21" t="s">
        <v>1168</v>
      </c>
      <c r="AF219" s="21" t="s">
        <v>133</v>
      </c>
      <c r="AG219" s="21">
        <v>802913252</v>
      </c>
      <c r="AH219" s="21" t="s">
        <v>130</v>
      </c>
      <c r="AI219" s="21" t="s">
        <v>492</v>
      </c>
      <c r="AJ219" s="21"/>
      <c r="AK219" s="28" t="s">
        <v>43</v>
      </c>
      <c r="AL219" s="21"/>
      <c r="AM219" s="21"/>
      <c r="AN219" s="21"/>
      <c r="AO219" s="23">
        <v>45437</v>
      </c>
      <c r="AP219" s="21">
        <v>513.07000000000005</v>
      </c>
      <c r="AQ219" s="21" t="s">
        <v>1875</v>
      </c>
      <c r="AR219" s="21" t="s">
        <v>223</v>
      </c>
      <c r="AS219" s="21" t="s">
        <v>1914</v>
      </c>
      <c r="AT219" s="24"/>
    </row>
    <row r="220" spans="1:46" x14ac:dyDescent="0.25">
      <c r="A220" s="20" t="s">
        <v>1270</v>
      </c>
      <c r="B220" s="21" t="s">
        <v>1390</v>
      </c>
      <c r="C220" s="1" t="s">
        <v>47</v>
      </c>
      <c r="D220" s="21">
        <v>21</v>
      </c>
      <c r="E220" s="21" t="s">
        <v>1510</v>
      </c>
      <c r="F220" s="21" t="s">
        <v>77</v>
      </c>
      <c r="G220" s="22">
        <f>Table1[[#This Row],[ENR]]-Table1[[#This Row],[CREDIT]]</f>
        <v>6697.6900000000023</v>
      </c>
      <c r="H220" s="21">
        <v>140000</v>
      </c>
      <c r="I220" s="35">
        <v>146697.69</v>
      </c>
      <c r="J220" s="22">
        <v>98972.800000000003</v>
      </c>
      <c r="K220" s="22">
        <v>47724.89</v>
      </c>
      <c r="L220" s="22">
        <v>37351.089999999997</v>
      </c>
      <c r="M220" s="21">
        <v>30200</v>
      </c>
      <c r="N220" s="22">
        <v>15240</v>
      </c>
      <c r="O220" s="1" t="s">
        <v>41</v>
      </c>
      <c r="P220" s="1" t="s">
        <v>42</v>
      </c>
      <c r="Q220" s="15">
        <v>0</v>
      </c>
      <c r="R220" s="22">
        <f>Table1[[#This Row],[STAB]]-Table1[[#This Row],[AMOUNT]]</f>
        <v>15240</v>
      </c>
      <c r="S220" s="1">
        <v>0</v>
      </c>
      <c r="T220" s="1" t="s">
        <v>79</v>
      </c>
      <c r="U220" s="1">
        <v>0</v>
      </c>
      <c r="V220" s="1" t="s">
        <v>267</v>
      </c>
      <c r="W220" s="1" t="s">
        <v>266</v>
      </c>
      <c r="X220" s="1" t="s">
        <v>268</v>
      </c>
      <c r="Y220" s="21" t="s">
        <v>2111</v>
      </c>
      <c r="Z220" s="21" t="s">
        <v>1632</v>
      </c>
      <c r="AA220" s="21" t="s">
        <v>1752</v>
      </c>
      <c r="AB220" s="21" t="s">
        <v>1108</v>
      </c>
      <c r="AC220" s="21" t="s">
        <v>91</v>
      </c>
      <c r="AD220" s="21" t="s">
        <v>1160</v>
      </c>
      <c r="AE220" s="21" t="s">
        <v>1169</v>
      </c>
      <c r="AF220" s="21" t="s">
        <v>1163</v>
      </c>
      <c r="AG220" s="21">
        <v>801772794</v>
      </c>
      <c r="AH220" s="21" t="s">
        <v>1161</v>
      </c>
      <c r="AI220" s="21" t="s">
        <v>492</v>
      </c>
      <c r="AJ220" s="21"/>
      <c r="AK220" s="28" t="s">
        <v>447</v>
      </c>
      <c r="AL220" s="21" t="s">
        <v>463</v>
      </c>
      <c r="AM220" s="21" t="s">
        <v>1944</v>
      </c>
      <c r="AN220" s="21" t="s">
        <v>1941</v>
      </c>
      <c r="AO220" s="23">
        <v>46281</v>
      </c>
      <c r="AP220" s="21">
        <v>1</v>
      </c>
      <c r="AQ220" s="21" t="s">
        <v>1876</v>
      </c>
      <c r="AR220" s="21" t="s">
        <v>223</v>
      </c>
      <c r="AS220" s="21" t="s">
        <v>1914</v>
      </c>
      <c r="AT220" s="24"/>
    </row>
    <row r="221" spans="1:46" x14ac:dyDescent="0.25">
      <c r="A221" s="20" t="s">
        <v>1271</v>
      </c>
      <c r="B221" s="21" t="s">
        <v>1391</v>
      </c>
      <c r="C221" s="1" t="s">
        <v>83</v>
      </c>
      <c r="D221" s="21">
        <v>21</v>
      </c>
      <c r="E221" s="21" t="s">
        <v>1511</v>
      </c>
      <c r="F221" s="21" t="s">
        <v>77</v>
      </c>
      <c r="G221" s="22">
        <f>Table1[[#This Row],[ENR]]-Table1[[#This Row],[CREDIT]]</f>
        <v>3284.0500000000029</v>
      </c>
      <c r="H221" s="21">
        <v>70000</v>
      </c>
      <c r="I221" s="35">
        <v>73284.05</v>
      </c>
      <c r="J221" s="22">
        <v>17916.830000000002</v>
      </c>
      <c r="K221" s="22">
        <v>55367.22</v>
      </c>
      <c r="L221" s="22">
        <v>48772.22</v>
      </c>
      <c r="M221" s="21">
        <v>21490</v>
      </c>
      <c r="N221" s="22">
        <v>10120</v>
      </c>
      <c r="O221" s="1" t="s">
        <v>41</v>
      </c>
      <c r="P221" s="1" t="s">
        <v>42</v>
      </c>
      <c r="Q221" s="15">
        <v>0</v>
      </c>
      <c r="R221" s="22">
        <f>Table1[[#This Row],[STAB]]-Table1[[#This Row],[AMOUNT]]</f>
        <v>10120</v>
      </c>
      <c r="S221" s="1">
        <v>0</v>
      </c>
      <c r="T221" s="1" t="s">
        <v>79</v>
      </c>
      <c r="U221" s="1">
        <v>0</v>
      </c>
      <c r="V221" s="1" t="s">
        <v>267</v>
      </c>
      <c r="W221" s="1" t="s">
        <v>107</v>
      </c>
      <c r="X221" s="1" t="s">
        <v>200</v>
      </c>
      <c r="Y221" s="21" t="s">
        <v>2111</v>
      </c>
      <c r="Z221" s="21" t="s">
        <v>1633</v>
      </c>
      <c r="AA221" s="21" t="s">
        <v>1753</v>
      </c>
      <c r="AB221" s="21" t="s">
        <v>103</v>
      </c>
      <c r="AC221" s="21" t="s">
        <v>93</v>
      </c>
      <c r="AD221" s="21" t="s">
        <v>102</v>
      </c>
      <c r="AE221" s="21" t="s">
        <v>201</v>
      </c>
      <c r="AF221" s="21" t="s">
        <v>137</v>
      </c>
      <c r="AG221" s="21">
        <v>845041675</v>
      </c>
      <c r="AH221" s="21" t="s">
        <v>130</v>
      </c>
      <c r="AI221" s="21" t="s">
        <v>492</v>
      </c>
      <c r="AJ221" s="21"/>
      <c r="AK221" s="28" t="s">
        <v>447</v>
      </c>
      <c r="AL221" s="21" t="s">
        <v>458</v>
      </c>
      <c r="AM221" s="21" t="s">
        <v>1968</v>
      </c>
      <c r="AN221" s="21" t="s">
        <v>1949</v>
      </c>
      <c r="AO221" s="23">
        <v>45530</v>
      </c>
      <c r="AP221" s="21">
        <v>970</v>
      </c>
      <c r="AQ221" s="21" t="s">
        <v>1877</v>
      </c>
      <c r="AR221" s="21" t="s">
        <v>223</v>
      </c>
      <c r="AS221" s="21" t="s">
        <v>1914</v>
      </c>
      <c r="AT221" s="24"/>
    </row>
    <row r="222" spans="1:46" x14ac:dyDescent="0.25">
      <c r="A222" s="20" t="s">
        <v>154</v>
      </c>
      <c r="B222" s="21" t="s">
        <v>160</v>
      </c>
      <c r="C222" s="1" t="s">
        <v>47</v>
      </c>
      <c r="D222" s="21">
        <v>21</v>
      </c>
      <c r="E222" s="21" t="s">
        <v>1512</v>
      </c>
      <c r="F222" s="21" t="s">
        <v>77</v>
      </c>
      <c r="G222" s="22">
        <f>Table1[[#This Row],[ENR]]-Table1[[#This Row],[CREDIT]]</f>
        <v>-17102.339999999997</v>
      </c>
      <c r="H222" s="21">
        <v>60000</v>
      </c>
      <c r="I222" s="35">
        <v>42897.66</v>
      </c>
      <c r="J222" s="22" t="s">
        <v>78</v>
      </c>
      <c r="K222" s="22">
        <v>42897.66</v>
      </c>
      <c r="L222" s="22">
        <v>36899.47</v>
      </c>
      <c r="M222" s="21">
        <v>8280</v>
      </c>
      <c r="N222" s="22">
        <v>3480</v>
      </c>
      <c r="O222" s="1" t="s">
        <v>49</v>
      </c>
      <c r="P222" s="1" t="s">
        <v>12</v>
      </c>
      <c r="Q222" s="15">
        <v>8280</v>
      </c>
      <c r="R222" s="22">
        <f>Table1[[#This Row],[STAB]]-Table1[[#This Row],[AMOUNT]]</f>
        <v>-4800</v>
      </c>
      <c r="S222" s="1">
        <v>0</v>
      </c>
      <c r="T222" s="1" t="s">
        <v>79</v>
      </c>
      <c r="U222" s="1">
        <v>0</v>
      </c>
      <c r="V222" s="1" t="s">
        <v>267</v>
      </c>
      <c r="W222" s="1" t="s">
        <v>266</v>
      </c>
      <c r="X222" s="1" t="s">
        <v>268</v>
      </c>
      <c r="Y222" s="21" t="s">
        <v>2111</v>
      </c>
      <c r="Z222" s="21" t="s">
        <v>166</v>
      </c>
      <c r="AA222" s="21" t="s">
        <v>1754</v>
      </c>
      <c r="AB222" s="21" t="s">
        <v>150</v>
      </c>
      <c r="AC222" s="21" t="s">
        <v>91</v>
      </c>
      <c r="AD222" s="21" t="s">
        <v>1918</v>
      </c>
      <c r="AE222" s="21" t="s">
        <v>1921</v>
      </c>
      <c r="AF222" s="21" t="s">
        <v>563</v>
      </c>
      <c r="AG222" s="21">
        <v>802794852</v>
      </c>
      <c r="AH222" s="21" t="s">
        <v>130</v>
      </c>
      <c r="AI222" s="21" t="s">
        <v>492</v>
      </c>
      <c r="AJ222" s="21"/>
      <c r="AK222" s="28" t="s">
        <v>447</v>
      </c>
      <c r="AL222" s="21"/>
      <c r="AM222" s="21"/>
      <c r="AN222" s="21"/>
      <c r="AO222" s="23">
        <v>45812</v>
      </c>
      <c r="AP222" s="21">
        <v>60000</v>
      </c>
      <c r="AQ222" s="21" t="s">
        <v>1878</v>
      </c>
      <c r="AR222" s="21" t="s">
        <v>223</v>
      </c>
      <c r="AS222" s="21" t="s">
        <v>1914</v>
      </c>
      <c r="AT222" s="24"/>
    </row>
    <row r="223" spans="1:46" x14ac:dyDescent="0.25">
      <c r="A223" s="20" t="s">
        <v>1272</v>
      </c>
      <c r="B223" s="21" t="s">
        <v>1392</v>
      </c>
      <c r="C223" s="1" t="s">
        <v>47</v>
      </c>
      <c r="D223" s="21">
        <v>21</v>
      </c>
      <c r="E223" s="21" t="s">
        <v>1513</v>
      </c>
      <c r="F223" s="21" t="s">
        <v>77</v>
      </c>
      <c r="G223" s="22">
        <f>Table1[[#This Row],[ENR]]-Table1[[#This Row],[CREDIT]]</f>
        <v>2038.989999999998</v>
      </c>
      <c r="H223" s="21">
        <v>50000</v>
      </c>
      <c r="I223" s="35">
        <v>52038.99</v>
      </c>
      <c r="J223" s="22" t="s">
        <v>78</v>
      </c>
      <c r="K223" s="22">
        <v>52038.99</v>
      </c>
      <c r="L223" s="22">
        <v>47500</v>
      </c>
      <c r="M223" s="21">
        <v>11120</v>
      </c>
      <c r="N223" s="22">
        <v>2380</v>
      </c>
      <c r="O223" s="1" t="s">
        <v>41</v>
      </c>
      <c r="P223" s="1" t="s">
        <v>42</v>
      </c>
      <c r="Q223" s="15">
        <v>0</v>
      </c>
      <c r="R223" s="22">
        <f>Table1[[#This Row],[STAB]]-Table1[[#This Row],[AMOUNT]]</f>
        <v>2380</v>
      </c>
      <c r="S223" s="1">
        <v>0</v>
      </c>
      <c r="T223" s="1" t="s">
        <v>79</v>
      </c>
      <c r="U223" s="1">
        <v>0</v>
      </c>
      <c r="V223" s="1" t="s">
        <v>267</v>
      </c>
      <c r="W223" s="1" t="s">
        <v>645</v>
      </c>
      <c r="X223" s="1" t="s">
        <v>646</v>
      </c>
      <c r="Y223" s="21" t="s">
        <v>2110</v>
      </c>
      <c r="Z223" s="21" t="s">
        <v>1634</v>
      </c>
      <c r="AA223" s="21" t="s">
        <v>1755</v>
      </c>
      <c r="AB223" s="21" t="s">
        <v>104</v>
      </c>
      <c r="AC223" s="21" t="s">
        <v>258</v>
      </c>
      <c r="AD223" s="21" t="s">
        <v>461</v>
      </c>
      <c r="AE223" s="21" t="s">
        <v>1168</v>
      </c>
      <c r="AF223" s="21" t="s">
        <v>133</v>
      </c>
      <c r="AG223" s="21">
        <v>802913252</v>
      </c>
      <c r="AH223" s="21" t="s">
        <v>130</v>
      </c>
      <c r="AI223" s="21" t="s">
        <v>492</v>
      </c>
      <c r="AJ223" s="21"/>
      <c r="AK223" s="28" t="s">
        <v>43</v>
      </c>
      <c r="AL223" s="21"/>
      <c r="AM223" s="21"/>
      <c r="AN223" s="21"/>
      <c r="AO223" s="23">
        <v>45442</v>
      </c>
      <c r="AP223" s="21">
        <v>49800</v>
      </c>
      <c r="AQ223" s="21" t="s">
        <v>1879</v>
      </c>
      <c r="AR223" s="21" t="s">
        <v>1910</v>
      </c>
      <c r="AS223" s="21" t="s">
        <v>1914</v>
      </c>
      <c r="AT223" s="24"/>
    </row>
    <row r="224" spans="1:46" x14ac:dyDescent="0.25">
      <c r="A224" s="20" t="s">
        <v>1273</v>
      </c>
      <c r="B224" s="21" t="s">
        <v>1393</v>
      </c>
      <c r="C224" s="1" t="s">
        <v>83</v>
      </c>
      <c r="D224" s="21">
        <v>21</v>
      </c>
      <c r="E224" s="21" t="s">
        <v>1514</v>
      </c>
      <c r="F224" s="21" t="s">
        <v>77</v>
      </c>
      <c r="G224" s="22">
        <f>Table1[[#This Row],[ENR]]-Table1[[#This Row],[CREDIT]]</f>
        <v>4191.5499999999884</v>
      </c>
      <c r="H224" s="21">
        <v>200000</v>
      </c>
      <c r="I224" s="35">
        <v>204191.55</v>
      </c>
      <c r="J224" s="22" t="s">
        <v>78</v>
      </c>
      <c r="K224" s="22">
        <v>204191.55</v>
      </c>
      <c r="L224" s="22">
        <v>193903.61</v>
      </c>
      <c r="M224" s="21">
        <v>48390</v>
      </c>
      <c r="N224" s="22">
        <v>33120</v>
      </c>
      <c r="O224" s="1" t="s">
        <v>41</v>
      </c>
      <c r="P224" s="1" t="s">
        <v>42</v>
      </c>
      <c r="Q224" s="15">
        <v>0</v>
      </c>
      <c r="R224" s="22">
        <f>Table1[[#This Row],[STAB]]-Table1[[#This Row],[AMOUNT]]</f>
        <v>33120</v>
      </c>
      <c r="S224" s="1">
        <v>0</v>
      </c>
      <c r="T224" s="1" t="s">
        <v>79</v>
      </c>
      <c r="U224" s="1">
        <v>0</v>
      </c>
      <c r="V224" s="1" t="s">
        <v>267</v>
      </c>
      <c r="W224" s="1" t="s">
        <v>107</v>
      </c>
      <c r="X224" s="1" t="s">
        <v>200</v>
      </c>
      <c r="Y224" s="21" t="s">
        <v>2111</v>
      </c>
      <c r="Z224" s="21" t="s">
        <v>1635</v>
      </c>
      <c r="AA224" s="21" t="s">
        <v>1756</v>
      </c>
      <c r="AB224" s="21" t="s">
        <v>103</v>
      </c>
      <c r="AC224" s="21" t="s">
        <v>93</v>
      </c>
      <c r="AD224" s="21" t="s">
        <v>102</v>
      </c>
      <c r="AE224" s="21" t="s">
        <v>201</v>
      </c>
      <c r="AF224" s="21" t="s">
        <v>137</v>
      </c>
      <c r="AG224" s="21">
        <v>845041675</v>
      </c>
      <c r="AH224" s="21" t="s">
        <v>130</v>
      </c>
      <c r="AI224" s="21" t="s">
        <v>492</v>
      </c>
      <c r="AJ224" s="21"/>
      <c r="AK224" s="28" t="s">
        <v>43</v>
      </c>
      <c r="AL224" s="21"/>
      <c r="AM224" s="21"/>
      <c r="AN224" s="21"/>
      <c r="AO224" s="23">
        <v>45656</v>
      </c>
      <c r="AP224" s="21">
        <v>60154</v>
      </c>
      <c r="AQ224" s="21" t="s">
        <v>1880</v>
      </c>
      <c r="AR224" s="21" t="s">
        <v>644</v>
      </c>
      <c r="AS224" s="21" t="s">
        <v>1914</v>
      </c>
      <c r="AT224" s="24"/>
    </row>
    <row r="225" spans="1:46" x14ac:dyDescent="0.25">
      <c r="A225" s="20" t="s">
        <v>1274</v>
      </c>
      <c r="B225" s="21" t="s">
        <v>1394</v>
      </c>
      <c r="C225" s="1" t="s">
        <v>47</v>
      </c>
      <c r="D225" s="21">
        <v>21</v>
      </c>
      <c r="E225" s="21" t="s">
        <v>1515</v>
      </c>
      <c r="F225" s="21" t="s">
        <v>527</v>
      </c>
      <c r="G225" s="22">
        <f>Table1[[#This Row],[ENR]]-Table1[[#This Row],[CREDIT]]</f>
        <v>-58368.800000000003</v>
      </c>
      <c r="H225" s="21">
        <v>100000</v>
      </c>
      <c r="I225" s="35">
        <v>41631.199999999997</v>
      </c>
      <c r="J225" s="22" t="s">
        <v>78</v>
      </c>
      <c r="K225" s="22">
        <v>41631.199999999997</v>
      </c>
      <c r="L225" s="22">
        <v>39268.85</v>
      </c>
      <c r="M225" s="21">
        <v>6230</v>
      </c>
      <c r="N225" s="22">
        <v>4000</v>
      </c>
      <c r="O225" s="1" t="s">
        <v>41</v>
      </c>
      <c r="P225" s="1" t="s">
        <v>42</v>
      </c>
      <c r="Q225" s="15">
        <v>0</v>
      </c>
      <c r="R225" s="22">
        <f>Table1[[#This Row],[STAB]]-Table1[[#This Row],[AMOUNT]]</f>
        <v>4000</v>
      </c>
      <c r="S225" s="1">
        <v>0</v>
      </c>
      <c r="T225" s="1" t="s">
        <v>79</v>
      </c>
      <c r="U225" s="1">
        <v>0</v>
      </c>
      <c r="V225" s="1" t="s">
        <v>267</v>
      </c>
      <c r="W225" s="1" t="s">
        <v>265</v>
      </c>
      <c r="X225" s="1" t="s">
        <v>269</v>
      </c>
      <c r="Y225" s="21" t="s">
        <v>2111</v>
      </c>
      <c r="Z225" s="21" t="s">
        <v>1636</v>
      </c>
      <c r="AA225" s="21" t="s">
        <v>1757</v>
      </c>
      <c r="AB225" s="21" t="s">
        <v>70</v>
      </c>
      <c r="AC225" s="21" t="s">
        <v>91</v>
      </c>
      <c r="AD225" s="21" t="s">
        <v>51</v>
      </c>
      <c r="AE225" s="21" t="s">
        <v>189</v>
      </c>
      <c r="AF225" s="21" t="s">
        <v>136</v>
      </c>
      <c r="AG225" s="21">
        <v>801772792</v>
      </c>
      <c r="AH225" s="21" t="s">
        <v>132</v>
      </c>
      <c r="AI225" s="21" t="s">
        <v>492</v>
      </c>
      <c r="AJ225" s="21"/>
      <c r="AK225" s="28" t="s">
        <v>43</v>
      </c>
      <c r="AL225" s="21"/>
      <c r="AM225" s="21"/>
      <c r="AN225" s="21"/>
      <c r="AO225" s="23" t="s">
        <v>78</v>
      </c>
      <c r="AP225" s="21">
        <v>0</v>
      </c>
      <c r="AQ225" s="21" t="s">
        <v>1881</v>
      </c>
      <c r="AR225" s="21" t="s">
        <v>1910</v>
      </c>
      <c r="AS225" s="21" t="s">
        <v>1914</v>
      </c>
      <c r="AT225" s="24"/>
    </row>
    <row r="226" spans="1:46" x14ac:dyDescent="0.25">
      <c r="A226" s="20" t="s">
        <v>1275</v>
      </c>
      <c r="B226" s="21" t="s">
        <v>1395</v>
      </c>
      <c r="C226" s="1" t="s">
        <v>47</v>
      </c>
      <c r="D226" s="21">
        <v>21</v>
      </c>
      <c r="E226" s="21" t="s">
        <v>1516</v>
      </c>
      <c r="F226" s="21" t="s">
        <v>77</v>
      </c>
      <c r="G226" s="22">
        <f>Table1[[#This Row],[ENR]]-Table1[[#This Row],[CREDIT]]</f>
        <v>-56800.79</v>
      </c>
      <c r="H226" s="21">
        <v>82000</v>
      </c>
      <c r="I226" s="35">
        <v>25199.21</v>
      </c>
      <c r="J226" s="22">
        <v>15315.56</v>
      </c>
      <c r="K226" s="22">
        <v>9883.65</v>
      </c>
      <c r="L226" s="22">
        <v>7488.44</v>
      </c>
      <c r="M226" s="21">
        <v>9883.65</v>
      </c>
      <c r="N226" s="22">
        <v>590</v>
      </c>
      <c r="O226" s="1" t="s">
        <v>41</v>
      </c>
      <c r="P226" s="1" t="s">
        <v>42</v>
      </c>
      <c r="Q226" s="15">
        <v>0</v>
      </c>
      <c r="R226" s="22">
        <f>Table1[[#This Row],[STAB]]-Table1[[#This Row],[AMOUNT]]</f>
        <v>590</v>
      </c>
      <c r="S226" s="1">
        <v>0</v>
      </c>
      <c r="T226" s="1" t="s">
        <v>79</v>
      </c>
      <c r="U226" s="1">
        <v>0</v>
      </c>
      <c r="V226" s="1" t="s">
        <v>267</v>
      </c>
      <c r="W226" s="1" t="s">
        <v>645</v>
      </c>
      <c r="X226" s="1" t="s">
        <v>646</v>
      </c>
      <c r="Y226" s="21" t="s">
        <v>2111</v>
      </c>
      <c r="Z226" s="21" t="s">
        <v>1637</v>
      </c>
      <c r="AA226" s="21" t="s">
        <v>1758</v>
      </c>
      <c r="AB226" s="21" t="s">
        <v>1105</v>
      </c>
      <c r="AC226" s="21" t="s">
        <v>92</v>
      </c>
      <c r="AD226" s="21" t="s">
        <v>1158</v>
      </c>
      <c r="AE226" s="21" t="s">
        <v>1167</v>
      </c>
      <c r="AF226" s="21" t="s">
        <v>491</v>
      </c>
      <c r="AG226" s="21">
        <v>802663436</v>
      </c>
      <c r="AH226" s="21" t="s">
        <v>132</v>
      </c>
      <c r="AI226" s="21" t="s">
        <v>492</v>
      </c>
      <c r="AJ226" s="21"/>
      <c r="AK226" s="28" t="s">
        <v>43</v>
      </c>
      <c r="AL226" s="21"/>
      <c r="AM226" s="21"/>
      <c r="AN226" s="21"/>
      <c r="AO226" s="23" t="s">
        <v>78</v>
      </c>
      <c r="AP226" s="21">
        <v>0</v>
      </c>
      <c r="AQ226" s="21" t="s">
        <v>1882</v>
      </c>
      <c r="AR226" s="21" t="s">
        <v>1910</v>
      </c>
      <c r="AS226" s="21" t="s">
        <v>1914</v>
      </c>
      <c r="AT226" s="24"/>
    </row>
    <row r="227" spans="1:46" x14ac:dyDescent="0.25">
      <c r="A227" s="20" t="s">
        <v>1276</v>
      </c>
      <c r="B227" s="21" t="s">
        <v>1396</v>
      </c>
      <c r="C227" s="1" t="s">
        <v>47</v>
      </c>
      <c r="D227" s="21">
        <v>21</v>
      </c>
      <c r="E227" s="21" t="s">
        <v>1517</v>
      </c>
      <c r="F227" s="21" t="s">
        <v>77</v>
      </c>
      <c r="G227" s="22">
        <f>Table1[[#This Row],[ENR]]-Table1[[#This Row],[CREDIT]]</f>
        <v>360096.31999999995</v>
      </c>
      <c r="H227" s="21">
        <v>320000</v>
      </c>
      <c r="I227" s="35">
        <v>680096.32</v>
      </c>
      <c r="J227" s="22">
        <v>329233.3</v>
      </c>
      <c r="K227" s="22">
        <v>350863.02</v>
      </c>
      <c r="L227" s="22">
        <v>332577.09000000003</v>
      </c>
      <c r="M227" s="21">
        <v>94010</v>
      </c>
      <c r="N227" s="22">
        <v>25920</v>
      </c>
      <c r="O227" s="1" t="s">
        <v>49</v>
      </c>
      <c r="P227" s="1" t="s">
        <v>12</v>
      </c>
      <c r="Q227" s="15">
        <v>199000</v>
      </c>
      <c r="R227" s="22">
        <f>Table1[[#This Row],[STAB]]-Table1[[#This Row],[AMOUNT]]</f>
        <v>-173080</v>
      </c>
      <c r="S227" s="1">
        <v>0</v>
      </c>
      <c r="T227" s="1" t="s">
        <v>79</v>
      </c>
      <c r="U227" s="1">
        <v>0</v>
      </c>
      <c r="V227" s="1" t="s">
        <v>267</v>
      </c>
      <c r="W227" s="1" t="s">
        <v>645</v>
      </c>
      <c r="X227" s="1" t="s">
        <v>646</v>
      </c>
      <c r="Y227" s="21" t="s">
        <v>2111</v>
      </c>
      <c r="Z227" s="21" t="s">
        <v>1638</v>
      </c>
      <c r="AA227" s="21" t="s">
        <v>1759</v>
      </c>
      <c r="AB227" s="21" t="s">
        <v>1105</v>
      </c>
      <c r="AC227" s="21" t="s">
        <v>92</v>
      </c>
      <c r="AD227" s="21" t="s">
        <v>1915</v>
      </c>
      <c r="AE227" s="21"/>
      <c r="AF227" s="21" t="s">
        <v>491</v>
      </c>
      <c r="AG227" s="21">
        <v>802663436</v>
      </c>
      <c r="AH227" s="21" t="s">
        <v>132</v>
      </c>
      <c r="AI227" s="21" t="s">
        <v>492</v>
      </c>
      <c r="AJ227" s="21"/>
      <c r="AK227" s="28" t="s">
        <v>447</v>
      </c>
      <c r="AL227" s="21"/>
      <c r="AM227" s="21"/>
      <c r="AN227" s="21"/>
      <c r="AO227" s="23">
        <v>45474</v>
      </c>
      <c r="AP227" s="21">
        <v>169309.8</v>
      </c>
      <c r="AQ227" s="21" t="s">
        <v>1883</v>
      </c>
      <c r="AR227" s="21" t="s">
        <v>1910</v>
      </c>
      <c r="AS227" s="21" t="s">
        <v>1914</v>
      </c>
      <c r="AT227" s="24"/>
    </row>
    <row r="228" spans="1:46" x14ac:dyDescent="0.25">
      <c r="A228" s="20" t="s">
        <v>1277</v>
      </c>
      <c r="B228" s="21" t="s">
        <v>1397</v>
      </c>
      <c r="C228" s="1" t="s">
        <v>47</v>
      </c>
      <c r="D228" s="21">
        <v>21</v>
      </c>
      <c r="E228" s="21" t="s">
        <v>1518</v>
      </c>
      <c r="F228" s="21" t="s">
        <v>77</v>
      </c>
      <c r="G228" s="22">
        <f>Table1[[#This Row],[ENR]]-Table1[[#This Row],[CREDIT]]</f>
        <v>-176669.97</v>
      </c>
      <c r="H228" s="21">
        <v>270000</v>
      </c>
      <c r="I228" s="35">
        <v>93330.03</v>
      </c>
      <c r="J228" s="22">
        <v>57276.21</v>
      </c>
      <c r="K228" s="22">
        <v>36053.82</v>
      </c>
      <c r="L228" s="22">
        <v>32052.54</v>
      </c>
      <c r="M228" s="21">
        <v>36053.82</v>
      </c>
      <c r="N228" s="22">
        <v>15613.06</v>
      </c>
      <c r="O228" s="1" t="s">
        <v>41</v>
      </c>
      <c r="P228" s="1" t="s">
        <v>42</v>
      </c>
      <c r="Q228" s="15">
        <v>0</v>
      </c>
      <c r="R228" s="22">
        <f>Table1[[#This Row],[STAB]]-Table1[[#This Row],[AMOUNT]]</f>
        <v>15613.06</v>
      </c>
      <c r="S228" s="1">
        <v>0</v>
      </c>
      <c r="T228" s="1" t="s">
        <v>79</v>
      </c>
      <c r="U228" s="1">
        <v>0</v>
      </c>
      <c r="V228" s="1" t="s">
        <v>267</v>
      </c>
      <c r="W228" s="1" t="s">
        <v>265</v>
      </c>
      <c r="X228" s="1" t="s">
        <v>269</v>
      </c>
      <c r="Y228" s="21" t="s">
        <v>2111</v>
      </c>
      <c r="Z228" s="21" t="s">
        <v>1639</v>
      </c>
      <c r="AA228" s="21" t="s">
        <v>1760</v>
      </c>
      <c r="AB228" s="21" t="s">
        <v>1104</v>
      </c>
      <c r="AC228" s="21" t="s">
        <v>91</v>
      </c>
      <c r="AD228" s="21" t="s">
        <v>86</v>
      </c>
      <c r="AE228" s="21" t="s">
        <v>1166</v>
      </c>
      <c r="AF228" s="21" t="s">
        <v>1162</v>
      </c>
      <c r="AG228" s="21">
        <v>802370852</v>
      </c>
      <c r="AH228" s="21" t="s">
        <v>132</v>
      </c>
      <c r="AI228" s="21" t="s">
        <v>492</v>
      </c>
      <c r="AJ228" s="21"/>
      <c r="AK228" s="28" t="s">
        <v>43</v>
      </c>
      <c r="AL228" s="21"/>
      <c r="AM228" s="21"/>
      <c r="AN228" s="21"/>
      <c r="AO228" s="23">
        <v>45488</v>
      </c>
      <c r="AP228" s="21">
        <v>50000</v>
      </c>
      <c r="AQ228" s="21" t="s">
        <v>1884</v>
      </c>
      <c r="AR228" s="21" t="s">
        <v>1910</v>
      </c>
      <c r="AS228" s="21" t="s">
        <v>1914</v>
      </c>
      <c r="AT228" s="24"/>
    </row>
    <row r="229" spans="1:46" x14ac:dyDescent="0.25">
      <c r="A229" s="20" t="s">
        <v>1278</v>
      </c>
      <c r="B229" s="21" t="s">
        <v>1398</v>
      </c>
      <c r="C229" s="1" t="s">
        <v>83</v>
      </c>
      <c r="D229" s="21">
        <v>21</v>
      </c>
      <c r="E229" s="21" t="s">
        <v>1519</v>
      </c>
      <c r="F229" s="21" t="s">
        <v>77</v>
      </c>
      <c r="G229" s="22">
        <f>Table1[[#This Row],[ENR]]-Table1[[#This Row],[CREDIT]]</f>
        <v>296433.14</v>
      </c>
      <c r="H229" s="21">
        <v>210000</v>
      </c>
      <c r="I229" s="35">
        <v>506433.14</v>
      </c>
      <c r="J229" s="22">
        <v>359801.03</v>
      </c>
      <c r="K229" s="22">
        <v>146632.10999999999</v>
      </c>
      <c r="L229" s="22">
        <v>136325.68</v>
      </c>
      <c r="M229" s="21">
        <v>68450</v>
      </c>
      <c r="N229" s="22">
        <v>33720</v>
      </c>
      <c r="O229" s="1" t="s">
        <v>41</v>
      </c>
      <c r="P229" s="1" t="s">
        <v>42</v>
      </c>
      <c r="Q229" s="15">
        <v>0</v>
      </c>
      <c r="R229" s="22">
        <f>Table1[[#This Row],[STAB]]-Table1[[#This Row],[AMOUNT]]</f>
        <v>33720</v>
      </c>
      <c r="S229" s="1">
        <v>0</v>
      </c>
      <c r="T229" s="1" t="s">
        <v>79</v>
      </c>
      <c r="U229" s="1">
        <v>0</v>
      </c>
      <c r="V229" s="1" t="s">
        <v>267</v>
      </c>
      <c r="W229" s="1" t="s">
        <v>265</v>
      </c>
      <c r="X229" s="1" t="s">
        <v>269</v>
      </c>
      <c r="Y229" s="21" t="s">
        <v>2111</v>
      </c>
      <c r="Z229" s="21" t="s">
        <v>1640</v>
      </c>
      <c r="AA229" s="21" t="s">
        <v>1761</v>
      </c>
      <c r="AB229" s="21" t="s">
        <v>70</v>
      </c>
      <c r="AC229" s="21" t="s">
        <v>91</v>
      </c>
      <c r="AD229" s="21" t="s">
        <v>51</v>
      </c>
      <c r="AE229" s="21" t="s">
        <v>189</v>
      </c>
      <c r="AF229" s="21" t="s">
        <v>136</v>
      </c>
      <c r="AG229" s="21">
        <v>801772792</v>
      </c>
      <c r="AH229" s="21" t="s">
        <v>132</v>
      </c>
      <c r="AI229" s="21" t="s">
        <v>492</v>
      </c>
      <c r="AJ229" s="21"/>
      <c r="AK229" s="28" t="s">
        <v>447</v>
      </c>
      <c r="AL229" s="21" t="s">
        <v>463</v>
      </c>
      <c r="AM229" s="21" t="s">
        <v>2100</v>
      </c>
      <c r="AN229" s="21" t="s">
        <v>2093</v>
      </c>
      <c r="AO229" s="23">
        <v>46212</v>
      </c>
      <c r="AP229" s="21">
        <v>100000</v>
      </c>
      <c r="AQ229" s="21" t="s">
        <v>1885</v>
      </c>
      <c r="AR229" s="21" t="s">
        <v>1910</v>
      </c>
      <c r="AS229" s="21" t="s">
        <v>1914</v>
      </c>
      <c r="AT229" s="24"/>
    </row>
    <row r="230" spans="1:46" x14ac:dyDescent="0.25">
      <c r="A230" s="20" t="s">
        <v>1279</v>
      </c>
      <c r="B230" s="21" t="s">
        <v>1399</v>
      </c>
      <c r="C230" s="1" t="s">
        <v>83</v>
      </c>
      <c r="D230" s="21">
        <v>21</v>
      </c>
      <c r="E230" s="21" t="s">
        <v>1520</v>
      </c>
      <c r="F230" s="21" t="s">
        <v>77</v>
      </c>
      <c r="G230" s="22">
        <f>Table1[[#This Row],[ENR]]-Table1[[#This Row],[CREDIT]]</f>
        <v>1.8099999999976717</v>
      </c>
      <c r="H230" s="21">
        <v>35000</v>
      </c>
      <c r="I230" s="35">
        <v>35001.81</v>
      </c>
      <c r="J230" s="22" t="s">
        <v>78</v>
      </c>
      <c r="K230" s="22">
        <v>35001.81</v>
      </c>
      <c r="L230" s="22">
        <v>30354</v>
      </c>
      <c r="M230" s="21">
        <v>8990</v>
      </c>
      <c r="N230" s="22">
        <v>4910</v>
      </c>
      <c r="O230" s="1" t="s">
        <v>41</v>
      </c>
      <c r="P230" s="1" t="s">
        <v>42</v>
      </c>
      <c r="Q230" s="15">
        <v>0</v>
      </c>
      <c r="R230" s="22">
        <f>Table1[[#This Row],[STAB]]-Table1[[#This Row],[AMOUNT]]</f>
        <v>4910</v>
      </c>
      <c r="S230" s="1">
        <v>0</v>
      </c>
      <c r="T230" s="1" t="s">
        <v>79</v>
      </c>
      <c r="U230" s="1">
        <v>0</v>
      </c>
      <c r="V230" s="1" t="s">
        <v>267</v>
      </c>
      <c r="W230" s="1" t="s">
        <v>265</v>
      </c>
      <c r="X230" s="1" t="s">
        <v>269</v>
      </c>
      <c r="Y230" s="21" t="s">
        <v>2111</v>
      </c>
      <c r="Z230" s="21" t="s">
        <v>1641</v>
      </c>
      <c r="AA230" s="21" t="s">
        <v>1762</v>
      </c>
      <c r="AB230" s="21" t="s">
        <v>1787</v>
      </c>
      <c r="AC230" s="21" t="s">
        <v>252</v>
      </c>
      <c r="AD230" s="21" t="s">
        <v>1917</v>
      </c>
      <c r="AE230" s="21" t="s">
        <v>1919</v>
      </c>
      <c r="AF230" s="21" t="s">
        <v>151</v>
      </c>
      <c r="AG230" s="21">
        <v>801723195</v>
      </c>
      <c r="AH230" s="21" t="s">
        <v>132</v>
      </c>
      <c r="AI230" s="21" t="s">
        <v>492</v>
      </c>
      <c r="AJ230" s="21"/>
      <c r="AK230" s="28" t="s">
        <v>43</v>
      </c>
      <c r="AL230" s="21"/>
      <c r="AM230" s="21"/>
      <c r="AN230" s="21"/>
      <c r="AO230" s="23">
        <v>45626</v>
      </c>
      <c r="AP230" s="21">
        <v>41534.39</v>
      </c>
      <c r="AQ230" s="21" t="s">
        <v>1886</v>
      </c>
      <c r="AR230" s="21" t="s">
        <v>1910</v>
      </c>
      <c r="AS230" s="21" t="s">
        <v>1914</v>
      </c>
      <c r="AT230" s="24"/>
    </row>
    <row r="231" spans="1:46" x14ac:dyDescent="0.25">
      <c r="A231" s="20" t="s">
        <v>1280</v>
      </c>
      <c r="B231" s="21" t="s">
        <v>1400</v>
      </c>
      <c r="C231" s="1" t="s">
        <v>47</v>
      </c>
      <c r="D231" s="21">
        <v>21</v>
      </c>
      <c r="E231" s="21" t="s">
        <v>1521</v>
      </c>
      <c r="F231" s="21" t="s">
        <v>77</v>
      </c>
      <c r="G231" s="22">
        <f>Table1[[#This Row],[ENR]]-Table1[[#This Row],[CREDIT]]</f>
        <v>-33537.14</v>
      </c>
      <c r="H231" s="21">
        <v>120000</v>
      </c>
      <c r="I231" s="35">
        <v>86462.86</v>
      </c>
      <c r="J231" s="22" t="s">
        <v>78</v>
      </c>
      <c r="K231" s="22">
        <v>86462.86</v>
      </c>
      <c r="L231" s="22">
        <v>79907.259999999995</v>
      </c>
      <c r="M231" s="21">
        <v>14210</v>
      </c>
      <c r="N231" s="22">
        <v>3850</v>
      </c>
      <c r="O231" s="1" t="s">
        <v>41</v>
      </c>
      <c r="P231" s="1" t="s">
        <v>42</v>
      </c>
      <c r="Q231" s="15">
        <v>0</v>
      </c>
      <c r="R231" s="22">
        <f>Table1[[#This Row],[STAB]]-Table1[[#This Row],[AMOUNT]]</f>
        <v>3850</v>
      </c>
      <c r="S231" s="1">
        <v>0</v>
      </c>
      <c r="T231" s="1" t="s">
        <v>79</v>
      </c>
      <c r="U231" s="1">
        <v>0</v>
      </c>
      <c r="V231" s="1" t="s">
        <v>267</v>
      </c>
      <c r="W231" s="1" t="s">
        <v>265</v>
      </c>
      <c r="X231" s="1" t="s">
        <v>269</v>
      </c>
      <c r="Y231" s="21" t="s">
        <v>2111</v>
      </c>
      <c r="Z231" s="21" t="s">
        <v>1642</v>
      </c>
      <c r="AA231" s="21" t="s">
        <v>1763</v>
      </c>
      <c r="AB231" s="21" t="s">
        <v>70</v>
      </c>
      <c r="AC231" s="21" t="s">
        <v>91</v>
      </c>
      <c r="AD231" s="21" t="s">
        <v>51</v>
      </c>
      <c r="AE231" s="21" t="s">
        <v>189</v>
      </c>
      <c r="AF231" s="21" t="s">
        <v>136</v>
      </c>
      <c r="AG231" s="21">
        <v>801772792</v>
      </c>
      <c r="AH231" s="21" t="s">
        <v>132</v>
      </c>
      <c r="AI231" s="21" t="s">
        <v>492</v>
      </c>
      <c r="AJ231" s="21"/>
      <c r="AK231" s="28" t="s">
        <v>447</v>
      </c>
      <c r="AL231" s="21" t="s">
        <v>463</v>
      </c>
      <c r="AM231" s="21" t="s">
        <v>2119</v>
      </c>
      <c r="AN231" s="21" t="s">
        <v>2115</v>
      </c>
      <c r="AO231" s="23">
        <v>45632</v>
      </c>
      <c r="AP231" s="21">
        <v>48000</v>
      </c>
      <c r="AQ231" s="21" t="s">
        <v>1887</v>
      </c>
      <c r="AR231" s="21" t="s">
        <v>1910</v>
      </c>
      <c r="AS231" s="21" t="s">
        <v>1914</v>
      </c>
      <c r="AT231" s="24"/>
    </row>
    <row r="232" spans="1:46" x14ac:dyDescent="0.25">
      <c r="A232" s="20" t="s">
        <v>1281</v>
      </c>
      <c r="B232" s="21" t="s">
        <v>1401</v>
      </c>
      <c r="C232" s="1" t="s">
        <v>83</v>
      </c>
      <c r="D232" s="21">
        <v>21</v>
      </c>
      <c r="E232" s="21" t="s">
        <v>1522</v>
      </c>
      <c r="F232" s="21" t="s">
        <v>77</v>
      </c>
      <c r="G232" s="22">
        <f>Table1[[#This Row],[ENR]]-Table1[[#This Row],[CREDIT]]</f>
        <v>1396.4199999999983</v>
      </c>
      <c r="H232" s="21">
        <v>50000</v>
      </c>
      <c r="I232" s="35">
        <v>51396.42</v>
      </c>
      <c r="J232" s="22">
        <v>14911.33</v>
      </c>
      <c r="K232" s="22">
        <v>36485.089999999997</v>
      </c>
      <c r="L232" s="22">
        <v>33240.269999999997</v>
      </c>
      <c r="M232" s="21">
        <v>17210</v>
      </c>
      <c r="N232" s="22">
        <v>6970</v>
      </c>
      <c r="O232" s="1" t="s">
        <v>41</v>
      </c>
      <c r="P232" s="1" t="s">
        <v>42</v>
      </c>
      <c r="Q232" s="15">
        <v>0</v>
      </c>
      <c r="R232" s="22">
        <f>Table1[[#This Row],[STAB]]-Table1[[#This Row],[AMOUNT]]</f>
        <v>6970</v>
      </c>
      <c r="S232" s="1">
        <v>0</v>
      </c>
      <c r="T232" s="1" t="s">
        <v>79</v>
      </c>
      <c r="U232" s="1">
        <v>0</v>
      </c>
      <c r="V232" s="1" t="s">
        <v>267</v>
      </c>
      <c r="W232" s="1" t="s">
        <v>265</v>
      </c>
      <c r="X232" s="1" t="s">
        <v>269</v>
      </c>
      <c r="Y232" s="21" t="s">
        <v>2111</v>
      </c>
      <c r="Z232" s="21" t="s">
        <v>1643</v>
      </c>
      <c r="AA232" s="21" t="s">
        <v>1764</v>
      </c>
      <c r="AB232" s="21" t="s">
        <v>1787</v>
      </c>
      <c r="AC232" s="21" t="s">
        <v>252</v>
      </c>
      <c r="AD232" s="21" t="s">
        <v>1917</v>
      </c>
      <c r="AE232" s="21" t="s">
        <v>1919</v>
      </c>
      <c r="AF232" s="21" t="s">
        <v>151</v>
      </c>
      <c r="AG232" s="21">
        <v>801723195</v>
      </c>
      <c r="AH232" s="21" t="s">
        <v>132</v>
      </c>
      <c r="AI232" s="21" t="s">
        <v>492</v>
      </c>
      <c r="AJ232" s="21"/>
      <c r="AK232" s="28" t="s">
        <v>43</v>
      </c>
      <c r="AL232" s="21"/>
      <c r="AM232" s="21"/>
      <c r="AN232" s="21"/>
      <c r="AO232" s="23">
        <v>45677</v>
      </c>
      <c r="AP232" s="21">
        <v>47400</v>
      </c>
      <c r="AQ232" s="21" t="s">
        <v>1888</v>
      </c>
      <c r="AR232" s="21" t="s">
        <v>81</v>
      </c>
      <c r="AS232" s="21" t="s">
        <v>1914</v>
      </c>
      <c r="AT232" s="24"/>
    </row>
    <row r="233" spans="1:46" x14ac:dyDescent="0.25">
      <c r="A233" s="20" t="s">
        <v>1282</v>
      </c>
      <c r="B233" s="21" t="s">
        <v>1402</v>
      </c>
      <c r="C233" s="1" t="s">
        <v>83</v>
      </c>
      <c r="D233" s="21">
        <v>21</v>
      </c>
      <c r="E233" s="21" t="s">
        <v>1523</v>
      </c>
      <c r="F233" s="21" t="s">
        <v>77</v>
      </c>
      <c r="G233" s="22">
        <f>Table1[[#This Row],[ENR]]-Table1[[#This Row],[CREDIT]]</f>
        <v>647028.02</v>
      </c>
      <c r="H233" s="21">
        <v>180000</v>
      </c>
      <c r="I233" s="35">
        <v>827028.02</v>
      </c>
      <c r="J233" s="22">
        <v>739041.55</v>
      </c>
      <c r="K233" s="22">
        <v>87986.47</v>
      </c>
      <c r="L233" s="22">
        <v>78463.75</v>
      </c>
      <c r="M233" s="21">
        <v>86230</v>
      </c>
      <c r="N233" s="22">
        <v>42780</v>
      </c>
      <c r="O233" s="1" t="s">
        <v>41</v>
      </c>
      <c r="P233" s="1" t="s">
        <v>42</v>
      </c>
      <c r="Q233" s="15">
        <v>0</v>
      </c>
      <c r="R233" s="22">
        <f>Table1[[#This Row],[STAB]]-Table1[[#This Row],[AMOUNT]]</f>
        <v>42780</v>
      </c>
      <c r="S233" s="1">
        <v>0</v>
      </c>
      <c r="T233" s="1" t="s">
        <v>79</v>
      </c>
      <c r="U233" s="1">
        <v>0</v>
      </c>
      <c r="V233" s="1" t="s">
        <v>267</v>
      </c>
      <c r="W233" s="1" t="s">
        <v>645</v>
      </c>
      <c r="X233" s="1" t="s">
        <v>646</v>
      </c>
      <c r="Y233" s="21" t="s">
        <v>2111</v>
      </c>
      <c r="Z233" s="21" t="s">
        <v>1644</v>
      </c>
      <c r="AA233" s="21" t="s">
        <v>1765</v>
      </c>
      <c r="AB233" s="21" t="s">
        <v>71</v>
      </c>
      <c r="AC233" s="21" t="s">
        <v>92</v>
      </c>
      <c r="AD233" s="21" t="s">
        <v>96</v>
      </c>
      <c r="AE233" s="21"/>
      <c r="AF233" s="21" t="s">
        <v>134</v>
      </c>
      <c r="AG233" s="21">
        <v>801436997</v>
      </c>
      <c r="AH233" s="21" t="s">
        <v>130</v>
      </c>
      <c r="AI233" s="21" t="s">
        <v>492</v>
      </c>
      <c r="AJ233" s="21"/>
      <c r="AK233" s="28" t="s">
        <v>43</v>
      </c>
      <c r="AL233" s="21"/>
      <c r="AM233" s="21"/>
      <c r="AN233" s="21"/>
      <c r="AO233" s="23">
        <v>46194</v>
      </c>
      <c r="AP233" s="21">
        <v>42355</v>
      </c>
      <c r="AQ233" s="21" t="s">
        <v>1889</v>
      </c>
      <c r="AR233" s="21" t="s">
        <v>81</v>
      </c>
      <c r="AS233" s="21" t="s">
        <v>1914</v>
      </c>
      <c r="AT233" s="24"/>
    </row>
    <row r="234" spans="1:46" x14ac:dyDescent="0.25">
      <c r="A234" s="20" t="s">
        <v>1283</v>
      </c>
      <c r="B234" s="21" t="s">
        <v>1403</v>
      </c>
      <c r="C234" s="1" t="s">
        <v>47</v>
      </c>
      <c r="D234" s="21">
        <v>21</v>
      </c>
      <c r="E234" s="21" t="s">
        <v>1524</v>
      </c>
      <c r="F234" s="21" t="s">
        <v>77</v>
      </c>
      <c r="G234" s="22">
        <f>Table1[[#This Row],[ENR]]-Table1[[#This Row],[CREDIT]]</f>
        <v>14422.98000000001</v>
      </c>
      <c r="H234" s="21">
        <v>190000</v>
      </c>
      <c r="I234" s="35">
        <v>204422.98</v>
      </c>
      <c r="J234" s="22">
        <v>13011.52</v>
      </c>
      <c r="K234" s="22">
        <v>191411.46</v>
      </c>
      <c r="L234" s="22">
        <v>180127.71</v>
      </c>
      <c r="M234" s="21">
        <v>60190</v>
      </c>
      <c r="N234" s="22">
        <v>42180</v>
      </c>
      <c r="O234" s="1" t="s">
        <v>41</v>
      </c>
      <c r="P234" s="1" t="s">
        <v>42</v>
      </c>
      <c r="Q234" s="15">
        <v>0</v>
      </c>
      <c r="R234" s="22">
        <f>Table1[[#This Row],[STAB]]-Table1[[#This Row],[AMOUNT]]</f>
        <v>42180</v>
      </c>
      <c r="S234" s="1">
        <v>0</v>
      </c>
      <c r="T234" s="1" t="s">
        <v>79</v>
      </c>
      <c r="U234" s="1">
        <v>0</v>
      </c>
      <c r="V234" s="1" t="s">
        <v>267</v>
      </c>
      <c r="W234" s="1" t="s">
        <v>265</v>
      </c>
      <c r="X234" s="1" t="s">
        <v>269</v>
      </c>
      <c r="Y234" s="21" t="s">
        <v>2111</v>
      </c>
      <c r="Z234" s="21" t="s">
        <v>1645</v>
      </c>
      <c r="AA234" s="21" t="s">
        <v>1766</v>
      </c>
      <c r="AB234" s="21" t="s">
        <v>70</v>
      </c>
      <c r="AC234" s="21" t="s">
        <v>91</v>
      </c>
      <c r="AD234" s="21" t="s">
        <v>51</v>
      </c>
      <c r="AE234" s="21" t="s">
        <v>189</v>
      </c>
      <c r="AF234" s="21" t="s">
        <v>136</v>
      </c>
      <c r="AG234" s="21">
        <v>801772792</v>
      </c>
      <c r="AH234" s="21" t="s">
        <v>132</v>
      </c>
      <c r="AI234" s="21" t="s">
        <v>492</v>
      </c>
      <c r="AJ234" s="21"/>
      <c r="AK234" s="28" t="s">
        <v>43</v>
      </c>
      <c r="AL234" s="21"/>
      <c r="AM234" s="21"/>
      <c r="AN234" s="21"/>
      <c r="AO234" s="23">
        <v>45939</v>
      </c>
      <c r="AP234" s="21">
        <v>191500</v>
      </c>
      <c r="AQ234" s="21" t="s">
        <v>1890</v>
      </c>
      <c r="AR234" s="21" t="s">
        <v>1910</v>
      </c>
      <c r="AS234" s="21" t="s">
        <v>1914</v>
      </c>
      <c r="AT234" s="24"/>
    </row>
    <row r="235" spans="1:46" x14ac:dyDescent="0.25">
      <c r="A235" s="20" t="s">
        <v>1284</v>
      </c>
      <c r="B235" s="21" t="s">
        <v>1404</v>
      </c>
      <c r="C235" s="1" t="s">
        <v>47</v>
      </c>
      <c r="D235" s="21">
        <v>21</v>
      </c>
      <c r="E235" s="21" t="s">
        <v>1525</v>
      </c>
      <c r="F235" s="21" t="s">
        <v>77</v>
      </c>
      <c r="G235" s="22">
        <f>Table1[[#This Row],[ENR]]-Table1[[#This Row],[CREDIT]]</f>
        <v>-10215.779999999999</v>
      </c>
      <c r="H235" s="21">
        <v>80000</v>
      </c>
      <c r="I235" s="35">
        <v>69784.22</v>
      </c>
      <c r="J235" s="22" t="s">
        <v>78</v>
      </c>
      <c r="K235" s="22">
        <v>69784.22</v>
      </c>
      <c r="L235" s="22">
        <v>64711.31</v>
      </c>
      <c r="M235" s="21">
        <v>12510</v>
      </c>
      <c r="N235" s="22">
        <v>7418</v>
      </c>
      <c r="O235" s="1" t="s">
        <v>41</v>
      </c>
      <c r="P235" s="1" t="s">
        <v>42</v>
      </c>
      <c r="Q235" s="15">
        <v>0</v>
      </c>
      <c r="R235" s="22">
        <f>Table1[[#This Row],[STAB]]-Table1[[#This Row],[AMOUNT]]</f>
        <v>7418</v>
      </c>
      <c r="S235" s="1">
        <v>0</v>
      </c>
      <c r="T235" s="1" t="s">
        <v>79</v>
      </c>
      <c r="U235" s="1">
        <v>0</v>
      </c>
      <c r="V235" s="1" t="s">
        <v>267</v>
      </c>
      <c r="W235" s="1" t="s">
        <v>645</v>
      </c>
      <c r="X235" s="1" t="s">
        <v>646</v>
      </c>
      <c r="Y235" s="21" t="s">
        <v>2111</v>
      </c>
      <c r="Z235" s="21" t="s">
        <v>1646</v>
      </c>
      <c r="AA235" s="21" t="s">
        <v>1767</v>
      </c>
      <c r="AB235" s="21" t="s">
        <v>435</v>
      </c>
      <c r="AC235" s="21" t="s">
        <v>443</v>
      </c>
      <c r="AD235" s="21" t="s">
        <v>75</v>
      </c>
      <c r="AE235" s="21" t="s">
        <v>441</v>
      </c>
      <c r="AF235" s="21" t="s">
        <v>442</v>
      </c>
      <c r="AG235" s="21">
        <v>802789320</v>
      </c>
      <c r="AH235" s="21" t="s">
        <v>130</v>
      </c>
      <c r="AI235" s="21" t="s">
        <v>492</v>
      </c>
      <c r="AJ235" s="21"/>
      <c r="AK235" s="28" t="s">
        <v>43</v>
      </c>
      <c r="AL235" s="21"/>
      <c r="AM235" s="21"/>
      <c r="AN235" s="21"/>
      <c r="AO235" s="23">
        <v>46308</v>
      </c>
      <c r="AP235" s="21">
        <v>27282</v>
      </c>
      <c r="AQ235" s="21" t="s">
        <v>1891</v>
      </c>
      <c r="AR235" s="21" t="s">
        <v>1910</v>
      </c>
      <c r="AS235" s="21" t="s">
        <v>1914</v>
      </c>
      <c r="AT235" s="24"/>
    </row>
    <row r="236" spans="1:46" x14ac:dyDescent="0.25">
      <c r="A236" s="20" t="s">
        <v>1285</v>
      </c>
      <c r="B236" s="21" t="s">
        <v>1405</v>
      </c>
      <c r="C236" s="1" t="s">
        <v>47</v>
      </c>
      <c r="D236" s="21">
        <v>21</v>
      </c>
      <c r="E236" s="21" t="s">
        <v>1526</v>
      </c>
      <c r="F236" s="21" t="s">
        <v>77</v>
      </c>
      <c r="G236" s="22">
        <f>Table1[[#This Row],[ENR]]-Table1[[#This Row],[CREDIT]]</f>
        <v>12206.100000000006</v>
      </c>
      <c r="H236" s="21">
        <v>120000</v>
      </c>
      <c r="I236" s="35">
        <v>132206.1</v>
      </c>
      <c r="J236" s="22" t="s">
        <v>78</v>
      </c>
      <c r="K236" s="22">
        <v>132206.1</v>
      </c>
      <c r="L236" s="22">
        <v>119838.71</v>
      </c>
      <c r="M236" s="21">
        <v>31290</v>
      </c>
      <c r="N236" s="22">
        <v>10080</v>
      </c>
      <c r="O236" s="1" t="s">
        <v>41</v>
      </c>
      <c r="P236" s="1" t="s">
        <v>42</v>
      </c>
      <c r="Q236" s="15">
        <v>0</v>
      </c>
      <c r="R236" s="22">
        <f>Table1[[#This Row],[STAB]]-Table1[[#This Row],[AMOUNT]]</f>
        <v>10080</v>
      </c>
      <c r="S236" s="1">
        <v>0</v>
      </c>
      <c r="T236" s="1" t="s">
        <v>79</v>
      </c>
      <c r="U236" s="1">
        <v>0</v>
      </c>
      <c r="V236" s="1" t="s">
        <v>267</v>
      </c>
      <c r="W236" s="1" t="s">
        <v>645</v>
      </c>
      <c r="X236" s="1" t="s">
        <v>646</v>
      </c>
      <c r="Y236" s="21" t="s">
        <v>2110</v>
      </c>
      <c r="Z236" s="21" t="s">
        <v>1647</v>
      </c>
      <c r="AA236" s="21" t="s">
        <v>1768</v>
      </c>
      <c r="AB236" s="21" t="s">
        <v>104</v>
      </c>
      <c r="AC236" s="21" t="s">
        <v>258</v>
      </c>
      <c r="AD236" s="21" t="s">
        <v>461</v>
      </c>
      <c r="AE236" s="21" t="s">
        <v>1168</v>
      </c>
      <c r="AF236" s="21" t="s">
        <v>133</v>
      </c>
      <c r="AG236" s="21">
        <v>802913252</v>
      </c>
      <c r="AH236" s="21" t="s">
        <v>130</v>
      </c>
      <c r="AI236" s="21" t="s">
        <v>492</v>
      </c>
      <c r="AJ236" s="21"/>
      <c r="AK236" s="28" t="s">
        <v>43</v>
      </c>
      <c r="AL236" s="21"/>
      <c r="AM236" s="21"/>
      <c r="AN236" s="21"/>
      <c r="AO236" s="23">
        <v>46192</v>
      </c>
      <c r="AP236" s="21">
        <v>2800</v>
      </c>
      <c r="AQ236" s="21" t="s">
        <v>1892</v>
      </c>
      <c r="AR236" s="21" t="s">
        <v>81</v>
      </c>
      <c r="AS236" s="21" t="s">
        <v>1914</v>
      </c>
      <c r="AT236" s="24"/>
    </row>
    <row r="237" spans="1:46" x14ac:dyDescent="0.25">
      <c r="A237" s="20" t="s">
        <v>1286</v>
      </c>
      <c r="B237" s="21" t="s">
        <v>1406</v>
      </c>
      <c r="C237" s="1" t="s">
        <v>47</v>
      </c>
      <c r="D237" s="21">
        <v>21</v>
      </c>
      <c r="E237" s="21" t="s">
        <v>1527</v>
      </c>
      <c r="F237" s="21" t="s">
        <v>77</v>
      </c>
      <c r="G237" s="22">
        <f>Table1[[#This Row],[ENR]]-Table1[[#This Row],[CREDIT]]</f>
        <v>-20827.339999999997</v>
      </c>
      <c r="H237" s="21">
        <v>113000</v>
      </c>
      <c r="I237" s="35">
        <v>92172.66</v>
      </c>
      <c r="J237" s="22" t="s">
        <v>78</v>
      </c>
      <c r="K237" s="22">
        <v>92172.66</v>
      </c>
      <c r="L237" s="22">
        <v>80431.539999999994</v>
      </c>
      <c r="M237" s="21">
        <v>17220</v>
      </c>
      <c r="N237" s="22">
        <v>8780</v>
      </c>
      <c r="O237" s="1" t="s">
        <v>49</v>
      </c>
      <c r="P237" s="1" t="s">
        <v>12</v>
      </c>
      <c r="Q237" s="15">
        <v>18000</v>
      </c>
      <c r="R237" s="22">
        <f>Table1[[#This Row],[STAB]]-Table1[[#This Row],[AMOUNT]]</f>
        <v>-9220</v>
      </c>
      <c r="S237" s="1" t="s">
        <v>1949</v>
      </c>
      <c r="T237" s="1" t="s">
        <v>446</v>
      </c>
      <c r="U237" s="1">
        <v>0</v>
      </c>
      <c r="V237" s="1" t="s">
        <v>267</v>
      </c>
      <c r="W237" s="1" t="s">
        <v>265</v>
      </c>
      <c r="X237" s="1" t="s">
        <v>269</v>
      </c>
      <c r="Y237" s="21" t="s">
        <v>2111</v>
      </c>
      <c r="Z237" s="21" t="s">
        <v>1648</v>
      </c>
      <c r="AA237" s="21" t="s">
        <v>1769</v>
      </c>
      <c r="AB237" s="21" t="s">
        <v>70</v>
      </c>
      <c r="AC237" s="21" t="s">
        <v>91</v>
      </c>
      <c r="AD237" s="21" t="s">
        <v>51</v>
      </c>
      <c r="AE237" s="21" t="s">
        <v>189</v>
      </c>
      <c r="AF237" s="21" t="s">
        <v>136</v>
      </c>
      <c r="AG237" s="21">
        <v>801772792</v>
      </c>
      <c r="AH237" s="21" t="s">
        <v>132</v>
      </c>
      <c r="AI237" s="21" t="s">
        <v>492</v>
      </c>
      <c r="AJ237" s="21"/>
      <c r="AK237" s="28" t="s">
        <v>447</v>
      </c>
      <c r="AL237" s="21"/>
      <c r="AM237" s="21"/>
      <c r="AN237" s="21"/>
      <c r="AO237" s="23" t="s">
        <v>78</v>
      </c>
      <c r="AP237" s="21">
        <v>0</v>
      </c>
      <c r="AQ237" s="21" t="s">
        <v>1893</v>
      </c>
      <c r="AR237" s="21" t="s">
        <v>1910</v>
      </c>
      <c r="AS237" s="21" t="s">
        <v>1914</v>
      </c>
      <c r="AT237" s="24"/>
    </row>
    <row r="238" spans="1:46" x14ac:dyDescent="0.25">
      <c r="A238" s="20" t="s">
        <v>1287</v>
      </c>
      <c r="B238" s="21" t="s">
        <v>1407</v>
      </c>
      <c r="C238" s="1" t="s">
        <v>83</v>
      </c>
      <c r="D238" s="21">
        <v>21</v>
      </c>
      <c r="E238" s="21" t="s">
        <v>1528</v>
      </c>
      <c r="F238" s="21" t="s">
        <v>77</v>
      </c>
      <c r="G238" s="22">
        <f>Table1[[#This Row],[ENR]]-Table1[[#This Row],[CREDIT]]</f>
        <v>15092.98000000001</v>
      </c>
      <c r="H238" s="21">
        <v>119000</v>
      </c>
      <c r="I238" s="35">
        <v>134092.98000000001</v>
      </c>
      <c r="J238" s="22" t="s">
        <v>78</v>
      </c>
      <c r="K238" s="22">
        <v>134092.98000000001</v>
      </c>
      <c r="L238" s="22">
        <v>118880</v>
      </c>
      <c r="M238" s="21">
        <v>40530</v>
      </c>
      <c r="N238" s="22">
        <v>26350</v>
      </c>
      <c r="O238" s="1" t="s">
        <v>41</v>
      </c>
      <c r="P238" s="1" t="s">
        <v>42</v>
      </c>
      <c r="Q238" s="15">
        <v>0</v>
      </c>
      <c r="R238" s="22">
        <f>Table1[[#This Row],[STAB]]-Table1[[#This Row],[AMOUNT]]</f>
        <v>26350</v>
      </c>
      <c r="S238" s="1">
        <v>0</v>
      </c>
      <c r="T238" s="1" t="s">
        <v>79</v>
      </c>
      <c r="U238" s="1">
        <v>0</v>
      </c>
      <c r="V238" s="1" t="s">
        <v>267</v>
      </c>
      <c r="W238" s="1" t="s">
        <v>266</v>
      </c>
      <c r="X238" s="1" t="s">
        <v>268</v>
      </c>
      <c r="Y238" s="21" t="s">
        <v>2111</v>
      </c>
      <c r="Z238" s="21" t="s">
        <v>1649</v>
      </c>
      <c r="AA238" s="21" t="s">
        <v>1770</v>
      </c>
      <c r="AB238" s="21" t="s">
        <v>105</v>
      </c>
      <c r="AC238" s="21" t="s">
        <v>91</v>
      </c>
      <c r="AD238" s="21" t="s">
        <v>270</v>
      </c>
      <c r="AE238" s="21" t="s">
        <v>271</v>
      </c>
      <c r="AF238" s="21" t="s">
        <v>245</v>
      </c>
      <c r="AG238" s="21">
        <v>802555024</v>
      </c>
      <c r="AH238" s="21" t="s">
        <v>131</v>
      </c>
      <c r="AI238" s="21" t="s">
        <v>492</v>
      </c>
      <c r="AJ238" s="21"/>
      <c r="AK238" s="28" t="s">
        <v>447</v>
      </c>
      <c r="AL238" s="21" t="s">
        <v>458</v>
      </c>
      <c r="AM238" s="21" t="s">
        <v>1975</v>
      </c>
      <c r="AN238" s="21" t="s">
        <v>1956</v>
      </c>
      <c r="AO238" s="23">
        <v>45859</v>
      </c>
      <c r="AP238" s="21">
        <v>130</v>
      </c>
      <c r="AQ238" s="21" t="s">
        <v>1894</v>
      </c>
      <c r="AR238" s="21" t="s">
        <v>1910</v>
      </c>
      <c r="AS238" s="21" t="s">
        <v>1914</v>
      </c>
      <c r="AT238" s="24"/>
    </row>
    <row r="239" spans="1:46" x14ac:dyDescent="0.25">
      <c r="A239" s="20" t="s">
        <v>1288</v>
      </c>
      <c r="B239" s="21" t="s">
        <v>1408</v>
      </c>
      <c r="C239" s="1" t="s">
        <v>47</v>
      </c>
      <c r="D239" s="21">
        <v>21</v>
      </c>
      <c r="E239" s="21" t="s">
        <v>1529</v>
      </c>
      <c r="F239" s="21" t="s">
        <v>77</v>
      </c>
      <c r="G239" s="22">
        <f>Table1[[#This Row],[ENR]]-Table1[[#This Row],[CREDIT]]</f>
        <v>8628.8800000000047</v>
      </c>
      <c r="H239" s="21">
        <v>100000</v>
      </c>
      <c r="I239" s="35">
        <v>108628.88</v>
      </c>
      <c r="J239" s="22">
        <v>3527.44</v>
      </c>
      <c r="K239" s="22">
        <v>105101.44</v>
      </c>
      <c r="L239" s="22">
        <v>91050.43</v>
      </c>
      <c r="M239" s="21">
        <v>27680</v>
      </c>
      <c r="N239" s="22">
        <v>11890</v>
      </c>
      <c r="O239" s="1" t="s">
        <v>41</v>
      </c>
      <c r="P239" s="1" t="s">
        <v>42</v>
      </c>
      <c r="Q239" s="15">
        <v>0</v>
      </c>
      <c r="R239" s="22">
        <f>Table1[[#This Row],[STAB]]-Table1[[#This Row],[AMOUNT]]</f>
        <v>11890</v>
      </c>
      <c r="S239" s="1">
        <v>0</v>
      </c>
      <c r="T239" s="1" t="s">
        <v>79</v>
      </c>
      <c r="U239" s="1">
        <v>0</v>
      </c>
      <c r="V239" s="1" t="s">
        <v>267</v>
      </c>
      <c r="W239" s="1" t="s">
        <v>107</v>
      </c>
      <c r="X239" s="1" t="s">
        <v>200</v>
      </c>
      <c r="Y239" s="21" t="s">
        <v>2111</v>
      </c>
      <c r="Z239" s="21" t="s">
        <v>1650</v>
      </c>
      <c r="AA239" s="21" t="s">
        <v>1771</v>
      </c>
      <c r="AB239" s="21" t="s">
        <v>257</v>
      </c>
      <c r="AC239" s="21" t="s">
        <v>93</v>
      </c>
      <c r="AD239" s="21" t="s">
        <v>108</v>
      </c>
      <c r="AE239" s="21" t="s">
        <v>1173</v>
      </c>
      <c r="AF239" s="21" t="s">
        <v>1164</v>
      </c>
      <c r="AG239" s="21">
        <v>802123413</v>
      </c>
      <c r="AH239" s="21" t="s">
        <v>132</v>
      </c>
      <c r="AI239" s="21" t="s">
        <v>492</v>
      </c>
      <c r="AJ239" s="21"/>
      <c r="AK239" s="28" t="s">
        <v>447</v>
      </c>
      <c r="AL239" s="21" t="s">
        <v>458</v>
      </c>
      <c r="AM239" s="21" t="s">
        <v>2099</v>
      </c>
      <c r="AN239" s="21" t="s">
        <v>2093</v>
      </c>
      <c r="AO239" s="23">
        <v>45478</v>
      </c>
      <c r="AP239" s="21">
        <v>98000</v>
      </c>
      <c r="AQ239" s="21" t="s">
        <v>1895</v>
      </c>
      <c r="AR239" s="21" t="s">
        <v>561</v>
      </c>
      <c r="AS239" s="21" t="s">
        <v>1914</v>
      </c>
      <c r="AT239" s="24"/>
    </row>
    <row r="240" spans="1:46" x14ac:dyDescent="0.25">
      <c r="A240" s="20" t="s">
        <v>1289</v>
      </c>
      <c r="B240" s="21" t="s">
        <v>1409</v>
      </c>
      <c r="C240" s="1" t="s">
        <v>47</v>
      </c>
      <c r="D240" s="21">
        <v>21</v>
      </c>
      <c r="E240" s="21" t="s">
        <v>1530</v>
      </c>
      <c r="F240" s="21" t="s">
        <v>77</v>
      </c>
      <c r="G240" s="22">
        <f>Table1[[#This Row],[ENR]]-Table1[[#This Row],[CREDIT]]</f>
        <v>-14334.279999999999</v>
      </c>
      <c r="H240" s="21">
        <v>49000</v>
      </c>
      <c r="I240" s="35">
        <v>34665.72</v>
      </c>
      <c r="J240" s="22">
        <v>18072.849999999999</v>
      </c>
      <c r="K240" s="22">
        <v>16592.87</v>
      </c>
      <c r="L240" s="22">
        <v>13172.87</v>
      </c>
      <c r="M240" s="21">
        <v>12560</v>
      </c>
      <c r="N240" s="22">
        <v>6070</v>
      </c>
      <c r="O240" s="1" t="s">
        <v>49</v>
      </c>
      <c r="P240" s="1" t="s">
        <v>13</v>
      </c>
      <c r="Q240" s="15">
        <v>6070</v>
      </c>
      <c r="R240" s="22">
        <f>Table1[[#This Row],[STAB]]-Table1[[#This Row],[AMOUNT]]</f>
        <v>0</v>
      </c>
      <c r="S240" s="1">
        <v>0</v>
      </c>
      <c r="T240" s="1" t="s">
        <v>79</v>
      </c>
      <c r="U240" s="1">
        <v>0</v>
      </c>
      <c r="V240" s="1" t="s">
        <v>267</v>
      </c>
      <c r="W240" s="1" t="s">
        <v>107</v>
      </c>
      <c r="X240" s="1" t="s">
        <v>200</v>
      </c>
      <c r="Y240" s="21" t="s">
        <v>2111</v>
      </c>
      <c r="Z240" s="21" t="s">
        <v>1651</v>
      </c>
      <c r="AA240" s="21" t="s">
        <v>1772</v>
      </c>
      <c r="AB240" s="21" t="s">
        <v>138</v>
      </c>
      <c r="AC240" s="21" t="s">
        <v>93</v>
      </c>
      <c r="AD240" s="21" t="s">
        <v>139</v>
      </c>
      <c r="AE240" s="21" t="s">
        <v>202</v>
      </c>
      <c r="AF240" s="21" t="s">
        <v>490</v>
      </c>
      <c r="AG240" s="21">
        <v>802823528</v>
      </c>
      <c r="AH240" s="21" t="s">
        <v>488</v>
      </c>
      <c r="AI240" s="21" t="s">
        <v>492</v>
      </c>
      <c r="AJ240" s="21"/>
      <c r="AK240" s="28" t="s">
        <v>447</v>
      </c>
      <c r="AL240" s="21"/>
      <c r="AM240" s="21"/>
      <c r="AN240" s="21"/>
      <c r="AO240" s="23">
        <v>45266</v>
      </c>
      <c r="AP240" s="21">
        <v>589</v>
      </c>
      <c r="AQ240" s="21" t="s">
        <v>1896</v>
      </c>
      <c r="AR240" s="21" t="s">
        <v>81</v>
      </c>
      <c r="AS240" s="21" t="s">
        <v>1914</v>
      </c>
      <c r="AT240" s="24"/>
    </row>
    <row r="241" spans="1:46" x14ac:dyDescent="0.25">
      <c r="A241" s="20" t="s">
        <v>1290</v>
      </c>
      <c r="B241" s="21" t="s">
        <v>1410</v>
      </c>
      <c r="C241" s="1" t="s">
        <v>47</v>
      </c>
      <c r="D241" s="21">
        <v>21</v>
      </c>
      <c r="E241" s="21" t="s">
        <v>1531</v>
      </c>
      <c r="F241" s="21" t="s">
        <v>77</v>
      </c>
      <c r="G241" s="22">
        <f>Table1[[#This Row],[ENR]]-Table1[[#This Row],[CREDIT]]</f>
        <v>35465.070000000007</v>
      </c>
      <c r="H241" s="21">
        <v>150000</v>
      </c>
      <c r="I241" s="35">
        <v>185465.07</v>
      </c>
      <c r="J241" s="22">
        <v>24106.91</v>
      </c>
      <c r="K241" s="22">
        <v>161358.16</v>
      </c>
      <c r="L241" s="22">
        <v>145973.32999999999</v>
      </c>
      <c r="M241" s="21">
        <v>42000</v>
      </c>
      <c r="N241" s="22">
        <v>12430</v>
      </c>
      <c r="O241" s="1" t="s">
        <v>49</v>
      </c>
      <c r="P241" s="1" t="s">
        <v>12</v>
      </c>
      <c r="Q241" s="15">
        <v>50000</v>
      </c>
      <c r="R241" s="22">
        <f>Table1[[#This Row],[STAB]]-Table1[[#This Row],[AMOUNT]]</f>
        <v>-37570</v>
      </c>
      <c r="S241" s="1" t="s">
        <v>1956</v>
      </c>
      <c r="T241" s="1" t="s">
        <v>446</v>
      </c>
      <c r="U241" s="1">
        <v>0</v>
      </c>
      <c r="V241" s="1" t="s">
        <v>267</v>
      </c>
      <c r="W241" s="1" t="s">
        <v>266</v>
      </c>
      <c r="X241" s="1" t="s">
        <v>268</v>
      </c>
      <c r="Y241" s="21" t="s">
        <v>2111</v>
      </c>
      <c r="Z241" s="21" t="s">
        <v>1652</v>
      </c>
      <c r="AA241" s="21" t="s">
        <v>1773</v>
      </c>
      <c r="AB241" s="21" t="s">
        <v>176</v>
      </c>
      <c r="AC241" s="21" t="s">
        <v>91</v>
      </c>
      <c r="AD241" s="21" t="s">
        <v>872</v>
      </c>
      <c r="AE241" s="21" t="s">
        <v>873</v>
      </c>
      <c r="AF241" s="21" t="s">
        <v>261</v>
      </c>
      <c r="AG241" s="21">
        <v>803037151</v>
      </c>
      <c r="AH241" s="21" t="s">
        <v>131</v>
      </c>
      <c r="AI241" s="21" t="s">
        <v>492</v>
      </c>
      <c r="AJ241" s="21"/>
      <c r="AK241" s="28" t="s">
        <v>447</v>
      </c>
      <c r="AL241" s="21" t="s">
        <v>458</v>
      </c>
      <c r="AM241" s="21" t="s">
        <v>1937</v>
      </c>
      <c r="AN241" s="21" t="s">
        <v>1927</v>
      </c>
      <c r="AO241" s="23">
        <v>45479</v>
      </c>
      <c r="AP241" s="21">
        <v>9875.4599999999991</v>
      </c>
      <c r="AQ241" s="21" t="s">
        <v>1897</v>
      </c>
      <c r="AR241" s="21" t="s">
        <v>1910</v>
      </c>
      <c r="AS241" s="21" t="s">
        <v>1914</v>
      </c>
      <c r="AT241" s="24"/>
    </row>
    <row r="242" spans="1:46" x14ac:dyDescent="0.25">
      <c r="A242" s="20" t="s">
        <v>1291</v>
      </c>
      <c r="B242" s="21" t="s">
        <v>1411</v>
      </c>
      <c r="C242" s="1" t="s">
        <v>47</v>
      </c>
      <c r="D242" s="21">
        <v>21</v>
      </c>
      <c r="E242" s="21" t="s">
        <v>1532</v>
      </c>
      <c r="F242" s="21" t="s">
        <v>77</v>
      </c>
      <c r="G242" s="22">
        <f>Table1[[#This Row],[ENR]]-Table1[[#This Row],[CREDIT]]</f>
        <v>13875.510000000009</v>
      </c>
      <c r="H242" s="21">
        <v>160000</v>
      </c>
      <c r="I242" s="35">
        <v>173875.51</v>
      </c>
      <c r="J242" s="22" t="s">
        <v>78</v>
      </c>
      <c r="K242" s="22">
        <v>173875.51</v>
      </c>
      <c r="L242" s="22">
        <v>156999</v>
      </c>
      <c r="M242" s="21">
        <v>40010</v>
      </c>
      <c r="N242" s="22">
        <v>15670</v>
      </c>
      <c r="O242" s="1" t="s">
        <v>41</v>
      </c>
      <c r="P242" s="1" t="s">
        <v>42</v>
      </c>
      <c r="Q242" s="15">
        <v>0</v>
      </c>
      <c r="R242" s="22">
        <f>Table1[[#This Row],[STAB]]-Table1[[#This Row],[AMOUNT]]</f>
        <v>15670</v>
      </c>
      <c r="S242" s="1">
        <v>0</v>
      </c>
      <c r="T242" s="1" t="s">
        <v>79</v>
      </c>
      <c r="U242" s="1">
        <v>0</v>
      </c>
      <c r="V242" s="1" t="s">
        <v>267</v>
      </c>
      <c r="W242" s="1" t="s">
        <v>265</v>
      </c>
      <c r="X242" s="1" t="s">
        <v>269</v>
      </c>
      <c r="Y242" s="21" t="s">
        <v>2111</v>
      </c>
      <c r="Z242" s="21" t="s">
        <v>1653</v>
      </c>
      <c r="AA242" s="21" t="s">
        <v>1774</v>
      </c>
      <c r="AB242" s="21" t="s">
        <v>70</v>
      </c>
      <c r="AC242" s="21" t="s">
        <v>91</v>
      </c>
      <c r="AD242" s="21" t="s">
        <v>51</v>
      </c>
      <c r="AE242" s="21" t="s">
        <v>189</v>
      </c>
      <c r="AF242" s="21" t="s">
        <v>136</v>
      </c>
      <c r="AG242" s="21">
        <v>801772792</v>
      </c>
      <c r="AH242" s="21" t="s">
        <v>132</v>
      </c>
      <c r="AI242" s="21" t="s">
        <v>492</v>
      </c>
      <c r="AJ242" s="21"/>
      <c r="AK242" s="28" t="s">
        <v>43</v>
      </c>
      <c r="AL242" s="21"/>
      <c r="AM242" s="21"/>
      <c r="AN242" s="21"/>
      <c r="AO242" s="23">
        <v>46223</v>
      </c>
      <c r="AP242" s="21">
        <v>67001</v>
      </c>
      <c r="AQ242" s="21" t="s">
        <v>1898</v>
      </c>
      <c r="AR242" s="21" t="s">
        <v>1910</v>
      </c>
      <c r="AS242" s="21" t="s">
        <v>1914</v>
      </c>
      <c r="AT242" s="24"/>
    </row>
    <row r="243" spans="1:46" x14ac:dyDescent="0.25">
      <c r="A243" s="20" t="s">
        <v>1292</v>
      </c>
      <c r="B243" s="21" t="s">
        <v>1412</v>
      </c>
      <c r="C243" s="1" t="s">
        <v>47</v>
      </c>
      <c r="D243" s="21">
        <v>21</v>
      </c>
      <c r="E243" s="21" t="s">
        <v>1533</v>
      </c>
      <c r="F243" s="21" t="s">
        <v>77</v>
      </c>
      <c r="G243" s="22">
        <f>Table1[[#This Row],[ENR]]-Table1[[#This Row],[CREDIT]]</f>
        <v>-1546.8999999999942</v>
      </c>
      <c r="H243" s="21">
        <v>120000</v>
      </c>
      <c r="I243" s="35">
        <v>118453.1</v>
      </c>
      <c r="J243" s="22">
        <v>92939.53</v>
      </c>
      <c r="K243" s="22">
        <v>25513.57</v>
      </c>
      <c r="L243" s="22">
        <v>17254.650000000001</v>
      </c>
      <c r="M243" s="21">
        <v>16300</v>
      </c>
      <c r="N243" s="22">
        <v>8140</v>
      </c>
      <c r="O243" s="1" t="s">
        <v>41</v>
      </c>
      <c r="P243" s="1" t="s">
        <v>42</v>
      </c>
      <c r="Q243" s="15">
        <v>0</v>
      </c>
      <c r="R243" s="22">
        <f>Table1[[#This Row],[STAB]]-Table1[[#This Row],[AMOUNT]]</f>
        <v>8140</v>
      </c>
      <c r="S243" s="1">
        <v>0</v>
      </c>
      <c r="T243" s="1" t="s">
        <v>79</v>
      </c>
      <c r="U243" s="1">
        <v>0</v>
      </c>
      <c r="V243" s="1" t="s">
        <v>267</v>
      </c>
      <c r="W243" s="1" t="s">
        <v>645</v>
      </c>
      <c r="X243" s="1" t="s">
        <v>646</v>
      </c>
      <c r="Y243" s="21" t="s">
        <v>2110</v>
      </c>
      <c r="Z243" s="21" t="s">
        <v>1654</v>
      </c>
      <c r="AA243" s="21" t="s">
        <v>1775</v>
      </c>
      <c r="AB243" s="21" t="s">
        <v>104</v>
      </c>
      <c r="AC243" s="21" t="s">
        <v>258</v>
      </c>
      <c r="AD243" s="21" t="s">
        <v>461</v>
      </c>
      <c r="AE243" s="21" t="s">
        <v>1168</v>
      </c>
      <c r="AF243" s="21" t="s">
        <v>133</v>
      </c>
      <c r="AG243" s="21">
        <v>802913252</v>
      </c>
      <c r="AH243" s="21" t="s">
        <v>130</v>
      </c>
      <c r="AI243" s="21" t="s">
        <v>492</v>
      </c>
      <c r="AJ243" s="21"/>
      <c r="AK243" s="28" t="s">
        <v>43</v>
      </c>
      <c r="AL243" s="21"/>
      <c r="AM243" s="21"/>
      <c r="AN243" s="21"/>
      <c r="AO243" s="23">
        <v>45539</v>
      </c>
      <c r="AP243" s="21">
        <v>40018.870000000003</v>
      </c>
      <c r="AQ243" s="21" t="s">
        <v>1899</v>
      </c>
      <c r="AR243" s="21" t="s">
        <v>1910</v>
      </c>
      <c r="AS243" s="21" t="s">
        <v>1914</v>
      </c>
      <c r="AT243" s="24"/>
    </row>
    <row r="244" spans="1:46" x14ac:dyDescent="0.25">
      <c r="A244" s="20" t="s">
        <v>1293</v>
      </c>
      <c r="B244" s="21" t="s">
        <v>1413</v>
      </c>
      <c r="C244" s="1" t="s">
        <v>47</v>
      </c>
      <c r="D244" s="21">
        <v>21</v>
      </c>
      <c r="E244" s="21" t="s">
        <v>1534</v>
      </c>
      <c r="F244" s="21" t="s">
        <v>77</v>
      </c>
      <c r="G244" s="22">
        <f>Table1[[#This Row],[ENR]]-Table1[[#This Row],[CREDIT]]</f>
        <v>4299.3399999999965</v>
      </c>
      <c r="H244" s="21">
        <v>50000</v>
      </c>
      <c r="I244" s="35">
        <v>54299.34</v>
      </c>
      <c r="J244" s="22">
        <v>9493.27</v>
      </c>
      <c r="K244" s="22">
        <v>44806.07</v>
      </c>
      <c r="L244" s="22">
        <v>40498.85</v>
      </c>
      <c r="M244" s="21">
        <v>12360</v>
      </c>
      <c r="N244" s="22">
        <v>4300</v>
      </c>
      <c r="O244" s="1" t="s">
        <v>41</v>
      </c>
      <c r="P244" s="1" t="s">
        <v>42</v>
      </c>
      <c r="Q244" s="15">
        <v>0</v>
      </c>
      <c r="R244" s="22">
        <f>Table1[[#This Row],[STAB]]-Table1[[#This Row],[AMOUNT]]</f>
        <v>4300</v>
      </c>
      <c r="S244" s="1">
        <v>0</v>
      </c>
      <c r="T244" s="1" t="s">
        <v>79</v>
      </c>
      <c r="U244" s="1">
        <v>0</v>
      </c>
      <c r="V244" s="1" t="s">
        <v>267</v>
      </c>
      <c r="W244" s="1" t="s">
        <v>645</v>
      </c>
      <c r="X244" s="1" t="s">
        <v>646</v>
      </c>
      <c r="Y244" s="21" t="s">
        <v>2111</v>
      </c>
      <c r="Z244" s="21" t="s">
        <v>1655</v>
      </c>
      <c r="AA244" s="21" t="s">
        <v>1776</v>
      </c>
      <c r="AB244" s="21" t="s">
        <v>627</v>
      </c>
      <c r="AC244" s="21" t="s">
        <v>92</v>
      </c>
      <c r="AD244" s="21" t="s">
        <v>94</v>
      </c>
      <c r="AE244" s="21" t="s">
        <v>246</v>
      </c>
      <c r="AF244" s="21" t="s">
        <v>140</v>
      </c>
      <c r="AG244" s="21">
        <v>802852449</v>
      </c>
      <c r="AH244" s="21" t="s">
        <v>130</v>
      </c>
      <c r="AI244" s="21" t="s">
        <v>492</v>
      </c>
      <c r="AJ244" s="21"/>
      <c r="AK244" s="28" t="s">
        <v>447</v>
      </c>
      <c r="AL244" s="21" t="s">
        <v>463</v>
      </c>
      <c r="AM244" s="21" t="s">
        <v>1964</v>
      </c>
      <c r="AN244" s="21" t="s">
        <v>1949</v>
      </c>
      <c r="AO244" s="23">
        <v>45487</v>
      </c>
      <c r="AP244" s="21">
        <v>10000</v>
      </c>
      <c r="AQ244" s="21" t="s">
        <v>1900</v>
      </c>
      <c r="AR244" s="21" t="s">
        <v>1910</v>
      </c>
      <c r="AS244" s="21" t="s">
        <v>1914</v>
      </c>
      <c r="AT244" s="24"/>
    </row>
    <row r="245" spans="1:46" x14ac:dyDescent="0.25">
      <c r="A245" s="20" t="s">
        <v>1294</v>
      </c>
      <c r="B245" s="21" t="s">
        <v>1414</v>
      </c>
      <c r="C245" s="1" t="s">
        <v>47</v>
      </c>
      <c r="D245" s="21">
        <v>21</v>
      </c>
      <c r="E245" s="21" t="s">
        <v>1535</v>
      </c>
      <c r="F245" s="21" t="s">
        <v>77</v>
      </c>
      <c r="G245" s="22">
        <f>Table1[[#This Row],[ENR]]-Table1[[#This Row],[CREDIT]]</f>
        <v>5372.5599999999977</v>
      </c>
      <c r="H245" s="21">
        <v>86000</v>
      </c>
      <c r="I245" s="35">
        <v>91372.56</v>
      </c>
      <c r="J245" s="22" t="s">
        <v>78</v>
      </c>
      <c r="K245" s="22">
        <v>91372.56</v>
      </c>
      <c r="L245" s="22">
        <v>80749</v>
      </c>
      <c r="M245" s="21">
        <v>23610</v>
      </c>
      <c r="N245" s="22">
        <v>9510</v>
      </c>
      <c r="O245" s="1" t="s">
        <v>41</v>
      </c>
      <c r="P245" s="1" t="s">
        <v>42</v>
      </c>
      <c r="Q245" s="15">
        <v>0</v>
      </c>
      <c r="R245" s="22">
        <f>Table1[[#This Row],[STAB]]-Table1[[#This Row],[AMOUNT]]</f>
        <v>9510</v>
      </c>
      <c r="S245" s="1">
        <v>0</v>
      </c>
      <c r="T245" s="1" t="s">
        <v>79</v>
      </c>
      <c r="U245" s="1">
        <v>0</v>
      </c>
      <c r="V245" s="1" t="s">
        <v>267</v>
      </c>
      <c r="W245" s="1" t="s">
        <v>266</v>
      </c>
      <c r="X245" s="1" t="s">
        <v>268</v>
      </c>
      <c r="Y245" s="21" t="s">
        <v>2111</v>
      </c>
      <c r="Z245" s="21" t="s">
        <v>1656</v>
      </c>
      <c r="AA245" s="21" t="s">
        <v>1777</v>
      </c>
      <c r="AB245" s="21" t="s">
        <v>150</v>
      </c>
      <c r="AC245" s="21" t="s">
        <v>91</v>
      </c>
      <c r="AD245" s="21" t="s">
        <v>1918</v>
      </c>
      <c r="AE245" s="21" t="s">
        <v>1921</v>
      </c>
      <c r="AF245" s="21" t="s">
        <v>563</v>
      </c>
      <c r="AG245" s="21">
        <v>802794852</v>
      </c>
      <c r="AH245" s="21" t="s">
        <v>130</v>
      </c>
      <c r="AI245" s="21" t="s">
        <v>492</v>
      </c>
      <c r="AJ245" s="21"/>
      <c r="AK245" s="28" t="s">
        <v>43</v>
      </c>
      <c r="AL245" s="21"/>
      <c r="AM245" s="21"/>
      <c r="AN245" s="21"/>
      <c r="AO245" s="23">
        <v>45969</v>
      </c>
      <c r="AP245" s="21">
        <v>35000</v>
      </c>
      <c r="AQ245" s="21" t="s">
        <v>1901</v>
      </c>
      <c r="AR245" s="21" t="s">
        <v>1910</v>
      </c>
      <c r="AS245" s="21" t="s">
        <v>1914</v>
      </c>
      <c r="AT245" s="24"/>
    </row>
    <row r="246" spans="1:46" x14ac:dyDescent="0.25">
      <c r="A246" s="20" t="s">
        <v>1295</v>
      </c>
      <c r="B246" s="21" t="s">
        <v>1415</v>
      </c>
      <c r="C246" s="1" t="s">
        <v>47</v>
      </c>
      <c r="D246" s="21">
        <v>21</v>
      </c>
      <c r="E246" s="21" t="s">
        <v>1536</v>
      </c>
      <c r="F246" s="21" t="s">
        <v>527</v>
      </c>
      <c r="G246" s="22">
        <f>Table1[[#This Row],[ENR]]-Table1[[#This Row],[CREDIT]]</f>
        <v>-14564.25</v>
      </c>
      <c r="H246" s="21">
        <v>50000</v>
      </c>
      <c r="I246" s="35">
        <v>35435.75</v>
      </c>
      <c r="J246" s="22" t="s">
        <v>78</v>
      </c>
      <c r="K246" s="22">
        <v>35435.75</v>
      </c>
      <c r="L246" s="22">
        <v>33276.94</v>
      </c>
      <c r="M246" s="21">
        <v>6390</v>
      </c>
      <c r="N246" s="22">
        <v>2699</v>
      </c>
      <c r="O246" s="1" t="s">
        <v>49</v>
      </c>
      <c r="P246" s="1" t="s">
        <v>12</v>
      </c>
      <c r="Q246" s="15">
        <v>35435.75</v>
      </c>
      <c r="R246" s="22">
        <f>Table1[[#This Row],[STAB]]-Table1[[#This Row],[AMOUNT]]</f>
        <v>-32736.75</v>
      </c>
      <c r="S246" s="1">
        <v>0</v>
      </c>
      <c r="T246" s="1" t="s">
        <v>79</v>
      </c>
      <c r="U246" s="1">
        <v>0</v>
      </c>
      <c r="V246" s="1" t="s">
        <v>267</v>
      </c>
      <c r="W246" s="1" t="s">
        <v>645</v>
      </c>
      <c r="X246" s="1" t="s">
        <v>646</v>
      </c>
      <c r="Y246" s="21" t="s">
        <v>2111</v>
      </c>
      <c r="Z246" s="21" t="s">
        <v>1657</v>
      </c>
      <c r="AA246" s="21" t="s">
        <v>1778</v>
      </c>
      <c r="AB246" s="21" t="s">
        <v>433</v>
      </c>
      <c r="AC246" s="21" t="s">
        <v>443</v>
      </c>
      <c r="AD246" s="21" t="s">
        <v>75</v>
      </c>
      <c r="AE246" s="21" t="s">
        <v>441</v>
      </c>
      <c r="AF246" s="21" t="s">
        <v>442</v>
      </c>
      <c r="AG246" s="21">
        <v>802789320</v>
      </c>
      <c r="AH246" s="21" t="s">
        <v>130</v>
      </c>
      <c r="AI246" s="21" t="s">
        <v>492</v>
      </c>
      <c r="AJ246" s="21"/>
      <c r="AK246" s="28" t="s">
        <v>447</v>
      </c>
      <c r="AL246" s="21"/>
      <c r="AM246" s="21"/>
      <c r="AN246" s="21"/>
      <c r="AO246" s="23">
        <v>46309</v>
      </c>
      <c r="AP246" s="21">
        <v>27411</v>
      </c>
      <c r="AQ246" s="21" t="s">
        <v>1902</v>
      </c>
      <c r="AR246" s="21" t="s">
        <v>1911</v>
      </c>
      <c r="AS246" s="21" t="s">
        <v>1914</v>
      </c>
      <c r="AT246" s="24"/>
    </row>
    <row r="247" spans="1:46" x14ac:dyDescent="0.25">
      <c r="A247" s="20" t="s">
        <v>1296</v>
      </c>
      <c r="B247" s="21" t="s">
        <v>1416</v>
      </c>
      <c r="C247" s="1" t="s">
        <v>47</v>
      </c>
      <c r="D247" s="21">
        <v>21</v>
      </c>
      <c r="E247" s="21" t="s">
        <v>1537</v>
      </c>
      <c r="F247" s="21" t="s">
        <v>77</v>
      </c>
      <c r="G247" s="22">
        <f>Table1[[#This Row],[ENR]]-Table1[[#This Row],[CREDIT]]</f>
        <v>-29534.130000000005</v>
      </c>
      <c r="H247" s="21">
        <v>340000</v>
      </c>
      <c r="I247" s="35">
        <v>310465.87</v>
      </c>
      <c r="J247" s="22" t="s">
        <v>78</v>
      </c>
      <c r="K247" s="22">
        <v>310465.87</v>
      </c>
      <c r="L247" s="22">
        <v>293500.90000000002</v>
      </c>
      <c r="M247" s="21">
        <v>49770</v>
      </c>
      <c r="N247" s="22">
        <v>32161</v>
      </c>
      <c r="O247" s="1" t="s">
        <v>41</v>
      </c>
      <c r="P247" s="1" t="s">
        <v>42</v>
      </c>
      <c r="Q247" s="15">
        <v>0</v>
      </c>
      <c r="R247" s="22">
        <f>Table1[[#This Row],[STAB]]-Table1[[#This Row],[AMOUNT]]</f>
        <v>32161</v>
      </c>
      <c r="S247" s="1">
        <v>0</v>
      </c>
      <c r="T247" s="1" t="s">
        <v>79</v>
      </c>
      <c r="U247" s="1">
        <v>0</v>
      </c>
      <c r="V247" s="1" t="s">
        <v>267</v>
      </c>
      <c r="W247" s="1" t="s">
        <v>266</v>
      </c>
      <c r="X247" s="1" t="s">
        <v>268</v>
      </c>
      <c r="Y247" s="21" t="s">
        <v>2111</v>
      </c>
      <c r="Z247" s="21" t="s">
        <v>1658</v>
      </c>
      <c r="AA247" s="21" t="s">
        <v>1779</v>
      </c>
      <c r="AB247" s="21" t="s">
        <v>1108</v>
      </c>
      <c r="AC247" s="21" t="s">
        <v>91</v>
      </c>
      <c r="AD247" s="21" t="s">
        <v>1160</v>
      </c>
      <c r="AE247" s="21" t="s">
        <v>1169</v>
      </c>
      <c r="AF247" s="21" t="s">
        <v>1163</v>
      </c>
      <c r="AG247" s="21">
        <v>801772794</v>
      </c>
      <c r="AH247" s="21" t="s">
        <v>1161</v>
      </c>
      <c r="AI247" s="21" t="s">
        <v>492</v>
      </c>
      <c r="AJ247" s="21"/>
      <c r="AK247" s="28" t="s">
        <v>447</v>
      </c>
      <c r="AL247" s="21" t="s">
        <v>463</v>
      </c>
      <c r="AM247" s="21" t="s">
        <v>1958</v>
      </c>
      <c r="AN247" s="21" t="s">
        <v>1949</v>
      </c>
      <c r="AO247" s="23">
        <v>46042</v>
      </c>
      <c r="AP247" s="21">
        <v>30030</v>
      </c>
      <c r="AQ247" s="21" t="s">
        <v>1903</v>
      </c>
      <c r="AR247" s="21" t="s">
        <v>1911</v>
      </c>
      <c r="AS247" s="21" t="s">
        <v>1914</v>
      </c>
      <c r="AT247" s="24"/>
    </row>
    <row r="248" spans="1:46" x14ac:dyDescent="0.25">
      <c r="A248" s="20" t="s">
        <v>1297</v>
      </c>
      <c r="B248" s="21" t="s">
        <v>1417</v>
      </c>
      <c r="C248" s="1" t="s">
        <v>47</v>
      </c>
      <c r="D248" s="21">
        <v>21</v>
      </c>
      <c r="E248" s="21" t="s">
        <v>1538</v>
      </c>
      <c r="F248" s="21" t="s">
        <v>77</v>
      </c>
      <c r="G248" s="22">
        <f>Table1[[#This Row],[ENR]]-Table1[[#This Row],[CREDIT]]</f>
        <v>-32020.770000000004</v>
      </c>
      <c r="H248" s="21">
        <v>100000</v>
      </c>
      <c r="I248" s="35">
        <v>67979.23</v>
      </c>
      <c r="J248" s="22" t="s">
        <v>78</v>
      </c>
      <c r="K248" s="22">
        <v>67979.23</v>
      </c>
      <c r="L248" s="22">
        <v>62960.11</v>
      </c>
      <c r="M248" s="21">
        <v>12450</v>
      </c>
      <c r="N248" s="22">
        <v>7550</v>
      </c>
      <c r="O248" s="1" t="s">
        <v>49</v>
      </c>
      <c r="P248" s="1" t="s">
        <v>13</v>
      </c>
      <c r="Q248" s="15">
        <v>8000</v>
      </c>
      <c r="R248" s="22">
        <f>Table1[[#This Row],[STAB]]-Table1[[#This Row],[AMOUNT]]</f>
        <v>-450</v>
      </c>
      <c r="S248" s="1" t="s">
        <v>2115</v>
      </c>
      <c r="T248" s="1" t="s">
        <v>446</v>
      </c>
      <c r="U248" s="1">
        <v>0</v>
      </c>
      <c r="V248" s="1" t="s">
        <v>267</v>
      </c>
      <c r="W248" s="1" t="s">
        <v>265</v>
      </c>
      <c r="X248" s="1" t="s">
        <v>269</v>
      </c>
      <c r="Y248" s="21" t="s">
        <v>2111</v>
      </c>
      <c r="Z248" s="21" t="s">
        <v>1659</v>
      </c>
      <c r="AA248" s="21" t="s">
        <v>1780</v>
      </c>
      <c r="AB248" s="21" t="s">
        <v>1104</v>
      </c>
      <c r="AC248" s="21" t="s">
        <v>91</v>
      </c>
      <c r="AD248" s="21" t="s">
        <v>86</v>
      </c>
      <c r="AE248" s="21" t="s">
        <v>1166</v>
      </c>
      <c r="AF248" s="21" t="s">
        <v>1162</v>
      </c>
      <c r="AG248" s="21">
        <v>802370852</v>
      </c>
      <c r="AH248" s="21" t="s">
        <v>132</v>
      </c>
      <c r="AI248" s="21" t="s">
        <v>492</v>
      </c>
      <c r="AJ248" s="21"/>
      <c r="AK248" s="28" t="s">
        <v>447</v>
      </c>
      <c r="AL248" s="21"/>
      <c r="AM248" s="21"/>
      <c r="AN248" s="21"/>
      <c r="AO248" s="23">
        <v>46193</v>
      </c>
      <c r="AP248" s="21">
        <v>3170</v>
      </c>
      <c r="AQ248" s="21" t="s">
        <v>1904</v>
      </c>
      <c r="AR248" s="21" t="s">
        <v>1911</v>
      </c>
      <c r="AS248" s="21" t="s">
        <v>1914</v>
      </c>
      <c r="AT248" s="24"/>
    </row>
    <row r="249" spans="1:46" x14ac:dyDescent="0.25">
      <c r="A249" s="20" t="s">
        <v>1298</v>
      </c>
      <c r="B249" s="21" t="s">
        <v>1418</v>
      </c>
      <c r="C249" s="1" t="s">
        <v>47</v>
      </c>
      <c r="D249" s="21">
        <v>21</v>
      </c>
      <c r="E249" s="21" t="s">
        <v>1539</v>
      </c>
      <c r="F249" s="21" t="s">
        <v>77</v>
      </c>
      <c r="G249" s="22">
        <f>Table1[[#This Row],[ENR]]-Table1[[#This Row],[CREDIT]]</f>
        <v>-12542.600000000006</v>
      </c>
      <c r="H249" s="21">
        <v>80000</v>
      </c>
      <c r="I249" s="35">
        <v>67457.399999999994</v>
      </c>
      <c r="J249" s="22" t="s">
        <v>78</v>
      </c>
      <c r="K249" s="22">
        <v>67457.399999999994</v>
      </c>
      <c r="L249" s="22">
        <v>62470.38</v>
      </c>
      <c r="M249" s="21">
        <v>12210</v>
      </c>
      <c r="N249" s="22">
        <v>7330</v>
      </c>
      <c r="O249" s="1" t="s">
        <v>41</v>
      </c>
      <c r="P249" s="1" t="s">
        <v>42</v>
      </c>
      <c r="Q249" s="15">
        <v>0</v>
      </c>
      <c r="R249" s="22">
        <f>Table1[[#This Row],[STAB]]-Table1[[#This Row],[AMOUNT]]</f>
        <v>7330</v>
      </c>
      <c r="S249" s="1">
        <v>0</v>
      </c>
      <c r="T249" s="1" t="s">
        <v>79</v>
      </c>
      <c r="U249" s="1">
        <v>0</v>
      </c>
      <c r="V249" s="1" t="s">
        <v>267</v>
      </c>
      <c r="W249" s="1" t="s">
        <v>266</v>
      </c>
      <c r="X249" s="1" t="s">
        <v>268</v>
      </c>
      <c r="Y249" s="21" t="s">
        <v>2110</v>
      </c>
      <c r="Z249" s="21" t="s">
        <v>1660</v>
      </c>
      <c r="AA249" s="21" t="s">
        <v>1781</v>
      </c>
      <c r="AB249" s="21" t="s">
        <v>248</v>
      </c>
      <c r="AC249" s="21" t="s">
        <v>91</v>
      </c>
      <c r="AD249" s="21" t="s">
        <v>122</v>
      </c>
      <c r="AE249" s="21" t="s">
        <v>667</v>
      </c>
      <c r="AF249" s="21" t="s">
        <v>666</v>
      </c>
      <c r="AG249" s="21">
        <v>802663344</v>
      </c>
      <c r="AH249" s="21" t="s">
        <v>132</v>
      </c>
      <c r="AI249" s="21" t="s">
        <v>492</v>
      </c>
      <c r="AJ249" s="21"/>
      <c r="AK249" s="28" t="s">
        <v>447</v>
      </c>
      <c r="AL249" s="21" t="s">
        <v>458</v>
      </c>
      <c r="AM249" s="21" t="s">
        <v>1969</v>
      </c>
      <c r="AN249" s="21" t="s">
        <v>1956</v>
      </c>
      <c r="AO249" s="23">
        <v>45846</v>
      </c>
      <c r="AP249" s="21">
        <v>10410</v>
      </c>
      <c r="AQ249" s="21" t="s">
        <v>1905</v>
      </c>
      <c r="AR249" s="21" t="s">
        <v>1911</v>
      </c>
      <c r="AS249" s="21" t="s">
        <v>1914</v>
      </c>
      <c r="AT249" s="24"/>
    </row>
    <row r="250" spans="1:46" x14ac:dyDescent="0.25">
      <c r="A250" s="20" t="s">
        <v>1299</v>
      </c>
      <c r="B250" s="21" t="s">
        <v>1419</v>
      </c>
      <c r="C250" s="1" t="s">
        <v>47</v>
      </c>
      <c r="D250" s="21">
        <v>21</v>
      </c>
      <c r="E250" s="21" t="s">
        <v>1540</v>
      </c>
      <c r="F250" s="21" t="s">
        <v>1012</v>
      </c>
      <c r="G250" s="22">
        <f>Table1[[#This Row],[ENR]]-Table1[[#This Row],[CREDIT]]</f>
        <v>-118867.02</v>
      </c>
      <c r="H250" s="21">
        <v>150000</v>
      </c>
      <c r="I250" s="35">
        <v>31132.98</v>
      </c>
      <c r="J250" s="22" t="s">
        <v>78</v>
      </c>
      <c r="K250" s="22">
        <v>31132.98</v>
      </c>
      <c r="L250" s="22">
        <v>27982.31</v>
      </c>
      <c r="M250" s="21">
        <v>6870</v>
      </c>
      <c r="N250" s="22">
        <v>2440</v>
      </c>
      <c r="O250" s="1" t="s">
        <v>41</v>
      </c>
      <c r="P250" s="1" t="s">
        <v>42</v>
      </c>
      <c r="Q250" s="15">
        <v>0</v>
      </c>
      <c r="R250" s="22">
        <f>Table1[[#This Row],[STAB]]-Table1[[#This Row],[AMOUNT]]</f>
        <v>2440</v>
      </c>
      <c r="S250" s="1">
        <v>0</v>
      </c>
      <c r="T250" s="1" t="s">
        <v>79</v>
      </c>
      <c r="U250" s="1">
        <v>0</v>
      </c>
      <c r="V250" s="1" t="s">
        <v>267</v>
      </c>
      <c r="W250" s="1" t="s">
        <v>645</v>
      </c>
      <c r="X250" s="1" t="s">
        <v>646</v>
      </c>
      <c r="Y250" s="21" t="s">
        <v>2111</v>
      </c>
      <c r="Z250" s="21" t="s">
        <v>1661</v>
      </c>
      <c r="AA250" s="21" t="s">
        <v>1782</v>
      </c>
      <c r="AB250" s="21" t="s">
        <v>71</v>
      </c>
      <c r="AC250" s="21" t="s">
        <v>92</v>
      </c>
      <c r="AD250" s="21" t="s">
        <v>95</v>
      </c>
      <c r="AE250" s="21" t="s">
        <v>190</v>
      </c>
      <c r="AF250" s="21" t="s">
        <v>134</v>
      </c>
      <c r="AG250" s="21">
        <v>801436997</v>
      </c>
      <c r="AH250" s="21" t="s">
        <v>130</v>
      </c>
      <c r="AI250" s="21" t="s">
        <v>492</v>
      </c>
      <c r="AJ250" s="21"/>
      <c r="AK250" s="28" t="s">
        <v>43</v>
      </c>
      <c r="AL250" s="21"/>
      <c r="AM250" s="21"/>
      <c r="AN250" s="21"/>
      <c r="AO250" s="23">
        <v>45921</v>
      </c>
      <c r="AP250" s="21">
        <v>5000</v>
      </c>
      <c r="AQ250" s="21" t="s">
        <v>1906</v>
      </c>
      <c r="AR250" s="21" t="s">
        <v>1911</v>
      </c>
      <c r="AS250" s="21" t="s">
        <v>1914</v>
      </c>
      <c r="AT250" s="24"/>
    </row>
    <row r="251" spans="1:46" x14ac:dyDescent="0.25">
      <c r="A251" s="20" t="s">
        <v>1300</v>
      </c>
      <c r="B251" s="21" t="s">
        <v>1420</v>
      </c>
      <c r="C251" s="1" t="s">
        <v>47</v>
      </c>
      <c r="D251" s="21">
        <v>21</v>
      </c>
      <c r="E251" s="21" t="s">
        <v>1541</v>
      </c>
      <c r="F251" s="21" t="s">
        <v>77</v>
      </c>
      <c r="G251" s="22">
        <f>Table1[[#This Row],[ENR]]-Table1[[#This Row],[CREDIT]]</f>
        <v>4534.1500000000015</v>
      </c>
      <c r="H251" s="21">
        <v>50000</v>
      </c>
      <c r="I251" s="35">
        <v>54534.15</v>
      </c>
      <c r="J251" s="22">
        <v>39460.54</v>
      </c>
      <c r="K251" s="22">
        <v>15073.61</v>
      </c>
      <c r="L251" s="22">
        <v>10539.46</v>
      </c>
      <c r="M251" s="21">
        <v>15073.61</v>
      </c>
      <c r="N251" s="22">
        <v>7295.5</v>
      </c>
      <c r="O251" s="1" t="s">
        <v>41</v>
      </c>
      <c r="P251" s="1" t="s">
        <v>42</v>
      </c>
      <c r="Q251" s="15">
        <v>0</v>
      </c>
      <c r="R251" s="22">
        <f>Table1[[#This Row],[STAB]]-Table1[[#This Row],[AMOUNT]]</f>
        <v>7295.5</v>
      </c>
      <c r="S251" s="1">
        <v>0</v>
      </c>
      <c r="T251" s="1" t="s">
        <v>79</v>
      </c>
      <c r="U251" s="1">
        <v>0</v>
      </c>
      <c r="V251" s="1" t="s">
        <v>267</v>
      </c>
      <c r="W251" s="1" t="s">
        <v>645</v>
      </c>
      <c r="X251" s="1" t="s">
        <v>646</v>
      </c>
      <c r="Y251" s="21" t="s">
        <v>2110</v>
      </c>
      <c r="Z251" s="21" t="s">
        <v>1662</v>
      </c>
      <c r="AA251" s="21" t="s">
        <v>1783</v>
      </c>
      <c r="AB251" s="21" t="s">
        <v>104</v>
      </c>
      <c r="AC251" s="21" t="s">
        <v>258</v>
      </c>
      <c r="AD251" s="21" t="s">
        <v>461</v>
      </c>
      <c r="AE251" s="21" t="s">
        <v>1168</v>
      </c>
      <c r="AF251" s="21" t="s">
        <v>133</v>
      </c>
      <c r="AG251" s="21">
        <v>802913252</v>
      </c>
      <c r="AH251" s="21" t="s">
        <v>130</v>
      </c>
      <c r="AI251" s="21" t="s">
        <v>492</v>
      </c>
      <c r="AJ251" s="21"/>
      <c r="AK251" s="28" t="s">
        <v>43</v>
      </c>
      <c r="AL251" s="21"/>
      <c r="AM251" s="21"/>
      <c r="AN251" s="21"/>
      <c r="AO251" s="23">
        <v>45636</v>
      </c>
      <c r="AP251" s="21">
        <v>5159.88</v>
      </c>
      <c r="AQ251" s="21" t="s">
        <v>1907</v>
      </c>
      <c r="AR251" s="21" t="s">
        <v>1913</v>
      </c>
      <c r="AS251" s="21" t="s">
        <v>1914</v>
      </c>
      <c r="AT251" s="24"/>
    </row>
    <row r="252" spans="1:46" x14ac:dyDescent="0.25">
      <c r="A252" s="20" t="s">
        <v>1301</v>
      </c>
      <c r="B252" s="21" t="s">
        <v>1421</v>
      </c>
      <c r="C252" s="1" t="s">
        <v>47</v>
      </c>
      <c r="D252" s="21">
        <v>21</v>
      </c>
      <c r="E252" s="21" t="s">
        <v>1542</v>
      </c>
      <c r="F252" s="21" t="s">
        <v>77</v>
      </c>
      <c r="G252" s="22">
        <f>Table1[[#This Row],[ENR]]-Table1[[#This Row],[CREDIT]]</f>
        <v>9856.1999999999971</v>
      </c>
      <c r="H252" s="21">
        <v>100000</v>
      </c>
      <c r="I252" s="35">
        <v>109856.2</v>
      </c>
      <c r="J252" s="22" t="s">
        <v>78</v>
      </c>
      <c r="K252" s="22">
        <v>109856.2</v>
      </c>
      <c r="L252" s="22">
        <v>98540.67</v>
      </c>
      <c r="M252" s="21">
        <v>26790</v>
      </c>
      <c r="N252" s="22">
        <v>9820</v>
      </c>
      <c r="O252" s="1" t="s">
        <v>41</v>
      </c>
      <c r="P252" s="1" t="s">
        <v>42</v>
      </c>
      <c r="Q252" s="15">
        <v>0</v>
      </c>
      <c r="R252" s="22">
        <f>Table1[[#This Row],[STAB]]-Table1[[#This Row],[AMOUNT]]</f>
        <v>9820</v>
      </c>
      <c r="S252" s="1">
        <v>0</v>
      </c>
      <c r="T252" s="1" t="s">
        <v>79</v>
      </c>
      <c r="U252" s="1">
        <v>0</v>
      </c>
      <c r="V252" s="1" t="s">
        <v>267</v>
      </c>
      <c r="W252" s="1" t="s">
        <v>265</v>
      </c>
      <c r="X252" s="1" t="s">
        <v>269</v>
      </c>
      <c r="Y252" s="21" t="s">
        <v>2111</v>
      </c>
      <c r="Z252" s="21" t="s">
        <v>1663</v>
      </c>
      <c r="AA252" s="21" t="s">
        <v>1784</v>
      </c>
      <c r="AB252" s="21" t="s">
        <v>70</v>
      </c>
      <c r="AC252" s="21" t="s">
        <v>91</v>
      </c>
      <c r="AD252" s="21" t="s">
        <v>51</v>
      </c>
      <c r="AE252" s="21" t="s">
        <v>189</v>
      </c>
      <c r="AF252" s="21" t="s">
        <v>136</v>
      </c>
      <c r="AG252" s="21">
        <v>801772792</v>
      </c>
      <c r="AH252" s="21" t="s">
        <v>132</v>
      </c>
      <c r="AI252" s="21" t="s">
        <v>492</v>
      </c>
      <c r="AJ252" s="21"/>
      <c r="AK252" s="28" t="s">
        <v>43</v>
      </c>
      <c r="AL252" s="21"/>
      <c r="AM252" s="21"/>
      <c r="AN252" s="21"/>
      <c r="AO252" s="23">
        <v>46035</v>
      </c>
      <c r="AP252" s="21">
        <v>98749</v>
      </c>
      <c r="AQ252" s="21" t="s">
        <v>1908</v>
      </c>
      <c r="AR252" s="21" t="s">
        <v>1913</v>
      </c>
      <c r="AS252" s="21" t="s">
        <v>1914</v>
      </c>
      <c r="AT252" s="24"/>
    </row>
    <row r="253" spans="1:46" x14ac:dyDescent="0.25">
      <c r="A253" s="54" t="s">
        <v>1302</v>
      </c>
      <c r="B253" s="28" t="s">
        <v>1422</v>
      </c>
      <c r="C253" s="1" t="s">
        <v>47</v>
      </c>
      <c r="D253" s="28">
        <v>21</v>
      </c>
      <c r="E253" s="28" t="s">
        <v>1543</v>
      </c>
      <c r="F253" s="28" t="s">
        <v>77</v>
      </c>
      <c r="G253" s="55">
        <f>Table1[[#This Row],[ENR]]-Table1[[#This Row],[CREDIT]]</f>
        <v>-1517.2300000000032</v>
      </c>
      <c r="H253" s="28">
        <v>60000</v>
      </c>
      <c r="I253" s="56">
        <v>58482.77</v>
      </c>
      <c r="J253" s="55" t="s">
        <v>78</v>
      </c>
      <c r="K253" s="55">
        <v>58482.77</v>
      </c>
      <c r="L253" s="55">
        <v>55029.64</v>
      </c>
      <c r="M253" s="28">
        <v>8600</v>
      </c>
      <c r="N253" s="55">
        <v>4340</v>
      </c>
      <c r="O253" s="1" t="s">
        <v>41</v>
      </c>
      <c r="P253" s="1" t="s">
        <v>42</v>
      </c>
      <c r="Q253" s="15">
        <v>0</v>
      </c>
      <c r="R253" s="55">
        <f>Table1[[#This Row],[STAB]]-Table1[[#This Row],[AMOUNT]]</f>
        <v>4340</v>
      </c>
      <c r="S253" s="1">
        <v>0</v>
      </c>
      <c r="T253" s="1" t="s">
        <v>79</v>
      </c>
      <c r="U253" s="1">
        <v>0</v>
      </c>
      <c r="V253" s="1" t="s">
        <v>267</v>
      </c>
      <c r="W253" s="1" t="s">
        <v>265</v>
      </c>
      <c r="X253" s="1" t="s">
        <v>269</v>
      </c>
      <c r="Y253" s="21" t="s">
        <v>2111</v>
      </c>
      <c r="Z253" s="28" t="s">
        <v>1664</v>
      </c>
      <c r="AA253" s="28" t="s">
        <v>1785</v>
      </c>
      <c r="AB253" s="28" t="s">
        <v>176</v>
      </c>
      <c r="AC253" s="21" t="s">
        <v>91</v>
      </c>
      <c r="AD253" s="21" t="s">
        <v>51</v>
      </c>
      <c r="AE253" s="28" t="s">
        <v>189</v>
      </c>
      <c r="AF253" s="21" t="s">
        <v>136</v>
      </c>
      <c r="AG253" s="28">
        <v>801772792</v>
      </c>
      <c r="AH253" s="28" t="s">
        <v>132</v>
      </c>
      <c r="AI253" s="21" t="s">
        <v>492</v>
      </c>
      <c r="AJ253" s="28"/>
      <c r="AK253" s="28" t="s">
        <v>43</v>
      </c>
      <c r="AL253" s="28"/>
      <c r="AM253" s="28"/>
      <c r="AN253" s="28"/>
      <c r="AO253" s="57" t="s">
        <v>78</v>
      </c>
      <c r="AP253" s="28">
        <v>0</v>
      </c>
      <c r="AQ253" s="28" t="s">
        <v>1909</v>
      </c>
      <c r="AR253" s="28" t="s">
        <v>1913</v>
      </c>
      <c r="AS253" s="21" t="s">
        <v>1914</v>
      </c>
      <c r="AT253" s="58"/>
    </row>
    <row r="254" spans="1:46" x14ac:dyDescent="0.25">
      <c r="A254" s="20" t="s">
        <v>1979</v>
      </c>
      <c r="B254" s="21" t="s">
        <v>1995</v>
      </c>
      <c r="C254" s="1" t="s">
        <v>83</v>
      </c>
      <c r="D254" s="21">
        <v>24</v>
      </c>
      <c r="E254" s="21" t="s">
        <v>2011</v>
      </c>
      <c r="F254" s="21" t="s">
        <v>77</v>
      </c>
      <c r="G254" s="22">
        <f>Table1[[#This Row],[ENR]]-Table1[[#This Row],[CREDIT]]</f>
        <v>2187.9199999999983</v>
      </c>
      <c r="H254" s="21">
        <v>100000</v>
      </c>
      <c r="I254" s="35">
        <v>102187.92</v>
      </c>
      <c r="J254" s="22">
        <v>68299.34</v>
      </c>
      <c r="K254" s="22">
        <v>33888.58</v>
      </c>
      <c r="L254" s="22">
        <v>31104.78</v>
      </c>
      <c r="M254" s="21">
        <v>22870</v>
      </c>
      <c r="N254" s="22">
        <v>11410</v>
      </c>
      <c r="O254" s="1" t="s">
        <v>41</v>
      </c>
      <c r="P254" s="1" t="s">
        <v>42</v>
      </c>
      <c r="Q254" s="15">
        <v>0</v>
      </c>
      <c r="R254" s="22">
        <f>Table1[[#This Row],[STAB]]-Table1[[#This Row],[AMOUNT]]</f>
        <v>11410</v>
      </c>
      <c r="S254" s="1">
        <v>0</v>
      </c>
      <c r="T254" s="1" t="s">
        <v>79</v>
      </c>
      <c r="U254" s="1">
        <v>0</v>
      </c>
      <c r="V254" s="1" t="s">
        <v>267</v>
      </c>
      <c r="W254" s="1" t="s">
        <v>107</v>
      </c>
      <c r="X254" s="1" t="s">
        <v>200</v>
      </c>
      <c r="Y254" s="21" t="s">
        <v>2111</v>
      </c>
      <c r="Z254" s="21" t="s">
        <v>2027</v>
      </c>
      <c r="AA254" s="21" t="s">
        <v>2043</v>
      </c>
      <c r="AB254" s="21" t="s">
        <v>256</v>
      </c>
      <c r="AC254" s="21" t="s">
        <v>93</v>
      </c>
      <c r="AD254" s="21" t="s">
        <v>460</v>
      </c>
      <c r="AE254" s="21" t="s">
        <v>444</v>
      </c>
      <c r="AF254" s="21" t="s">
        <v>181</v>
      </c>
      <c r="AG254" s="21">
        <v>802823180</v>
      </c>
      <c r="AH254" s="21" t="s">
        <v>132</v>
      </c>
      <c r="AI254" s="21" t="s">
        <v>492</v>
      </c>
      <c r="AJ254" s="21"/>
      <c r="AK254" s="28" t="s">
        <v>43</v>
      </c>
      <c r="AL254" s="21"/>
      <c r="AM254" s="21"/>
      <c r="AN254" s="21"/>
      <c r="AO254" s="23">
        <v>45536</v>
      </c>
      <c r="AP254" s="21">
        <v>21205.279999999999</v>
      </c>
      <c r="AQ254" s="21" t="s">
        <v>2061</v>
      </c>
      <c r="AR254" s="21" t="s">
        <v>106</v>
      </c>
      <c r="AS254" s="21" t="s">
        <v>2077</v>
      </c>
      <c r="AT254" s="24"/>
    </row>
    <row r="255" spans="1:46" x14ac:dyDescent="0.25">
      <c r="A255" s="20" t="s">
        <v>1980</v>
      </c>
      <c r="B255" s="21" t="s">
        <v>1996</v>
      </c>
      <c r="C255" s="1" t="s">
        <v>47</v>
      </c>
      <c r="D255" s="21">
        <v>25</v>
      </c>
      <c r="E255" s="21" t="s">
        <v>2012</v>
      </c>
      <c r="F255" s="21" t="s">
        <v>77</v>
      </c>
      <c r="G255" s="22">
        <f>Table1[[#This Row],[ENR]]-Table1[[#This Row],[CREDIT]]</f>
        <v>4052.4499999999971</v>
      </c>
      <c r="H255" s="21">
        <v>30000</v>
      </c>
      <c r="I255" s="35">
        <v>34052.449999999997</v>
      </c>
      <c r="J255" s="22" t="s">
        <v>78</v>
      </c>
      <c r="K255" s="22">
        <v>34052.449999999997</v>
      </c>
      <c r="L255" s="22">
        <v>29977.79</v>
      </c>
      <c r="M255" s="21">
        <v>24510</v>
      </c>
      <c r="N255" s="22">
        <v>12060</v>
      </c>
      <c r="O255" s="1" t="s">
        <v>41</v>
      </c>
      <c r="P255" s="1" t="s">
        <v>42</v>
      </c>
      <c r="Q255" s="15">
        <v>0</v>
      </c>
      <c r="R255" s="22">
        <f>Table1[[#This Row],[STAB]]-Table1[[#This Row],[AMOUNT]]</f>
        <v>12060</v>
      </c>
      <c r="S255" s="1">
        <v>0</v>
      </c>
      <c r="T255" s="1" t="s">
        <v>79</v>
      </c>
      <c r="U255" s="1">
        <v>0</v>
      </c>
      <c r="V255" s="1" t="s">
        <v>267</v>
      </c>
      <c r="W255" s="1" t="s">
        <v>645</v>
      </c>
      <c r="X255" s="1" t="s">
        <v>646</v>
      </c>
      <c r="Y255" s="21" t="s">
        <v>2111</v>
      </c>
      <c r="Z255" s="21" t="s">
        <v>2028</v>
      </c>
      <c r="AA255" s="21" t="s">
        <v>2044</v>
      </c>
      <c r="AB255" s="21" t="s">
        <v>2059</v>
      </c>
      <c r="AC255" s="21" t="s">
        <v>92</v>
      </c>
      <c r="AD255" s="21" t="s">
        <v>259</v>
      </c>
      <c r="AE255" s="21" t="s">
        <v>260</v>
      </c>
      <c r="AF255" s="21" t="s">
        <v>140</v>
      </c>
      <c r="AG255" s="21">
        <v>802852449</v>
      </c>
      <c r="AH255" s="21" t="s">
        <v>130</v>
      </c>
      <c r="AI255" s="21" t="s">
        <v>492</v>
      </c>
      <c r="AJ255" s="21"/>
      <c r="AK255" s="28" t="s">
        <v>43</v>
      </c>
      <c r="AL255" s="21"/>
      <c r="AM255" s="21"/>
      <c r="AN255" s="21"/>
      <c r="AO255" s="23">
        <v>45489</v>
      </c>
      <c r="AP255" s="21">
        <v>1219.95</v>
      </c>
      <c r="AQ255" s="21" t="s">
        <v>2062</v>
      </c>
      <c r="AR255" s="21" t="s">
        <v>106</v>
      </c>
      <c r="AS255" s="21" t="s">
        <v>2077</v>
      </c>
      <c r="AT255" s="24"/>
    </row>
    <row r="256" spans="1:46" x14ac:dyDescent="0.25">
      <c r="A256" s="20" t="s">
        <v>1981</v>
      </c>
      <c r="B256" s="21" t="s">
        <v>1997</v>
      </c>
      <c r="C256" s="1" t="s">
        <v>47</v>
      </c>
      <c r="D256" s="21">
        <v>25</v>
      </c>
      <c r="E256" s="21" t="s">
        <v>2013</v>
      </c>
      <c r="F256" s="21" t="s">
        <v>77</v>
      </c>
      <c r="G256" s="22">
        <f>Table1[[#This Row],[ENR]]-Table1[[#This Row],[CREDIT]]</f>
        <v>-46328.33</v>
      </c>
      <c r="H256" s="21">
        <v>110000</v>
      </c>
      <c r="I256" s="35">
        <v>63671.67</v>
      </c>
      <c r="J256" s="22">
        <v>8821.0499999999993</v>
      </c>
      <c r="K256" s="22">
        <v>54850.62</v>
      </c>
      <c r="L256" s="22">
        <v>51347.83</v>
      </c>
      <c r="M256" s="21">
        <v>40340</v>
      </c>
      <c r="N256" s="22">
        <v>17961</v>
      </c>
      <c r="O256" s="1" t="s">
        <v>41</v>
      </c>
      <c r="P256" s="1" t="s">
        <v>42</v>
      </c>
      <c r="Q256" s="15">
        <v>0</v>
      </c>
      <c r="R256" s="22">
        <f>Table1[[#This Row],[STAB]]-Table1[[#This Row],[AMOUNT]]</f>
        <v>17961</v>
      </c>
      <c r="S256" s="1">
        <v>0</v>
      </c>
      <c r="T256" s="1" t="s">
        <v>79</v>
      </c>
      <c r="U256" s="1">
        <v>0</v>
      </c>
      <c r="V256" s="1" t="s">
        <v>267</v>
      </c>
      <c r="W256" s="1" t="s">
        <v>266</v>
      </c>
      <c r="X256" s="1" t="s">
        <v>268</v>
      </c>
      <c r="Y256" s="21" t="s">
        <v>2111</v>
      </c>
      <c r="Z256" s="21" t="s">
        <v>2029</v>
      </c>
      <c r="AA256" s="21" t="s">
        <v>2045</v>
      </c>
      <c r="AB256" s="21" t="s">
        <v>249</v>
      </c>
      <c r="AC256" s="21" t="s">
        <v>91</v>
      </c>
      <c r="AD256" s="21" t="s">
        <v>1916</v>
      </c>
      <c r="AE256" s="21" t="s">
        <v>1920</v>
      </c>
      <c r="AF256" s="21" t="s">
        <v>1163</v>
      </c>
      <c r="AG256" s="21">
        <v>801772794</v>
      </c>
      <c r="AH256" s="21" t="s">
        <v>1161</v>
      </c>
      <c r="AI256" s="21" t="s">
        <v>492</v>
      </c>
      <c r="AJ256" s="21"/>
      <c r="AK256" s="28" t="s">
        <v>43</v>
      </c>
      <c r="AL256" s="21"/>
      <c r="AM256" s="21"/>
      <c r="AN256" s="21"/>
      <c r="AO256" s="23">
        <v>45253</v>
      </c>
      <c r="AP256" s="21">
        <v>41960.05</v>
      </c>
      <c r="AQ256" s="21" t="s">
        <v>2063</v>
      </c>
      <c r="AR256" s="21" t="s">
        <v>106</v>
      </c>
      <c r="AS256" s="21" t="s">
        <v>2077</v>
      </c>
      <c r="AT256" s="24"/>
    </row>
    <row r="257" spans="1:46" x14ac:dyDescent="0.25">
      <c r="A257" s="20" t="s">
        <v>1982</v>
      </c>
      <c r="B257" s="21" t="s">
        <v>1998</v>
      </c>
      <c r="C257" s="1" t="s">
        <v>47</v>
      </c>
      <c r="D257" s="21">
        <v>25</v>
      </c>
      <c r="E257" s="21" t="s">
        <v>2014</v>
      </c>
      <c r="F257" s="21" t="s">
        <v>77</v>
      </c>
      <c r="G257" s="22">
        <f>Table1[[#This Row],[ENR]]-Table1[[#This Row],[CREDIT]]</f>
        <v>-17820.64</v>
      </c>
      <c r="H257" s="21">
        <v>90000</v>
      </c>
      <c r="I257" s="35">
        <v>72179.360000000001</v>
      </c>
      <c r="J257" s="22">
        <v>13778.71</v>
      </c>
      <c r="K257" s="22">
        <v>58400.65</v>
      </c>
      <c r="L257" s="22">
        <v>51921.71</v>
      </c>
      <c r="M257" s="21">
        <v>18610</v>
      </c>
      <c r="N257" s="22">
        <v>8360</v>
      </c>
      <c r="O257" s="1" t="s">
        <v>49</v>
      </c>
      <c r="P257" s="1" t="s">
        <v>12</v>
      </c>
      <c r="Q257" s="15">
        <v>23000</v>
      </c>
      <c r="R257" s="22">
        <f>Table1[[#This Row],[STAB]]-Table1[[#This Row],[AMOUNT]]</f>
        <v>-14640</v>
      </c>
      <c r="S257" s="1" t="s">
        <v>2093</v>
      </c>
      <c r="T257" s="1" t="s">
        <v>446</v>
      </c>
      <c r="U257" s="1">
        <v>0</v>
      </c>
      <c r="V257" s="1" t="s">
        <v>267</v>
      </c>
      <c r="W257" s="1" t="s">
        <v>107</v>
      </c>
      <c r="X257" s="1" t="s">
        <v>200</v>
      </c>
      <c r="Y257" s="21" t="s">
        <v>2111</v>
      </c>
      <c r="Z257" s="21" t="s">
        <v>2030</v>
      </c>
      <c r="AA257" s="21" t="s">
        <v>2046</v>
      </c>
      <c r="AB257" s="21" t="s">
        <v>224</v>
      </c>
      <c r="AC257" s="21" t="s">
        <v>93</v>
      </c>
      <c r="AD257" s="21" t="s">
        <v>459</v>
      </c>
      <c r="AE257" s="21" t="s">
        <v>226</v>
      </c>
      <c r="AF257" s="21" t="s">
        <v>225</v>
      </c>
      <c r="AG257" s="21">
        <v>802388289</v>
      </c>
      <c r="AH257" s="21" t="s">
        <v>130</v>
      </c>
      <c r="AI257" s="21" t="s">
        <v>492</v>
      </c>
      <c r="AJ257" s="21"/>
      <c r="AK257" s="28" t="s">
        <v>447</v>
      </c>
      <c r="AL257" s="21"/>
      <c r="AM257" s="21"/>
      <c r="AN257" s="21"/>
      <c r="AO257" s="23">
        <v>45455</v>
      </c>
      <c r="AP257" s="21">
        <v>4251.17</v>
      </c>
      <c r="AQ257" s="21" t="s">
        <v>2064</v>
      </c>
      <c r="AR257" s="21" t="s">
        <v>81</v>
      </c>
      <c r="AS257" s="21" t="s">
        <v>2077</v>
      </c>
      <c r="AT257" s="24"/>
    </row>
    <row r="258" spans="1:46" x14ac:dyDescent="0.25">
      <c r="A258" s="20" t="s">
        <v>1983</v>
      </c>
      <c r="B258" s="21" t="s">
        <v>1999</v>
      </c>
      <c r="C258" s="1" t="s">
        <v>83</v>
      </c>
      <c r="D258" s="21">
        <v>25</v>
      </c>
      <c r="E258" s="21" t="s">
        <v>2015</v>
      </c>
      <c r="F258" s="21" t="s">
        <v>77</v>
      </c>
      <c r="G258" s="22">
        <f>Table1[[#This Row],[ENR]]-Table1[[#This Row],[CREDIT]]</f>
        <v>3183.1200000000026</v>
      </c>
      <c r="H258" s="21">
        <v>60000</v>
      </c>
      <c r="I258" s="35">
        <v>63183.12</v>
      </c>
      <c r="J258" s="22" t="s">
        <v>78</v>
      </c>
      <c r="K258" s="22">
        <v>63183.12</v>
      </c>
      <c r="L258" s="22">
        <v>55616.82</v>
      </c>
      <c r="M258" s="21">
        <v>18770</v>
      </c>
      <c r="N258" s="22">
        <v>9110</v>
      </c>
      <c r="O258" s="1" t="s">
        <v>41</v>
      </c>
      <c r="P258" s="1" t="s">
        <v>42</v>
      </c>
      <c r="Q258" s="15">
        <v>0</v>
      </c>
      <c r="R258" s="22">
        <f>Table1[[#This Row],[STAB]]-Table1[[#This Row],[AMOUNT]]</f>
        <v>9110</v>
      </c>
      <c r="S258" s="1">
        <v>0</v>
      </c>
      <c r="T258" s="1" t="s">
        <v>79</v>
      </c>
      <c r="U258" s="1">
        <v>0</v>
      </c>
      <c r="V258" s="1" t="s">
        <v>267</v>
      </c>
      <c r="W258" s="1" t="s">
        <v>265</v>
      </c>
      <c r="X258" s="1" t="s">
        <v>269</v>
      </c>
      <c r="Y258" s="21" t="s">
        <v>2111</v>
      </c>
      <c r="Z258" s="21" t="s">
        <v>2031</v>
      </c>
      <c r="AA258" s="21" t="s">
        <v>2047</v>
      </c>
      <c r="AB258" s="21" t="s">
        <v>70</v>
      </c>
      <c r="AC258" s="21" t="s">
        <v>91</v>
      </c>
      <c r="AD258" s="21" t="s">
        <v>51</v>
      </c>
      <c r="AE258" s="21" t="s">
        <v>189</v>
      </c>
      <c r="AF258" s="21" t="s">
        <v>136</v>
      </c>
      <c r="AG258" s="21">
        <v>801772792</v>
      </c>
      <c r="AH258" s="21" t="s">
        <v>132</v>
      </c>
      <c r="AI258" s="21" t="s">
        <v>492</v>
      </c>
      <c r="AJ258" s="21"/>
      <c r="AK258" s="28" t="s">
        <v>447</v>
      </c>
      <c r="AL258" s="21" t="s">
        <v>458</v>
      </c>
      <c r="AM258" s="21" t="s">
        <v>2118</v>
      </c>
      <c r="AN258" s="21" t="s">
        <v>2115</v>
      </c>
      <c r="AO258" s="23">
        <v>45456</v>
      </c>
      <c r="AP258" s="21">
        <v>3361.5</v>
      </c>
      <c r="AQ258" s="21" t="s">
        <v>2065</v>
      </c>
      <c r="AR258" s="21" t="s">
        <v>1912</v>
      </c>
      <c r="AS258" s="21" t="s">
        <v>2077</v>
      </c>
      <c r="AT258" s="24"/>
    </row>
    <row r="259" spans="1:46" x14ac:dyDescent="0.25">
      <c r="A259" s="20" t="s">
        <v>1984</v>
      </c>
      <c r="B259" s="21" t="s">
        <v>2000</v>
      </c>
      <c r="C259" s="1" t="s">
        <v>47</v>
      </c>
      <c r="D259" s="21">
        <v>25</v>
      </c>
      <c r="E259" s="21" t="s">
        <v>2016</v>
      </c>
      <c r="F259" s="21" t="s">
        <v>77</v>
      </c>
      <c r="G259" s="22">
        <f>Table1[[#This Row],[ENR]]-Table1[[#This Row],[CREDIT]]</f>
        <v>451344.64000000001</v>
      </c>
      <c r="H259" s="21">
        <v>350000</v>
      </c>
      <c r="I259" s="35">
        <v>801344.64</v>
      </c>
      <c r="J259" s="22">
        <v>468168.81</v>
      </c>
      <c r="K259" s="22">
        <v>333175.83</v>
      </c>
      <c r="L259" s="22">
        <v>295346.90999999997</v>
      </c>
      <c r="M259" s="21">
        <v>149620</v>
      </c>
      <c r="N259" s="22">
        <v>77350</v>
      </c>
      <c r="O259" s="1" t="s">
        <v>41</v>
      </c>
      <c r="P259" s="1" t="s">
        <v>42</v>
      </c>
      <c r="Q259" s="15">
        <v>0</v>
      </c>
      <c r="R259" s="22">
        <f>Table1[[#This Row],[STAB]]-Table1[[#This Row],[AMOUNT]]</f>
        <v>77350</v>
      </c>
      <c r="S259" s="1">
        <v>0</v>
      </c>
      <c r="T259" s="1" t="s">
        <v>79</v>
      </c>
      <c r="U259" s="1">
        <v>0</v>
      </c>
      <c r="V259" s="1" t="s">
        <v>267</v>
      </c>
      <c r="W259" s="1" t="s">
        <v>645</v>
      </c>
      <c r="X259" s="1" t="s">
        <v>646</v>
      </c>
      <c r="Y259" s="21" t="s">
        <v>2111</v>
      </c>
      <c r="Z259" s="21" t="s">
        <v>2032</v>
      </c>
      <c r="AA259" s="21" t="s">
        <v>2048</v>
      </c>
      <c r="AB259" s="21" t="s">
        <v>435</v>
      </c>
      <c r="AC259" s="21" t="s">
        <v>443</v>
      </c>
      <c r="AD259" s="21" t="s">
        <v>75</v>
      </c>
      <c r="AE259" s="21" t="s">
        <v>441</v>
      </c>
      <c r="AF259" s="21" t="s">
        <v>442</v>
      </c>
      <c r="AG259" s="21">
        <v>802789320</v>
      </c>
      <c r="AH259" s="21" t="s">
        <v>130</v>
      </c>
      <c r="AI259" s="21" t="s">
        <v>492</v>
      </c>
      <c r="AJ259" s="21"/>
      <c r="AK259" s="28" t="s">
        <v>43</v>
      </c>
      <c r="AL259" s="21"/>
      <c r="AM259" s="21"/>
      <c r="AN259" s="21"/>
      <c r="AO259" s="23">
        <v>46025</v>
      </c>
      <c r="AP259" s="21">
        <v>1</v>
      </c>
      <c r="AQ259" s="21" t="s">
        <v>2066</v>
      </c>
      <c r="AR259" s="21" t="s">
        <v>89</v>
      </c>
      <c r="AS259" s="21" t="s">
        <v>2077</v>
      </c>
      <c r="AT259" s="24"/>
    </row>
    <row r="260" spans="1:46" x14ac:dyDescent="0.25">
      <c r="A260" s="20" t="s">
        <v>1985</v>
      </c>
      <c r="B260" s="21" t="s">
        <v>2001</v>
      </c>
      <c r="C260" s="1" t="s">
        <v>47</v>
      </c>
      <c r="D260" s="21">
        <v>25</v>
      </c>
      <c r="E260" s="21" t="s">
        <v>2017</v>
      </c>
      <c r="F260" s="21" t="s">
        <v>77</v>
      </c>
      <c r="G260" s="22">
        <f>Table1[[#This Row],[ENR]]-Table1[[#This Row],[CREDIT]]</f>
        <v>-28121.150000000023</v>
      </c>
      <c r="H260" s="21">
        <v>310000</v>
      </c>
      <c r="I260" s="35">
        <v>281878.84999999998</v>
      </c>
      <c r="J260" s="22" t="s">
        <v>78</v>
      </c>
      <c r="K260" s="22">
        <v>281878.84999999998</v>
      </c>
      <c r="L260" s="22">
        <v>261249.4</v>
      </c>
      <c r="M260" s="21">
        <v>60150</v>
      </c>
      <c r="N260" s="22">
        <v>38840</v>
      </c>
      <c r="O260" s="1" t="s">
        <v>41</v>
      </c>
      <c r="P260" s="1" t="s">
        <v>42</v>
      </c>
      <c r="Q260" s="15">
        <v>0</v>
      </c>
      <c r="R260" s="22">
        <f>Table1[[#This Row],[STAB]]-Table1[[#This Row],[AMOUNT]]</f>
        <v>38840</v>
      </c>
      <c r="S260" s="1">
        <v>0</v>
      </c>
      <c r="T260" s="1" t="s">
        <v>79</v>
      </c>
      <c r="U260" s="1">
        <v>0</v>
      </c>
      <c r="V260" s="1" t="s">
        <v>267</v>
      </c>
      <c r="W260" s="1" t="s">
        <v>265</v>
      </c>
      <c r="X260" s="1" t="s">
        <v>269</v>
      </c>
      <c r="Y260" s="21" t="s">
        <v>2111</v>
      </c>
      <c r="Z260" s="21" t="s">
        <v>2033</v>
      </c>
      <c r="AA260" s="21" t="s">
        <v>2049</v>
      </c>
      <c r="AB260" s="21" t="s">
        <v>80</v>
      </c>
      <c r="AC260" s="21" t="s">
        <v>91</v>
      </c>
      <c r="AD260" s="21" t="s">
        <v>99</v>
      </c>
      <c r="AE260" s="21" t="s">
        <v>449</v>
      </c>
      <c r="AF260" s="21" t="s">
        <v>450</v>
      </c>
      <c r="AG260" s="21">
        <v>802898520</v>
      </c>
      <c r="AH260" s="21" t="s">
        <v>130</v>
      </c>
      <c r="AI260" s="21" t="s">
        <v>492</v>
      </c>
      <c r="AJ260" s="21"/>
      <c r="AK260" s="28" t="s">
        <v>447</v>
      </c>
      <c r="AL260" s="21" t="s">
        <v>463</v>
      </c>
      <c r="AM260" s="21" t="s">
        <v>2116</v>
      </c>
      <c r="AN260" s="21" t="s">
        <v>2115</v>
      </c>
      <c r="AO260" s="23">
        <v>45701</v>
      </c>
      <c r="AP260" s="21">
        <v>15000</v>
      </c>
      <c r="AQ260" s="21" t="s">
        <v>2067</v>
      </c>
      <c r="AR260" s="21" t="s">
        <v>106</v>
      </c>
      <c r="AS260" s="21" t="s">
        <v>2077</v>
      </c>
      <c r="AT260" s="24"/>
    </row>
    <row r="261" spans="1:46" x14ac:dyDescent="0.25">
      <c r="A261" s="20" t="s">
        <v>1986</v>
      </c>
      <c r="B261" s="21" t="s">
        <v>2002</v>
      </c>
      <c r="C261" s="1" t="s">
        <v>47</v>
      </c>
      <c r="D261" s="21">
        <v>23</v>
      </c>
      <c r="E261" s="21" t="s">
        <v>2018</v>
      </c>
      <c r="F261" s="21" t="s">
        <v>527</v>
      </c>
      <c r="G261" s="22">
        <f>Table1[[#This Row],[ENR]]-Table1[[#This Row],[CREDIT]]</f>
        <v>-158758.15999999997</v>
      </c>
      <c r="H261" s="21">
        <v>490000</v>
      </c>
      <c r="I261" s="35">
        <v>331241.84000000003</v>
      </c>
      <c r="J261" s="22">
        <v>240759.93</v>
      </c>
      <c r="K261" s="22">
        <v>90481.91</v>
      </c>
      <c r="L261" s="22">
        <v>81249.55</v>
      </c>
      <c r="M261" s="21">
        <v>52430</v>
      </c>
      <c r="N261" s="22">
        <v>28223.21</v>
      </c>
      <c r="O261" s="1" t="s">
        <v>41</v>
      </c>
      <c r="P261" s="1" t="s">
        <v>42</v>
      </c>
      <c r="Q261" s="15">
        <v>0</v>
      </c>
      <c r="R261" s="22">
        <f>Table1[[#This Row],[STAB]]-Table1[[#This Row],[AMOUNT]]</f>
        <v>28223.21</v>
      </c>
      <c r="S261" s="1">
        <v>0</v>
      </c>
      <c r="T261" s="1" t="s">
        <v>79</v>
      </c>
      <c r="U261" s="1">
        <v>0</v>
      </c>
      <c r="V261" s="1" t="s">
        <v>267</v>
      </c>
      <c r="W261" s="1" t="s">
        <v>266</v>
      </c>
      <c r="X261" s="1" t="s">
        <v>268</v>
      </c>
      <c r="Y261" s="21" t="s">
        <v>2111</v>
      </c>
      <c r="Z261" s="21" t="s">
        <v>2034</v>
      </c>
      <c r="AA261" s="21" t="s">
        <v>2050</v>
      </c>
      <c r="AB261" s="21" t="s">
        <v>176</v>
      </c>
      <c r="AC261" s="21" t="s">
        <v>91</v>
      </c>
      <c r="AD261" s="21" t="s">
        <v>872</v>
      </c>
      <c r="AE261" s="21" t="s">
        <v>873</v>
      </c>
      <c r="AF261" s="21" t="s">
        <v>261</v>
      </c>
      <c r="AG261" s="21">
        <v>803037151</v>
      </c>
      <c r="AH261" s="21" t="s">
        <v>131</v>
      </c>
      <c r="AI261" s="21" t="s">
        <v>492</v>
      </c>
      <c r="AJ261" s="21"/>
      <c r="AK261" s="28" t="s">
        <v>447</v>
      </c>
      <c r="AL261" s="21" t="s">
        <v>463</v>
      </c>
      <c r="AM261" s="21" t="s">
        <v>2114</v>
      </c>
      <c r="AN261" s="21" t="s">
        <v>2115</v>
      </c>
      <c r="AO261" s="23">
        <v>46309</v>
      </c>
      <c r="AP261" s="21">
        <v>74206.789999999994</v>
      </c>
      <c r="AQ261" s="21" t="s">
        <v>2068</v>
      </c>
      <c r="AR261" s="21" t="s">
        <v>81</v>
      </c>
      <c r="AS261" s="21" t="s">
        <v>2077</v>
      </c>
      <c r="AT261" s="24"/>
    </row>
    <row r="262" spans="1:46" x14ac:dyDescent="0.25">
      <c r="A262" s="20" t="s">
        <v>1987</v>
      </c>
      <c r="B262" s="21" t="s">
        <v>2003</v>
      </c>
      <c r="C262" s="1" t="s">
        <v>47</v>
      </c>
      <c r="D262" s="21">
        <v>25</v>
      </c>
      <c r="E262" s="21" t="s">
        <v>2019</v>
      </c>
      <c r="F262" s="21" t="s">
        <v>77</v>
      </c>
      <c r="G262" s="22">
        <f>Table1[[#This Row],[ENR]]-Table1[[#This Row],[CREDIT]]</f>
        <v>-4536.1600000000035</v>
      </c>
      <c r="H262" s="21">
        <v>40000</v>
      </c>
      <c r="I262" s="35">
        <v>35463.839999999997</v>
      </c>
      <c r="J262" s="22">
        <v>1621.64</v>
      </c>
      <c r="K262" s="22">
        <v>33842.199999999997</v>
      </c>
      <c r="L262" s="22">
        <v>28399.07</v>
      </c>
      <c r="M262" s="21">
        <v>8040</v>
      </c>
      <c r="N262" s="22">
        <v>3520</v>
      </c>
      <c r="O262" s="1" t="s">
        <v>41</v>
      </c>
      <c r="P262" s="1" t="s">
        <v>42</v>
      </c>
      <c r="Q262" s="15">
        <v>0</v>
      </c>
      <c r="R262" s="22">
        <f>Table1[[#This Row],[STAB]]-Table1[[#This Row],[AMOUNT]]</f>
        <v>3520</v>
      </c>
      <c r="S262" s="1">
        <v>0</v>
      </c>
      <c r="T262" s="1" t="s">
        <v>79</v>
      </c>
      <c r="U262" s="1">
        <v>0</v>
      </c>
      <c r="V262" s="1" t="s">
        <v>267</v>
      </c>
      <c r="W262" s="1" t="s">
        <v>266</v>
      </c>
      <c r="X262" s="1" t="s">
        <v>268</v>
      </c>
      <c r="Y262" s="21" t="s">
        <v>2111</v>
      </c>
      <c r="Z262" s="21" t="s">
        <v>2035</v>
      </c>
      <c r="AA262" s="21" t="s">
        <v>2051</v>
      </c>
      <c r="AB262" s="21" t="s">
        <v>149</v>
      </c>
      <c r="AC262" s="21" t="s">
        <v>91</v>
      </c>
      <c r="AD262" s="1" t="s">
        <v>2080</v>
      </c>
      <c r="AE262" s="59" t="s">
        <v>2081</v>
      </c>
      <c r="AF262" s="21" t="s">
        <v>274</v>
      </c>
      <c r="AG262" s="21">
        <v>801354813</v>
      </c>
      <c r="AH262" s="21" t="s">
        <v>132</v>
      </c>
      <c r="AI262" s="21" t="s">
        <v>492</v>
      </c>
      <c r="AJ262" s="21"/>
      <c r="AK262" s="28" t="s">
        <v>43</v>
      </c>
      <c r="AL262" s="21"/>
      <c r="AM262" s="21"/>
      <c r="AN262" s="21"/>
      <c r="AO262" s="23">
        <v>45477</v>
      </c>
      <c r="AP262" s="21">
        <v>129</v>
      </c>
      <c r="AQ262" s="21" t="s">
        <v>2069</v>
      </c>
      <c r="AR262" s="21" t="s">
        <v>223</v>
      </c>
      <c r="AS262" s="21" t="s">
        <v>2077</v>
      </c>
      <c r="AT262" s="24"/>
    </row>
    <row r="263" spans="1:46" x14ac:dyDescent="0.25">
      <c r="A263" s="20" t="s">
        <v>1988</v>
      </c>
      <c r="B263" s="21" t="s">
        <v>2004</v>
      </c>
      <c r="C263" s="1" t="s">
        <v>47</v>
      </c>
      <c r="D263" s="21">
        <v>25</v>
      </c>
      <c r="E263" s="21" t="s">
        <v>2020</v>
      </c>
      <c r="F263" s="21" t="s">
        <v>527</v>
      </c>
      <c r="G263" s="22">
        <f>Table1[[#This Row],[ENR]]-Table1[[#This Row],[CREDIT]]</f>
        <v>-17017.11</v>
      </c>
      <c r="H263" s="21">
        <v>60000</v>
      </c>
      <c r="I263" s="35">
        <v>42982.89</v>
      </c>
      <c r="J263" s="22">
        <v>14289.8</v>
      </c>
      <c r="K263" s="22">
        <v>28693.09</v>
      </c>
      <c r="L263" s="22">
        <v>26453.91</v>
      </c>
      <c r="M263" s="21">
        <v>12460</v>
      </c>
      <c r="N263" s="22">
        <v>4470</v>
      </c>
      <c r="O263" s="1" t="s">
        <v>41</v>
      </c>
      <c r="P263" s="1" t="s">
        <v>42</v>
      </c>
      <c r="Q263" s="15">
        <v>0</v>
      </c>
      <c r="R263" s="22">
        <f>Table1[[#This Row],[STAB]]-Table1[[#This Row],[AMOUNT]]</f>
        <v>4470</v>
      </c>
      <c r="S263" s="1">
        <v>0</v>
      </c>
      <c r="T263" s="1" t="s">
        <v>79</v>
      </c>
      <c r="U263" s="1">
        <v>0</v>
      </c>
      <c r="V263" s="1" t="s">
        <v>267</v>
      </c>
      <c r="W263" s="1" t="s">
        <v>265</v>
      </c>
      <c r="X263" s="1" t="s">
        <v>269</v>
      </c>
      <c r="Y263" s="21" t="s">
        <v>2111</v>
      </c>
      <c r="Z263" s="21" t="s">
        <v>2036</v>
      </c>
      <c r="AA263" s="21" t="s">
        <v>2052</v>
      </c>
      <c r="AB263" s="21" t="s">
        <v>70</v>
      </c>
      <c r="AC263" s="21" t="s">
        <v>91</v>
      </c>
      <c r="AD263" s="21" t="s">
        <v>51</v>
      </c>
      <c r="AE263" s="21" t="s">
        <v>189</v>
      </c>
      <c r="AF263" s="21" t="s">
        <v>136</v>
      </c>
      <c r="AG263" s="21">
        <v>801772792</v>
      </c>
      <c r="AH263" s="21" t="s">
        <v>132</v>
      </c>
      <c r="AI263" s="21" t="s">
        <v>492</v>
      </c>
      <c r="AJ263" s="21"/>
      <c r="AK263" s="28" t="s">
        <v>43</v>
      </c>
      <c r="AL263" s="21"/>
      <c r="AM263" s="21"/>
      <c r="AN263" s="21"/>
      <c r="AO263" s="23">
        <v>45456</v>
      </c>
      <c r="AP263" s="21">
        <v>18331.5</v>
      </c>
      <c r="AQ263" s="21" t="s">
        <v>2070</v>
      </c>
      <c r="AR263" s="21" t="s">
        <v>1910</v>
      </c>
      <c r="AS263" s="21" t="s">
        <v>2077</v>
      </c>
      <c r="AT263" s="24"/>
    </row>
    <row r="264" spans="1:46" x14ac:dyDescent="0.25">
      <c r="A264" s="20" t="s">
        <v>1989</v>
      </c>
      <c r="B264" s="21" t="s">
        <v>2005</v>
      </c>
      <c r="C264" s="1" t="s">
        <v>83</v>
      </c>
      <c r="D264" s="21">
        <v>25</v>
      </c>
      <c r="E264" s="21" t="s">
        <v>2021</v>
      </c>
      <c r="F264" s="21" t="s">
        <v>77</v>
      </c>
      <c r="G264" s="22">
        <f>Table1[[#This Row],[ENR]]-Table1[[#This Row],[CREDIT]]</f>
        <v>679525.82</v>
      </c>
      <c r="H264" s="21">
        <v>180000</v>
      </c>
      <c r="I264" s="35">
        <v>859525.82</v>
      </c>
      <c r="J264" s="22">
        <v>680362.07</v>
      </c>
      <c r="K264" s="22">
        <v>179163.75</v>
      </c>
      <c r="L264" s="22">
        <v>167727.54999999999</v>
      </c>
      <c r="M264" s="21">
        <v>77690</v>
      </c>
      <c r="N264" s="22">
        <v>39028</v>
      </c>
      <c r="O264" s="1" t="s">
        <v>41</v>
      </c>
      <c r="P264" s="1" t="s">
        <v>42</v>
      </c>
      <c r="Q264" s="15">
        <v>0</v>
      </c>
      <c r="R264" s="22">
        <f>Table1[[#This Row],[STAB]]-Table1[[#This Row],[AMOUNT]]</f>
        <v>39028</v>
      </c>
      <c r="S264" s="1">
        <v>0</v>
      </c>
      <c r="T264" s="1" t="s">
        <v>79</v>
      </c>
      <c r="U264" s="1">
        <v>0</v>
      </c>
      <c r="V264" s="1" t="s">
        <v>267</v>
      </c>
      <c r="W264" s="1" t="s">
        <v>265</v>
      </c>
      <c r="X264" s="1" t="s">
        <v>269</v>
      </c>
      <c r="Y264" s="21" t="s">
        <v>2110</v>
      </c>
      <c r="Z264" s="21" t="s">
        <v>2037</v>
      </c>
      <c r="AA264" s="21" t="s">
        <v>2053</v>
      </c>
      <c r="AB264" s="21" t="s">
        <v>104</v>
      </c>
      <c r="AC264" s="21" t="s">
        <v>91</v>
      </c>
      <c r="AD264" s="21" t="s">
        <v>113</v>
      </c>
      <c r="AE264" s="21" t="s">
        <v>1170</v>
      </c>
      <c r="AF264" s="21" t="s">
        <v>133</v>
      </c>
      <c r="AG264" s="21">
        <v>802913252</v>
      </c>
      <c r="AH264" s="21" t="s">
        <v>130</v>
      </c>
      <c r="AI264" s="21" t="s">
        <v>492</v>
      </c>
      <c r="AJ264" s="21"/>
      <c r="AK264" s="28" t="s">
        <v>43</v>
      </c>
      <c r="AL264" s="21"/>
      <c r="AM264" s="21"/>
      <c r="AN264" s="21"/>
      <c r="AO264" s="23">
        <v>45508</v>
      </c>
      <c r="AP264" s="21">
        <v>555</v>
      </c>
      <c r="AQ264" s="21" t="s">
        <v>2071</v>
      </c>
      <c r="AR264" s="21" t="s">
        <v>81</v>
      </c>
      <c r="AS264" s="21" t="s">
        <v>2077</v>
      </c>
      <c r="AT264" s="24"/>
    </row>
    <row r="265" spans="1:46" x14ac:dyDescent="0.25">
      <c r="A265" s="20" t="s">
        <v>1990</v>
      </c>
      <c r="B265" s="21" t="s">
        <v>2006</v>
      </c>
      <c r="C265" s="1" t="s">
        <v>47</v>
      </c>
      <c r="D265" s="21">
        <v>25</v>
      </c>
      <c r="E265" s="21" t="s">
        <v>2022</v>
      </c>
      <c r="F265" s="21" t="s">
        <v>77</v>
      </c>
      <c r="G265" s="22">
        <f>Table1[[#This Row],[ENR]]-Table1[[#This Row],[CREDIT]]</f>
        <v>-71867.7</v>
      </c>
      <c r="H265" s="21">
        <v>150000</v>
      </c>
      <c r="I265" s="35">
        <v>78132.3</v>
      </c>
      <c r="J265" s="22" t="s">
        <v>78</v>
      </c>
      <c r="K265" s="22">
        <v>78132.3</v>
      </c>
      <c r="L265" s="22">
        <v>70000</v>
      </c>
      <c r="M265" s="21">
        <v>14960</v>
      </c>
      <c r="N265" s="22">
        <v>4090</v>
      </c>
      <c r="O265" s="1" t="s">
        <v>41</v>
      </c>
      <c r="P265" s="1" t="s">
        <v>42</v>
      </c>
      <c r="Q265" s="15">
        <v>0</v>
      </c>
      <c r="R265" s="22">
        <f>Table1[[#This Row],[STAB]]-Table1[[#This Row],[AMOUNT]]</f>
        <v>4090</v>
      </c>
      <c r="S265" s="1">
        <v>0</v>
      </c>
      <c r="T265" s="1" t="s">
        <v>79</v>
      </c>
      <c r="U265" s="1">
        <v>0</v>
      </c>
      <c r="V265" s="1" t="s">
        <v>267</v>
      </c>
      <c r="W265" s="1" t="s">
        <v>265</v>
      </c>
      <c r="X265" s="1" t="s">
        <v>269</v>
      </c>
      <c r="Y265" s="21" t="s">
        <v>2111</v>
      </c>
      <c r="Z265" s="21" t="s">
        <v>2038</v>
      </c>
      <c r="AA265" s="21" t="s">
        <v>2054</v>
      </c>
      <c r="AB265" s="21" t="s">
        <v>1107</v>
      </c>
      <c r="AC265" s="21" t="s">
        <v>252</v>
      </c>
      <c r="AD265" s="21" t="s">
        <v>250</v>
      </c>
      <c r="AE265" s="21" t="s">
        <v>251</v>
      </c>
      <c r="AF265" s="21" t="s">
        <v>135</v>
      </c>
      <c r="AG265" s="21">
        <v>802823175</v>
      </c>
      <c r="AH265" s="21" t="s">
        <v>132</v>
      </c>
      <c r="AI265" s="21" t="s">
        <v>492</v>
      </c>
      <c r="AJ265" s="21"/>
      <c r="AK265" s="28" t="s">
        <v>43</v>
      </c>
      <c r="AL265" s="21"/>
      <c r="AM265" s="21"/>
      <c r="AN265" s="21"/>
      <c r="AO265" s="23">
        <v>45479</v>
      </c>
      <c r="AP265" s="21">
        <v>5103</v>
      </c>
      <c r="AQ265" s="21" t="s">
        <v>2072</v>
      </c>
      <c r="AR265" s="21" t="s">
        <v>1910</v>
      </c>
      <c r="AS265" s="21" t="s">
        <v>2077</v>
      </c>
      <c r="AT265" s="24"/>
    </row>
    <row r="266" spans="1:46" x14ac:dyDescent="0.25">
      <c r="A266" s="20" t="s">
        <v>1991</v>
      </c>
      <c r="B266" s="21" t="s">
        <v>2007</v>
      </c>
      <c r="C266" s="1" t="s">
        <v>47</v>
      </c>
      <c r="D266" s="21">
        <v>25</v>
      </c>
      <c r="E266" s="21" t="s">
        <v>2023</v>
      </c>
      <c r="F266" s="21" t="s">
        <v>77</v>
      </c>
      <c r="G266" s="22">
        <f>Table1[[#This Row],[ENR]]-Table1[[#This Row],[CREDIT]]</f>
        <v>3048.0800000000017</v>
      </c>
      <c r="H266" s="21">
        <v>100000</v>
      </c>
      <c r="I266" s="35">
        <v>103048.08</v>
      </c>
      <c r="J266" s="22">
        <v>89362.15</v>
      </c>
      <c r="K266" s="22">
        <v>13685.93</v>
      </c>
      <c r="L266" s="22">
        <v>8674.09</v>
      </c>
      <c r="M266" s="21">
        <v>12240</v>
      </c>
      <c r="N266" s="22">
        <v>5369.63</v>
      </c>
      <c r="O266" s="1" t="s">
        <v>41</v>
      </c>
      <c r="P266" s="1" t="s">
        <v>42</v>
      </c>
      <c r="Q266" s="15">
        <v>0</v>
      </c>
      <c r="R266" s="22">
        <f>Table1[[#This Row],[STAB]]-Table1[[#This Row],[AMOUNT]]</f>
        <v>5369.63</v>
      </c>
      <c r="S266" s="1">
        <v>0</v>
      </c>
      <c r="T266" s="1" t="s">
        <v>79</v>
      </c>
      <c r="U266" s="1">
        <v>0</v>
      </c>
      <c r="V266" s="1" t="s">
        <v>267</v>
      </c>
      <c r="W266" s="1" t="s">
        <v>265</v>
      </c>
      <c r="X266" s="1" t="s">
        <v>269</v>
      </c>
      <c r="Y266" s="21" t="s">
        <v>2111</v>
      </c>
      <c r="Z266" s="21" t="s">
        <v>2039</v>
      </c>
      <c r="AA266" s="21" t="s">
        <v>2055</v>
      </c>
      <c r="AB266" s="21" t="s">
        <v>70</v>
      </c>
      <c r="AC266" s="21" t="s">
        <v>91</v>
      </c>
      <c r="AD266" s="21" t="s">
        <v>51</v>
      </c>
      <c r="AE266" s="21" t="s">
        <v>189</v>
      </c>
      <c r="AF266" s="21" t="s">
        <v>136</v>
      </c>
      <c r="AG266" s="21">
        <v>801772792</v>
      </c>
      <c r="AH266" s="21" t="s">
        <v>132</v>
      </c>
      <c r="AI266" s="21" t="s">
        <v>492</v>
      </c>
      <c r="AJ266" s="21"/>
      <c r="AK266" s="28" t="s">
        <v>43</v>
      </c>
      <c r="AL266" s="21"/>
      <c r="AM266" s="21"/>
      <c r="AN266" s="21"/>
      <c r="AO266" s="23">
        <v>45666</v>
      </c>
      <c r="AP266" s="21">
        <v>43229</v>
      </c>
      <c r="AQ266" s="21" t="s">
        <v>2073</v>
      </c>
      <c r="AR266" s="21" t="s">
        <v>1156</v>
      </c>
      <c r="AS266" s="21" t="s">
        <v>2077</v>
      </c>
      <c r="AT266" s="24"/>
    </row>
    <row r="267" spans="1:46" x14ac:dyDescent="0.25">
      <c r="A267" s="20" t="s">
        <v>1992</v>
      </c>
      <c r="B267" s="21" t="s">
        <v>2008</v>
      </c>
      <c r="C267" s="1" t="s">
        <v>47</v>
      </c>
      <c r="D267" s="21">
        <v>25</v>
      </c>
      <c r="E267" s="21" t="s">
        <v>2024</v>
      </c>
      <c r="F267" s="21" t="s">
        <v>77</v>
      </c>
      <c r="G267" s="22">
        <f>Table1[[#This Row],[ENR]]-Table1[[#This Row],[CREDIT]]</f>
        <v>-87613.53</v>
      </c>
      <c r="H267" s="21">
        <v>200000</v>
      </c>
      <c r="I267" s="35">
        <v>112386.47</v>
      </c>
      <c r="J267" s="22" t="s">
        <v>78</v>
      </c>
      <c r="K267" s="22">
        <v>112386.47</v>
      </c>
      <c r="L267" s="22">
        <v>104734.21</v>
      </c>
      <c r="M267" s="21">
        <v>18600</v>
      </c>
      <c r="N267" s="22">
        <v>11390</v>
      </c>
      <c r="O267" s="1" t="s">
        <v>41</v>
      </c>
      <c r="P267" s="1" t="s">
        <v>42</v>
      </c>
      <c r="Q267" s="15">
        <v>0</v>
      </c>
      <c r="R267" s="22">
        <f>Table1[[#This Row],[STAB]]-Table1[[#This Row],[AMOUNT]]</f>
        <v>11390</v>
      </c>
      <c r="S267" s="1">
        <v>0</v>
      </c>
      <c r="T267" s="1" t="s">
        <v>79</v>
      </c>
      <c r="U267" s="1">
        <v>0</v>
      </c>
      <c r="V267" s="1" t="s">
        <v>267</v>
      </c>
      <c r="W267" s="1" t="s">
        <v>645</v>
      </c>
      <c r="X267" s="1" t="s">
        <v>646</v>
      </c>
      <c r="Y267" s="21" t="s">
        <v>2110</v>
      </c>
      <c r="Z267" s="21" t="s">
        <v>2040</v>
      </c>
      <c r="AA267" s="21" t="s">
        <v>2056</v>
      </c>
      <c r="AB267" s="21" t="s">
        <v>104</v>
      </c>
      <c r="AC267" s="21" t="s">
        <v>258</v>
      </c>
      <c r="AD267" s="21" t="s">
        <v>461</v>
      </c>
      <c r="AE267" s="21" t="s">
        <v>1168</v>
      </c>
      <c r="AF267" s="21" t="s">
        <v>133</v>
      </c>
      <c r="AG267" s="21">
        <v>802913252</v>
      </c>
      <c r="AH267" s="21" t="s">
        <v>130</v>
      </c>
      <c r="AI267" s="21" t="s">
        <v>492</v>
      </c>
      <c r="AJ267" s="21"/>
      <c r="AK267" s="28" t="s">
        <v>43</v>
      </c>
      <c r="AL267" s="21"/>
      <c r="AM267" s="21"/>
      <c r="AN267" s="21"/>
      <c r="AO267" s="23">
        <v>46196</v>
      </c>
      <c r="AP267" s="21">
        <v>4380</v>
      </c>
      <c r="AQ267" s="21" t="s">
        <v>2074</v>
      </c>
      <c r="AR267" s="21" t="s">
        <v>1156</v>
      </c>
      <c r="AS267" s="21" t="s">
        <v>2077</v>
      </c>
      <c r="AT267" s="24"/>
    </row>
    <row r="268" spans="1:46" x14ac:dyDescent="0.25">
      <c r="A268" s="20" t="s">
        <v>1993</v>
      </c>
      <c r="B268" s="21" t="s">
        <v>2009</v>
      </c>
      <c r="C268" s="1" t="s">
        <v>83</v>
      </c>
      <c r="D268" s="21">
        <v>25</v>
      </c>
      <c r="E268" s="21" t="s">
        <v>2025</v>
      </c>
      <c r="F268" s="21" t="s">
        <v>77</v>
      </c>
      <c r="G268" s="22">
        <f>Table1[[#This Row],[ENR]]-Table1[[#This Row],[CREDIT]]</f>
        <v>1403.8400000000001</v>
      </c>
      <c r="H268" s="21">
        <v>30000</v>
      </c>
      <c r="I268" s="35">
        <v>31403.84</v>
      </c>
      <c r="J268" s="22">
        <v>16901.36</v>
      </c>
      <c r="K268" s="22">
        <v>14502.48</v>
      </c>
      <c r="L268" s="22">
        <v>12712.24</v>
      </c>
      <c r="M268" s="21">
        <v>10240</v>
      </c>
      <c r="N268" s="22">
        <v>4990</v>
      </c>
      <c r="O268" s="1" t="s">
        <v>41</v>
      </c>
      <c r="P268" s="1" t="s">
        <v>42</v>
      </c>
      <c r="Q268" s="15">
        <v>0</v>
      </c>
      <c r="R268" s="22">
        <f>Table1[[#This Row],[STAB]]-Table1[[#This Row],[AMOUNT]]</f>
        <v>4990</v>
      </c>
      <c r="S268" s="1">
        <v>0</v>
      </c>
      <c r="T268" s="1" t="s">
        <v>79</v>
      </c>
      <c r="U268" s="1">
        <v>0</v>
      </c>
      <c r="V268" s="1" t="s">
        <v>267</v>
      </c>
      <c r="W268" s="1" t="s">
        <v>107</v>
      </c>
      <c r="X268" s="1" t="s">
        <v>200</v>
      </c>
      <c r="Y268" s="21" t="s">
        <v>2111</v>
      </c>
      <c r="Z268" s="21" t="s">
        <v>2041</v>
      </c>
      <c r="AA268" s="21" t="s">
        <v>2057</v>
      </c>
      <c r="AB268" s="21" t="s">
        <v>257</v>
      </c>
      <c r="AC268" s="21" t="s">
        <v>93</v>
      </c>
      <c r="AD268" s="21" t="s">
        <v>262</v>
      </c>
      <c r="AE268" s="21" t="s">
        <v>264</v>
      </c>
      <c r="AF268" s="21" t="s">
        <v>263</v>
      </c>
      <c r="AG268" s="21">
        <v>802862338</v>
      </c>
      <c r="AH268" s="21" t="s">
        <v>130</v>
      </c>
      <c r="AI268" s="21" t="s">
        <v>492</v>
      </c>
      <c r="AJ268" s="21"/>
      <c r="AK268" s="28" t="s">
        <v>43</v>
      </c>
      <c r="AL268" s="21"/>
      <c r="AM268" s="21"/>
      <c r="AN268" s="21"/>
      <c r="AO268" s="23">
        <v>45605</v>
      </c>
      <c r="AP268" s="21">
        <v>27000</v>
      </c>
      <c r="AQ268" s="21" t="s">
        <v>2075</v>
      </c>
      <c r="AR268" s="21" t="s">
        <v>81</v>
      </c>
      <c r="AS268" s="21" t="s">
        <v>2077</v>
      </c>
      <c r="AT268" s="24"/>
    </row>
    <row r="269" spans="1:46" x14ac:dyDescent="0.25">
      <c r="A269" s="54" t="s">
        <v>1994</v>
      </c>
      <c r="B269" s="28" t="s">
        <v>2010</v>
      </c>
      <c r="C269" s="1" t="s">
        <v>83</v>
      </c>
      <c r="D269" s="28">
        <v>25</v>
      </c>
      <c r="E269" s="28" t="s">
        <v>2026</v>
      </c>
      <c r="F269" s="28" t="s">
        <v>77</v>
      </c>
      <c r="G269" s="55">
        <f>Table1[[#This Row],[ENR]]-Table1[[#This Row],[CREDIT]]</f>
        <v>239621.91000000003</v>
      </c>
      <c r="H269" s="28">
        <v>300000</v>
      </c>
      <c r="I269" s="56">
        <v>539621.91</v>
      </c>
      <c r="J269" s="55">
        <v>202347.94</v>
      </c>
      <c r="K269" s="55">
        <v>337273.97</v>
      </c>
      <c r="L269" s="55">
        <v>311268.52</v>
      </c>
      <c r="M269" s="28">
        <v>121590</v>
      </c>
      <c r="N269" s="55">
        <v>83190</v>
      </c>
      <c r="O269" s="1" t="s">
        <v>41</v>
      </c>
      <c r="P269" s="1" t="s">
        <v>42</v>
      </c>
      <c r="Q269" s="15">
        <v>0</v>
      </c>
      <c r="R269" s="55">
        <f>Table1[[#This Row],[STAB]]-Table1[[#This Row],[AMOUNT]]</f>
        <v>83190</v>
      </c>
      <c r="S269" s="1">
        <v>0</v>
      </c>
      <c r="T269" s="1" t="s">
        <v>79</v>
      </c>
      <c r="U269" s="1">
        <v>0</v>
      </c>
      <c r="V269" s="1" t="s">
        <v>267</v>
      </c>
      <c r="W269" s="1" t="s">
        <v>645</v>
      </c>
      <c r="X269" s="1" t="s">
        <v>646</v>
      </c>
      <c r="Y269" s="21" t="s">
        <v>2111</v>
      </c>
      <c r="Z269" s="28" t="s">
        <v>2042</v>
      </c>
      <c r="AA269" s="28" t="s">
        <v>2058</v>
      </c>
      <c r="AB269" s="28" t="s">
        <v>2060</v>
      </c>
      <c r="AC269" s="28" t="s">
        <v>92</v>
      </c>
      <c r="AD269" s="28" t="s">
        <v>242</v>
      </c>
      <c r="AE269" s="21" t="s">
        <v>243</v>
      </c>
      <c r="AF269" s="28" t="s">
        <v>491</v>
      </c>
      <c r="AG269" s="28">
        <v>802663436</v>
      </c>
      <c r="AH269" s="28" t="s">
        <v>132</v>
      </c>
      <c r="AI269" s="21" t="s">
        <v>492</v>
      </c>
      <c r="AJ269" s="28"/>
      <c r="AK269" s="28" t="s">
        <v>43</v>
      </c>
      <c r="AL269" s="28"/>
      <c r="AM269" s="28"/>
      <c r="AN269" s="28"/>
      <c r="AO269" s="57">
        <v>46319</v>
      </c>
      <c r="AP269" s="28">
        <v>5000</v>
      </c>
      <c r="AQ269" s="28" t="s">
        <v>2076</v>
      </c>
      <c r="AR269" s="28" t="s">
        <v>82</v>
      </c>
      <c r="AS269" s="21" t="s">
        <v>2077</v>
      </c>
      <c r="AT269" s="58"/>
    </row>
  </sheetData>
  <phoneticPr fontId="4" type="noConversion"/>
  <conditionalFormatting sqref="G2:G269">
    <cfRule type="colorScale" priority="1260">
      <colorScale>
        <cfvo type="min"/>
        <cfvo type="percentile" val="50"/>
        <cfvo type="max"/>
        <color rgb="FFF8696B"/>
        <color rgb="FFFFEB84"/>
        <color rgb="FF63BE7B"/>
      </colorScale>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D5544-1CAE-4694-9CC4-FC5CCB344B0F}">
  <sheetPr codeName="Sheet4"/>
  <dimension ref="A1:AU14"/>
  <sheetViews>
    <sheetView workbookViewId="0"/>
  </sheetViews>
  <sheetFormatPr defaultRowHeight="15" x14ac:dyDescent="0.25"/>
  <cols>
    <col min="1" max="6" width="9.140625" style="2"/>
    <col min="7" max="8" width="49.28515625" style="2" customWidth="1"/>
    <col min="9" max="16384" width="9.140625" style="2"/>
  </cols>
  <sheetData>
    <row r="1" spans="1:47" x14ac:dyDescent="0.25">
      <c r="A1" s="38" t="s">
        <v>0</v>
      </c>
      <c r="B1" s="38" t="s">
        <v>1</v>
      </c>
      <c r="C1" s="38" t="s">
        <v>2</v>
      </c>
      <c r="D1" s="38" t="s">
        <v>3</v>
      </c>
      <c r="E1" s="38" t="s">
        <v>222</v>
      </c>
      <c r="F1" s="38" t="s">
        <v>4</v>
      </c>
      <c r="G1" s="38" t="s">
        <v>5</v>
      </c>
      <c r="H1" s="38" t="s">
        <v>6</v>
      </c>
      <c r="I1" s="38" t="s">
        <v>7</v>
      </c>
      <c r="J1" s="34" t="s">
        <v>8</v>
      </c>
      <c r="K1" s="38" t="s">
        <v>9</v>
      </c>
      <c r="L1" s="38" t="s">
        <v>10</v>
      </c>
      <c r="M1" s="38" t="s">
        <v>11</v>
      </c>
      <c r="N1" s="38" t="s">
        <v>12</v>
      </c>
      <c r="O1" s="38" t="s">
        <v>13</v>
      </c>
      <c r="P1" s="38" t="s">
        <v>14</v>
      </c>
      <c r="Q1" s="38" t="s">
        <v>15</v>
      </c>
      <c r="R1" s="38" t="s">
        <v>16</v>
      </c>
      <c r="S1" s="39" t="s">
        <v>17</v>
      </c>
      <c r="T1" s="38" t="s">
        <v>18</v>
      </c>
      <c r="U1" s="38" t="s">
        <v>19</v>
      </c>
      <c r="V1" s="38" t="s">
        <v>20</v>
      </c>
      <c r="W1" s="38" t="s">
        <v>184</v>
      </c>
      <c r="X1" s="40" t="s">
        <v>21</v>
      </c>
      <c r="Y1" s="40" t="s">
        <v>183</v>
      </c>
      <c r="Z1" s="39" t="s">
        <v>22</v>
      </c>
      <c r="AA1" s="38" t="s">
        <v>23</v>
      </c>
      <c r="AB1" s="38" t="s">
        <v>24</v>
      </c>
      <c r="AC1" s="38" t="s">
        <v>25</v>
      </c>
      <c r="AD1" s="38" t="s">
        <v>26</v>
      </c>
      <c r="AE1" s="41" t="s">
        <v>27</v>
      </c>
      <c r="AF1" s="41" t="s">
        <v>185</v>
      </c>
      <c r="AG1" s="38" t="s">
        <v>28</v>
      </c>
      <c r="AH1" s="38" t="s">
        <v>29</v>
      </c>
      <c r="AI1" s="38" t="s">
        <v>30</v>
      </c>
      <c r="AJ1" s="38" t="s">
        <v>31</v>
      </c>
      <c r="AK1" s="38" t="s">
        <v>32</v>
      </c>
      <c r="AL1" s="38" t="s">
        <v>33</v>
      </c>
      <c r="AM1" s="40" t="s">
        <v>34</v>
      </c>
      <c r="AN1" s="40" t="s">
        <v>35</v>
      </c>
      <c r="AO1" s="40" t="s">
        <v>36</v>
      </c>
      <c r="AP1" s="38" t="s">
        <v>37</v>
      </c>
      <c r="AQ1" s="38" t="s">
        <v>38</v>
      </c>
      <c r="AR1" s="38" t="s">
        <v>101</v>
      </c>
      <c r="AS1" s="38" t="s">
        <v>39</v>
      </c>
      <c r="AT1" s="38" t="s">
        <v>40</v>
      </c>
      <c r="AU1" s="38" t="s">
        <v>69</v>
      </c>
    </row>
    <row r="2" spans="1:47" x14ac:dyDescent="0.25">
      <c r="A2" s="21" t="s">
        <v>203</v>
      </c>
      <c r="B2" s="21" t="s">
        <v>205</v>
      </c>
      <c r="C2" s="1" t="s">
        <v>47</v>
      </c>
      <c r="D2" s="21">
        <v>2</v>
      </c>
      <c r="E2" s="21" t="e">
        <v>#N/A</v>
      </c>
      <c r="F2" s="21" t="s">
        <v>207</v>
      </c>
      <c r="G2" s="21" t="s">
        <v>77</v>
      </c>
      <c r="H2" s="22">
        <v>-1954.2200000000012</v>
      </c>
      <c r="I2" s="21">
        <v>50000</v>
      </c>
      <c r="J2" s="35">
        <v>48045.78</v>
      </c>
      <c r="K2" s="22" t="s">
        <v>78</v>
      </c>
      <c r="L2" s="22">
        <v>48045.78</v>
      </c>
      <c r="M2" s="22">
        <v>42739.94</v>
      </c>
      <c r="N2" s="21">
        <v>7950</v>
      </c>
      <c r="O2" s="22">
        <v>2530</v>
      </c>
      <c r="P2" s="1" t="s">
        <v>41</v>
      </c>
      <c r="Q2" s="1" t="s">
        <v>42</v>
      </c>
      <c r="R2" s="15">
        <v>0</v>
      </c>
      <c r="S2" s="22">
        <v>2530</v>
      </c>
      <c r="T2" s="1">
        <v>0</v>
      </c>
      <c r="U2" s="1" t="s">
        <v>79</v>
      </c>
      <c r="V2" s="1">
        <v>0</v>
      </c>
      <c r="W2" s="1" t="s">
        <v>186</v>
      </c>
      <c r="X2" s="1" t="s">
        <v>109</v>
      </c>
      <c r="Y2" s="1" t="s">
        <v>187</v>
      </c>
      <c r="Z2" s="21" t="s">
        <v>182</v>
      </c>
      <c r="AA2" s="21" t="s">
        <v>212</v>
      </c>
      <c r="AB2" s="21" t="s">
        <v>217</v>
      </c>
      <c r="AC2" s="21" t="s">
        <v>149</v>
      </c>
      <c r="AD2" s="21" t="s">
        <v>91</v>
      </c>
      <c r="AE2" s="21" t="s">
        <v>178</v>
      </c>
      <c r="AF2" s="21" t="s">
        <v>188</v>
      </c>
      <c r="AG2" s="1" t="s">
        <v>180</v>
      </c>
      <c r="AH2" s="1">
        <v>802835406</v>
      </c>
      <c r="AI2" s="1" t="s">
        <v>131</v>
      </c>
      <c r="AJ2" s="21"/>
      <c r="AK2" s="36"/>
      <c r="AL2" s="28" t="s">
        <v>43</v>
      </c>
      <c r="AM2" s="20"/>
      <c r="AN2" s="21"/>
      <c r="AO2" s="21"/>
      <c r="AP2" s="23" t="s">
        <v>78</v>
      </c>
      <c r="AQ2" s="36">
        <v>0</v>
      </c>
      <c r="AR2" s="21" t="s">
        <v>219</v>
      </c>
      <c r="AS2" s="20" t="s">
        <v>81</v>
      </c>
      <c r="AT2" s="1" t="s">
        <v>221</v>
      </c>
      <c r="AU2" s="23"/>
    </row>
    <row r="3" spans="1:47" x14ac:dyDescent="0.25">
      <c r="A3" s="21" t="s">
        <v>204</v>
      </c>
      <c r="B3" s="21" t="s">
        <v>206</v>
      </c>
      <c r="C3" s="1" t="s">
        <v>47</v>
      </c>
      <c r="D3" s="21">
        <v>2</v>
      </c>
      <c r="E3" s="21" t="e">
        <v>#N/A</v>
      </c>
      <c r="F3" s="21" t="s">
        <v>208</v>
      </c>
      <c r="G3" s="21" t="s">
        <v>77</v>
      </c>
      <c r="H3" s="22">
        <v>-5595.2900000000009</v>
      </c>
      <c r="I3" s="21">
        <v>30000</v>
      </c>
      <c r="J3" s="35">
        <v>24404.71</v>
      </c>
      <c r="K3" s="22" t="s">
        <v>78</v>
      </c>
      <c r="L3" s="22">
        <v>24404.71</v>
      </c>
      <c r="M3" s="22">
        <v>21806.720000000001</v>
      </c>
      <c r="N3" s="21">
        <v>4240</v>
      </c>
      <c r="O3" s="22">
        <v>1680</v>
      </c>
      <c r="P3" s="1" t="s">
        <v>41</v>
      </c>
      <c r="Q3" s="1" t="s">
        <v>42</v>
      </c>
      <c r="R3" s="15">
        <v>0</v>
      </c>
      <c r="S3" s="22">
        <v>1680</v>
      </c>
      <c r="T3" s="1">
        <v>0</v>
      </c>
      <c r="U3" s="1" t="s">
        <v>79</v>
      </c>
      <c r="V3" s="1">
        <v>0</v>
      </c>
      <c r="W3" s="1" t="s">
        <v>186</v>
      </c>
      <c r="X3" s="1" t="s">
        <v>109</v>
      </c>
      <c r="Y3" s="1" t="s">
        <v>187</v>
      </c>
      <c r="Z3" s="21" t="s">
        <v>182</v>
      </c>
      <c r="AA3" s="21" t="s">
        <v>213</v>
      </c>
      <c r="AB3" s="21" t="s">
        <v>218</v>
      </c>
      <c r="AC3" s="21" t="s">
        <v>149</v>
      </c>
      <c r="AD3" s="21" t="s">
        <v>91</v>
      </c>
      <c r="AE3" s="21" t="s">
        <v>178</v>
      </c>
      <c r="AF3" s="21" t="s">
        <v>188</v>
      </c>
      <c r="AG3" s="21" t="s">
        <v>180</v>
      </c>
      <c r="AH3" s="21">
        <v>802835406</v>
      </c>
      <c r="AI3" s="21" t="s">
        <v>131</v>
      </c>
      <c r="AJ3" s="21"/>
      <c r="AK3" s="36"/>
      <c r="AL3" s="21" t="s">
        <v>43</v>
      </c>
      <c r="AM3" s="20"/>
      <c r="AN3" s="21"/>
      <c r="AO3" s="21"/>
      <c r="AP3" s="23">
        <v>46232</v>
      </c>
      <c r="AQ3" s="36">
        <v>3250</v>
      </c>
      <c r="AR3" s="21" t="s">
        <v>220</v>
      </c>
      <c r="AS3" s="20" t="s">
        <v>81</v>
      </c>
      <c r="AT3" s="1" t="s">
        <v>221</v>
      </c>
      <c r="AU3" s="23"/>
    </row>
    <row r="6" spans="1:47" ht="45" x14ac:dyDescent="0.25">
      <c r="G6" s="29" t="s">
        <v>209</v>
      </c>
      <c r="H6" s="29" t="s">
        <v>214</v>
      </c>
    </row>
    <row r="7" spans="1:47" ht="60" x14ac:dyDescent="0.25">
      <c r="G7" s="29" t="s">
        <v>210</v>
      </c>
      <c r="H7" s="29" t="s">
        <v>215</v>
      </c>
      <c r="Y7" s="2" t="s">
        <v>233</v>
      </c>
    </row>
    <row r="8" spans="1:47" ht="30" x14ac:dyDescent="0.25">
      <c r="G8" s="29" t="s">
        <v>211</v>
      </c>
      <c r="H8" s="29" t="s">
        <v>216</v>
      </c>
    </row>
    <row r="9" spans="1:47" ht="45" x14ac:dyDescent="0.25">
      <c r="G9" s="29" t="s">
        <v>212</v>
      </c>
      <c r="H9" s="29" t="s">
        <v>217</v>
      </c>
    </row>
    <row r="10" spans="1:47" ht="30" x14ac:dyDescent="0.25">
      <c r="G10" s="29" t="s">
        <v>213</v>
      </c>
      <c r="H10" s="29" t="s">
        <v>218</v>
      </c>
    </row>
    <row r="11" spans="1:47" ht="60" x14ac:dyDescent="0.25">
      <c r="G11" s="29" t="s">
        <v>192</v>
      </c>
      <c r="H11" s="29" t="s">
        <v>196</v>
      </c>
    </row>
    <row r="12" spans="1:47" ht="60" x14ac:dyDescent="0.25">
      <c r="G12" s="29" t="s">
        <v>193</v>
      </c>
      <c r="H12" s="29" t="s">
        <v>197</v>
      </c>
    </row>
    <row r="13" spans="1:47" ht="30" x14ac:dyDescent="0.25">
      <c r="G13" s="29" t="s">
        <v>194</v>
      </c>
      <c r="H13" s="29" t="s">
        <v>198</v>
      </c>
    </row>
    <row r="14" spans="1:47" ht="30" x14ac:dyDescent="0.25">
      <c r="G14" s="29" t="s">
        <v>195</v>
      </c>
      <c r="H14" s="29" t="s">
        <v>199</v>
      </c>
    </row>
  </sheetData>
  <conditionalFormatting sqref="H2:H3">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50CAD-E973-4CAE-95AA-A60E6EE88A1E}">
  <sheetPr codeName="Sheet6"/>
  <dimension ref="B2:F10"/>
  <sheetViews>
    <sheetView workbookViewId="0">
      <selection sqref="A1:G11"/>
    </sheetView>
  </sheetViews>
  <sheetFormatPr defaultRowHeight="15" x14ac:dyDescent="0.25"/>
  <cols>
    <col min="1" max="2" width="9.140625" style="33"/>
    <col min="3" max="3" width="19" style="33" customWidth="1"/>
    <col min="4" max="5" width="46.5703125" style="33" customWidth="1"/>
    <col min="6" max="16384" width="9.140625" style="33"/>
  </cols>
  <sheetData>
    <row r="2" spans="2:6" ht="30" x14ac:dyDescent="0.25">
      <c r="B2" s="37" t="s">
        <v>0</v>
      </c>
      <c r="C2" s="37" t="s">
        <v>1</v>
      </c>
      <c r="D2" s="37" t="s">
        <v>23</v>
      </c>
      <c r="E2" s="37" t="s">
        <v>24</v>
      </c>
      <c r="F2" s="37" t="s">
        <v>25</v>
      </c>
    </row>
    <row r="3" spans="2:6" ht="30" x14ac:dyDescent="0.25">
      <c r="B3" s="32" t="s">
        <v>141</v>
      </c>
      <c r="C3" s="32" t="s">
        <v>143</v>
      </c>
      <c r="D3" s="32" t="s">
        <v>145</v>
      </c>
      <c r="E3" s="32" t="s">
        <v>147</v>
      </c>
      <c r="F3" s="32" t="s">
        <v>149</v>
      </c>
    </row>
    <row r="4" spans="2:6" ht="45" x14ac:dyDescent="0.25">
      <c r="B4" s="32" t="s">
        <v>142</v>
      </c>
      <c r="C4" s="32" t="s">
        <v>144</v>
      </c>
      <c r="D4" s="32" t="s">
        <v>146</v>
      </c>
      <c r="E4" s="32" t="s">
        <v>148</v>
      </c>
      <c r="F4" s="32" t="s">
        <v>150</v>
      </c>
    </row>
    <row r="5" spans="2:6" ht="30" x14ac:dyDescent="0.25">
      <c r="B5" s="32" t="s">
        <v>152</v>
      </c>
      <c r="C5" s="32" t="s">
        <v>158</v>
      </c>
      <c r="D5" s="32" t="s">
        <v>164</v>
      </c>
      <c r="E5" s="32" t="s">
        <v>170</v>
      </c>
      <c r="F5" s="32" t="s">
        <v>105</v>
      </c>
    </row>
    <row r="6" spans="2:6" ht="60" x14ac:dyDescent="0.25">
      <c r="B6" s="32" t="s">
        <v>153</v>
      </c>
      <c r="C6" s="32" t="s">
        <v>159</v>
      </c>
      <c r="D6" s="32" t="s">
        <v>165</v>
      </c>
      <c r="E6" s="32" t="s">
        <v>171</v>
      </c>
      <c r="F6" s="32" t="s">
        <v>176</v>
      </c>
    </row>
    <row r="7" spans="2:6" ht="45" x14ac:dyDescent="0.25">
      <c r="B7" s="32" t="s">
        <v>154</v>
      </c>
      <c r="C7" s="32" t="s">
        <v>160</v>
      </c>
      <c r="D7" s="32" t="s">
        <v>166</v>
      </c>
      <c r="E7" s="32" t="s">
        <v>172</v>
      </c>
      <c r="F7" s="32" t="s">
        <v>150</v>
      </c>
    </row>
    <row r="8" spans="2:6" ht="60" x14ac:dyDescent="0.25">
      <c r="B8" s="32" t="s">
        <v>155</v>
      </c>
      <c r="C8" s="32" t="s">
        <v>161</v>
      </c>
      <c r="D8" s="32" t="s">
        <v>167</v>
      </c>
      <c r="E8" s="32" t="s">
        <v>173</v>
      </c>
      <c r="F8" s="32" t="s">
        <v>150</v>
      </c>
    </row>
    <row r="9" spans="2:6" ht="45" x14ac:dyDescent="0.25">
      <c r="B9" s="32" t="s">
        <v>156</v>
      </c>
      <c r="C9" s="32" t="s">
        <v>162</v>
      </c>
      <c r="D9" s="32" t="s">
        <v>168</v>
      </c>
      <c r="E9" s="32" t="s">
        <v>174</v>
      </c>
      <c r="F9" s="32" t="s">
        <v>105</v>
      </c>
    </row>
    <row r="10" spans="2:6" ht="60" x14ac:dyDescent="0.25">
      <c r="B10" s="32" t="s">
        <v>157</v>
      </c>
      <c r="C10" s="32" t="s">
        <v>163</v>
      </c>
      <c r="D10" s="32" t="s">
        <v>169</v>
      </c>
      <c r="E10" s="32" t="s">
        <v>175</v>
      </c>
      <c r="F10" s="32" t="s">
        <v>105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C2:L33"/>
  <sheetViews>
    <sheetView topLeftCell="A14" workbookViewId="0">
      <selection activeCell="D1" sqref="D1:G34"/>
    </sheetView>
  </sheetViews>
  <sheetFormatPr defaultColWidth="9.42578125" defaultRowHeight="15" x14ac:dyDescent="0.25"/>
  <cols>
    <col min="1" max="2" width="9.42578125" style="30"/>
    <col min="3" max="3" width="4.85546875" style="30" customWidth="1"/>
    <col min="4" max="4" width="9.42578125" style="30"/>
    <col min="5" max="5" width="47.5703125" style="30" customWidth="1"/>
    <col min="6" max="6" width="12" style="30" bestFit="1" customWidth="1"/>
    <col min="7" max="10" width="9.42578125" style="30"/>
    <col min="11" max="11" width="6.28515625" style="30" bestFit="1" customWidth="1"/>
    <col min="12" max="12" width="4" style="30" bestFit="1" customWidth="1"/>
    <col min="13" max="16384" width="9.42578125" style="30"/>
  </cols>
  <sheetData>
    <row r="2" spans="3:12" x14ac:dyDescent="0.25">
      <c r="C2" s="29"/>
      <c r="E2" s="31" t="s">
        <v>124</v>
      </c>
      <c r="F2" s="31" t="s">
        <v>43</v>
      </c>
    </row>
    <row r="3" spans="3:12" x14ac:dyDescent="0.25">
      <c r="E3" s="31" t="s">
        <v>51</v>
      </c>
      <c r="F3" s="31">
        <v>15</v>
      </c>
    </row>
    <row r="4" spans="3:12" x14ac:dyDescent="0.25">
      <c r="E4" s="31" t="s">
        <v>102</v>
      </c>
      <c r="F4" s="31">
        <v>8</v>
      </c>
    </row>
    <row r="5" spans="3:12" x14ac:dyDescent="0.25">
      <c r="E5" s="31" t="s">
        <v>100</v>
      </c>
      <c r="F5" s="31">
        <v>8</v>
      </c>
    </row>
    <row r="6" spans="3:12" x14ac:dyDescent="0.25">
      <c r="E6" s="31" t="s">
        <v>123</v>
      </c>
      <c r="F6" s="31">
        <v>7</v>
      </c>
    </row>
    <row r="7" spans="3:12" x14ac:dyDescent="0.25">
      <c r="E7" s="31" t="s">
        <v>98</v>
      </c>
      <c r="F7" s="31">
        <v>6</v>
      </c>
      <c r="K7" s="31"/>
      <c r="L7" s="31"/>
    </row>
    <row r="8" spans="3:12" x14ac:dyDescent="0.25">
      <c r="E8" s="31" t="s">
        <v>48</v>
      </c>
      <c r="F8" s="31">
        <v>6</v>
      </c>
    </row>
    <row r="9" spans="3:12" x14ac:dyDescent="0.25">
      <c r="E9" s="31" t="s">
        <v>114</v>
      </c>
      <c r="F9" s="31">
        <v>5</v>
      </c>
    </row>
    <row r="10" spans="3:12" x14ac:dyDescent="0.25">
      <c r="E10" s="31" t="s">
        <v>116</v>
      </c>
      <c r="F10" s="31">
        <v>5</v>
      </c>
    </row>
    <row r="11" spans="3:12" x14ac:dyDescent="0.25">
      <c r="E11" s="31" t="s">
        <v>97</v>
      </c>
      <c r="F11" s="31">
        <v>4</v>
      </c>
    </row>
    <row r="12" spans="3:12" x14ac:dyDescent="0.25">
      <c r="E12" s="31" t="s">
        <v>118</v>
      </c>
      <c r="F12" s="31">
        <v>4</v>
      </c>
    </row>
    <row r="13" spans="3:12" x14ac:dyDescent="0.25">
      <c r="E13" s="31" t="s">
        <v>122</v>
      </c>
      <c r="F13" s="31">
        <v>3</v>
      </c>
    </row>
    <row r="14" spans="3:12" x14ac:dyDescent="0.25">
      <c r="E14" s="31" t="s">
        <v>74</v>
      </c>
      <c r="F14" s="31">
        <v>3</v>
      </c>
    </row>
    <row r="15" spans="3:12" x14ac:dyDescent="0.25">
      <c r="E15" s="31" t="s">
        <v>108</v>
      </c>
      <c r="F15" s="31">
        <v>3</v>
      </c>
    </row>
    <row r="16" spans="3:12" x14ac:dyDescent="0.25">
      <c r="E16" s="31" t="s">
        <v>113</v>
      </c>
      <c r="F16" s="31">
        <v>3</v>
      </c>
    </row>
    <row r="17" spans="5:6" x14ac:dyDescent="0.25">
      <c r="E17" s="31" t="s">
        <v>75</v>
      </c>
      <c r="F17" s="31">
        <v>3</v>
      </c>
    </row>
    <row r="18" spans="5:6" x14ac:dyDescent="0.25">
      <c r="E18" s="31" t="s">
        <v>84</v>
      </c>
      <c r="F18" s="31">
        <v>2</v>
      </c>
    </row>
    <row r="19" spans="5:6" x14ac:dyDescent="0.25">
      <c r="E19" s="31" t="s">
        <v>120</v>
      </c>
      <c r="F19" s="31">
        <v>2</v>
      </c>
    </row>
    <row r="20" spans="5:6" x14ac:dyDescent="0.25">
      <c r="E20" s="31" t="s">
        <v>50</v>
      </c>
      <c r="F20" s="31">
        <v>2</v>
      </c>
    </row>
    <row r="21" spans="5:6" x14ac:dyDescent="0.25">
      <c r="E21" s="31" t="s">
        <v>86</v>
      </c>
      <c r="F21" s="31">
        <v>2</v>
      </c>
    </row>
    <row r="22" spans="5:6" x14ac:dyDescent="0.25">
      <c r="E22" s="31" t="s">
        <v>121</v>
      </c>
      <c r="F22" s="31">
        <v>1</v>
      </c>
    </row>
    <row r="23" spans="5:6" x14ac:dyDescent="0.25">
      <c r="E23" s="31" t="s">
        <v>71</v>
      </c>
      <c r="F23" s="31">
        <v>1</v>
      </c>
    </row>
    <row r="24" spans="5:6" x14ac:dyDescent="0.25">
      <c r="E24" s="31" t="s">
        <v>117</v>
      </c>
      <c r="F24" s="31">
        <v>1</v>
      </c>
    </row>
    <row r="25" spans="5:6" x14ac:dyDescent="0.25">
      <c r="E25" s="31" t="s">
        <v>73</v>
      </c>
      <c r="F25" s="31">
        <v>1</v>
      </c>
    </row>
    <row r="26" spans="5:6" x14ac:dyDescent="0.25">
      <c r="E26" s="31" t="s">
        <v>76</v>
      </c>
      <c r="F26" s="31">
        <v>1</v>
      </c>
    </row>
    <row r="27" spans="5:6" x14ac:dyDescent="0.25">
      <c r="E27" s="31" t="s">
        <v>115</v>
      </c>
      <c r="F27" s="31">
        <v>1</v>
      </c>
    </row>
    <row r="28" spans="5:6" x14ac:dyDescent="0.25">
      <c r="E28" s="31" t="s">
        <v>99</v>
      </c>
      <c r="F28" s="31">
        <v>1</v>
      </c>
    </row>
    <row r="29" spans="5:6" x14ac:dyDescent="0.25">
      <c r="E29" s="31" t="s">
        <v>110</v>
      </c>
      <c r="F29" s="31">
        <v>1</v>
      </c>
    </row>
    <row r="30" spans="5:6" x14ac:dyDescent="0.25">
      <c r="E30" s="31" t="s">
        <v>119</v>
      </c>
      <c r="F30" s="31">
        <v>1</v>
      </c>
    </row>
    <row r="31" spans="5:6" x14ac:dyDescent="0.25">
      <c r="E31" s="31" t="s">
        <v>111</v>
      </c>
      <c r="F31" s="31">
        <v>1</v>
      </c>
    </row>
    <row r="32" spans="5:6" x14ac:dyDescent="0.25">
      <c r="E32" s="31" t="s">
        <v>96</v>
      </c>
      <c r="F32" s="31">
        <v>1</v>
      </c>
    </row>
    <row r="33" spans="5:6" x14ac:dyDescent="0.25">
      <c r="E33" s="31" t="s">
        <v>45</v>
      </c>
      <c r="F33" s="31">
        <v>102</v>
      </c>
    </row>
  </sheetData>
  <conditionalFormatting sqref="F1:F31 L7 F34:F1048576">
    <cfRule type="colorScale" priority="3">
      <colorScale>
        <cfvo type="min"/>
        <cfvo type="percentile" val="50"/>
        <cfvo type="max"/>
        <color rgb="FF63BE7B"/>
        <color rgb="FFFFEB84"/>
        <color rgb="FFF8696B"/>
      </colorScale>
    </cfRule>
  </conditionalFormatting>
  <conditionalFormatting sqref="F1:F31 L7 J32 F34:F1048576">
    <cfRule type="colorScale" priority="4">
      <colorScale>
        <cfvo type="min"/>
        <cfvo type="percentile" val="50"/>
        <cfvo type="max"/>
        <color rgb="FF63BE7B"/>
        <color rgb="FFFFEB84"/>
        <color rgb="FFF8696B"/>
      </colorScale>
    </cfRule>
  </conditionalFormatting>
  <conditionalFormatting sqref="F1:F32 F34:F1048576">
    <cfRule type="colorScale" priority="1">
      <colorScale>
        <cfvo type="min"/>
        <cfvo type="percentile" val="50"/>
        <cfvo type="max"/>
        <color rgb="FF63BE7B"/>
        <color rgb="FFFFEB84"/>
        <color rgb="FFF8696B"/>
      </colorScale>
    </cfRule>
  </conditionalFormatting>
  <conditionalFormatting sqref="F1:F32 L7 F34:F1048576">
    <cfRule type="colorScale" priority="2">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MIS</vt:lpstr>
      <vt:lpstr>MAIN</vt:lpstr>
      <vt:lpstr>RE</vt:lpstr>
      <vt:lpstr>Sheet2</vt:lpstr>
      <vt:lpstr>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SRAVS</cp:lastModifiedBy>
  <dcterms:created xsi:type="dcterms:W3CDTF">2025-11-07T11:49:26Z</dcterms:created>
  <dcterms:modified xsi:type="dcterms:W3CDTF">2026-10-30T11:41:38Z</dcterms:modified>
</cp:coreProperties>
</file>