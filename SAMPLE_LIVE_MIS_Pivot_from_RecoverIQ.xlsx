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D:\SRAVANI OFFICE\sravani 12-08-2024\sravani updated\ICICI\CC\ICICI DR\2026\NOV''26\"/>
    </mc:Choice>
  </mc:AlternateContent>
  <xr:revisionPtr revIDLastSave="0" documentId="13_ncr:1_{FB7139DA-30C0-41E8-BEC0-6F998618F690}" xr6:coauthVersionLast="47" xr6:coauthVersionMax="47" xr10:uidLastSave="{00000000-0000-0000-0000-000000000000}"/>
  <bookViews>
    <workbookView xWindow="-120" yWindow="-120" windowWidth="20730" windowHeight="11160" xr2:uid="{00000000-000D-0000-FFFF-FFFF00000000}"/>
  </bookViews>
  <sheets>
    <sheet name="MIS" sheetId="4" r:id="rId1"/>
    <sheet name="MAIN" sheetId="1" r:id="rId2"/>
  </sheets>
  <definedNames>
    <definedName name="Slicer_AREA">#N/A</definedName>
    <definedName name="Slicer_CALLER">#N/A</definedName>
    <definedName name="Slicer_CYC">#N/A</definedName>
    <definedName name="Slicer_DATE">#N/A</definedName>
    <definedName name="Slicer_FOS_NAME">#N/A</definedName>
    <definedName name="Slicer_V_DATE">#N/A</definedName>
  </definedNames>
  <calcPr fullCalcOnLoad="1" calcId="191029" iterateCount="0" calcOnSave="0" concurrentCalc="0"/>
  <pivotCaches>
    <pivotCache cacheId="68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quot;₹&quot;#,##0"/>
    <numFmt numFmtId="201" formatCode="0.0%"/>
  </numFmts>
  <fonts count="15" x14ac:knownFonts="1">
    <font>
      <sz val="11"/>
      <color theme="1"/>
      <name val="Calibri"/>
      <family val="2"/>
      <scheme val="minor"/>
    </font>
    <font>
      <b/>
      <sz val="11"/>
      <color theme="0"/>
      <name val="Calibri"/>
      <family val="2"/>
    </font>
    <font>
      <b/>
      <sz val="11"/>
      <name val="Calibri"/>
      <family val="2"/>
    </font>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sz val="11"/>
      <color rgb="FF0F1B2D"/>
      <name val="Calibri"/>
      <family val="2"/>
      <scheme val="minor"/>
    </font>
    <font>
      <b/>
      <sz val="10"/>
      <color rgb="FFFFFFFF"/>
      <name val="Calibri"/>
      <family val="2"/>
    </font>
    <font>
      <b/>
      <sz val="10"/>
      <color rgb="FF0F2747"/>
      <name val="Calibri"/>
      <family val="2"/>
    </font>
    <font>
      <b/>
      <sz val="10"/>
      <color rgb="FF92400E"/>
      <name val="Calibri"/>
      <family val="2"/>
    </font>
    <font>
      <sz val="10"/>
      <color rgb="FF1F2937"/>
      <name val="Calibri"/>
      <family val="2"/>
    </font>
    <font>
      <b/>
      <sz val="11"/>
      <color rgb="FFFFFFFF"/>
      <name val="Calibri"/>
      <family val="2"/>
    </font>
    <font>
      <b/>
      <sz val="10"/>
      <color rgb="FF166534"/>
      <name val="Calibri"/>
      <family val="2"/>
    </font>
    <font>
      <b/>
      <sz val="10"/>
      <color rgb="FF991B1B"/>
      <name val="Calibri"/>
      <family val="2"/>
    </font>
  </fonts>
  <fills count="22">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4" tint="0.59999389629810485"/>
        <bgColor indexed="64"/>
      </patternFill>
    </fill>
    <fill>
      <patternFill patternType="solid">
        <fgColor rgb="FF002060"/>
        <bgColor indexed="64"/>
      </patternFill>
    </fill>
    <fill>
      <patternFill patternType="solid">
        <fgColor rgb="FF0F2747"/>
        <bgColor indexed="64"/>
      </patternFill>
    </fill>
    <fill>
      <patternFill patternType="solid">
        <fgColor rgb="FF1D4ED8"/>
        <bgColor indexed="64"/>
      </patternFill>
    </fill>
    <fill>
      <patternFill patternType="solid">
        <fgColor rgb="FFDCE6FA"/>
        <bgColor indexed="64"/>
      </patternFill>
    </fill>
    <fill>
      <patternFill patternType="solid">
        <fgColor rgb="FFFFF7D6"/>
        <bgColor indexed="64"/>
      </patternFill>
    </fill>
    <fill>
      <patternFill patternType="solid">
        <fgColor rgb="FF15803D"/>
        <bgColor indexed="64"/>
      </patternFill>
    </fill>
    <fill>
      <patternFill patternType="solid">
        <fgColor rgb="FFB91C1C"/>
        <bgColor indexed="64"/>
      </patternFill>
    </fill>
    <fill>
      <patternFill patternType="solid">
        <fgColor rgb="FFB45309"/>
        <bgColor indexed="64"/>
      </patternFill>
    </fill>
    <fill>
      <patternFill patternType="solid">
        <fgColor rgb="FF7C3AED"/>
        <bgColor indexed="64"/>
      </patternFill>
    </fill>
    <fill>
      <patternFill patternType="solid">
        <fgColor rgb="FF64748B"/>
        <bgColor indexed="64"/>
      </patternFill>
    </fill>
    <fill>
      <patternFill patternType="solid">
        <fgColor rgb="FF0369A1"/>
        <bgColor indexed="64"/>
      </patternFill>
    </fill>
    <fill>
      <patternFill patternType="solid">
        <fgColor rgb="FFEEF3FF"/>
        <bgColor indexed="64"/>
      </patternFill>
    </fill>
    <fill>
      <patternFill patternType="solid">
        <fgColor rgb="FFF7F9FC"/>
        <bgColor indexed="64"/>
      </patternFill>
    </fill>
    <fill>
      <patternFill patternType="solid">
        <fgColor rgb="FFDCFCE7"/>
        <bgColor indexed="64"/>
      </patternFill>
    </fill>
    <fill>
      <patternFill patternType="solid">
        <fgColor rgb="FFFEE2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6DEEA"/>
      </left>
      <right style="thin">
        <color rgb="FFD6DEEA"/>
      </right>
      <top style="thin">
        <color rgb="FFD6DEEA"/>
      </top>
      <bottom style="thin">
        <color rgb="FFD6DEEA"/>
      </bottom>
      <diagonal/>
    </border>
  </borders>
  <cellStyleXfs count="2">
    <xf numFmtId="0" fontId="0" fillId="0" borderId="0"/>
    <xf numFmtId="9" fontId="3" fillId="0" borderId="0" applyFont="0" applyFill="0" applyBorder="0" applyAlignment="0" applyProtection="0"/>
  </cellStyleXfs>
  <cellXfs count="90">
    <xf numFmtId="0" fontId="0" fillId="0" borderId="0" xfId="0"/>
    <xf numFmtId="0" fontId="0" fillId="0" borderId="1" xfId="0" applyBorder="1" applyAlignment="1">
      <alignment horizontal="left" vertical="top"/>
    </xf>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1" fillId="7" borderId="1" xfId="0" applyFont="1" applyFill="1" applyBorder="1" applyAlignment="1">
      <alignment horizontal="center" vertical="center"/>
    </xf>
    <xf numFmtId="0" fontId="2" fillId="3" borderId="1" xfId="0" applyFont="1" applyFill="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center" vertical="center"/>
    </xf>
    <xf numFmtId="10" fontId="0" fillId="0" borderId="0" xfId="1" applyNumberFormat="1" applyFont="1" applyAlignment="1">
      <alignment horizontal="center" vertical="center"/>
    </xf>
    <xf numFmtId="10" fontId="2" fillId="3" borderId="1" xfId="1" applyNumberFormat="1" applyFont="1" applyFill="1" applyBorder="1" applyAlignment="1">
      <alignment horizontal="center" vertical="center"/>
    </xf>
    <xf numFmtId="10" fontId="0" fillId="0" borderId="1" xfId="1" applyNumberFormat="1" applyFont="1" applyBorder="1" applyAlignment="1">
      <alignment horizontal="center" vertical="center"/>
    </xf>
    <xf numFmtId="1" fontId="0" fillId="0" borderId="1" xfId="0" applyNumberFormat="1" applyBorder="1" applyAlignment="1">
      <alignment horizontal="left" vertical="top"/>
    </xf>
    <xf numFmtId="1" fontId="5" fillId="0" borderId="0" xfId="0" applyNumberFormat="1" applyFont="1" applyAlignment="1">
      <alignment horizontal="left" vertical="top"/>
    </xf>
    <xf numFmtId="0" fontId="0" fillId="5" borderId="1" xfId="0" applyFill="1" applyBorder="1" applyAlignment="1">
      <alignment horizontal="center" vertical="center"/>
    </xf>
    <xf numFmtId="9" fontId="0" fillId="0" borderId="0" xfId="1" applyFont="1" applyAlignment="1">
      <alignment horizontal="center" vertical="center"/>
    </xf>
    <xf numFmtId="9" fontId="0" fillId="0" borderId="0" xfId="1" applyFont="1"/>
    <xf numFmtId="0" fontId="5" fillId="0" borderId="3" xfId="0" applyFont="1" applyBorder="1" applyAlignment="1">
      <alignment horizontal="left" vertical="top"/>
    </xf>
    <xf numFmtId="0" fontId="5" fillId="0" borderId="1" xfId="0" applyFont="1" applyBorder="1" applyAlignment="1">
      <alignment horizontal="left" vertical="top"/>
    </xf>
    <xf numFmtId="1" fontId="5" fillId="0" borderId="1" xfId="0" applyNumberFormat="1" applyFont="1" applyBorder="1" applyAlignment="1">
      <alignment horizontal="left" vertical="top"/>
    </xf>
    <xf numFmtId="14" fontId="5" fillId="0" borderId="1" xfId="0" applyNumberFormat="1" applyFont="1" applyBorder="1" applyAlignment="1">
      <alignment horizontal="left" vertical="top"/>
    </xf>
    <xf numFmtId="14" fontId="5" fillId="0" borderId="2" xfId="0" applyNumberFormat="1" applyFont="1" applyBorder="1" applyAlignment="1">
      <alignment horizontal="left" vertical="top"/>
    </xf>
    <xf numFmtId="0" fontId="0" fillId="0" borderId="1" xfId="0" pivotButton="1" applyBorder="1" applyAlignment="1">
      <alignment horizontal="center" vertical="center"/>
    </xf>
    <xf numFmtId="9" fontId="1" fillId="7" borderId="1" xfId="1" applyFont="1" applyFill="1" applyBorder="1" applyAlignment="1">
      <alignment horizontal="center" vertical="center"/>
    </xf>
    <xf numFmtId="9" fontId="0" fillId="0" borderId="1" xfId="1" applyFont="1" applyBorder="1" applyAlignment="1">
      <alignment horizontal="center" vertical="center"/>
    </xf>
    <xf numFmtId="0" fontId="5" fillId="0" borderId="7" xfId="0" applyFont="1" applyBorder="1"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left" vertical="top" wrapText="1"/>
    </xf>
    <xf numFmtId="0" fontId="0" fillId="0" borderId="0" xfId="0" applyAlignment="1">
      <alignment vertical="top" wrapText="1"/>
    </xf>
    <xf numFmtId="1" fontId="0" fillId="3" borderId="1" xfId="0" applyNumberFormat="1" applyFill="1" applyBorder="1" applyAlignment="1">
      <alignment horizontal="left" vertical="top"/>
    </xf>
    <xf numFmtId="1" fontId="5" fillId="3" borderId="1" xfId="0" applyNumberFormat="1" applyFont="1" applyFill="1" applyBorder="1" applyAlignment="1">
      <alignment horizontal="left" vertical="top"/>
    </xf>
    <xf numFmtId="0" fontId="5" fillId="0" borderId="2" xfId="0" applyFont="1" applyBorder="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0" fillId="3" borderId="1" xfId="0" applyFill="1" applyBorder="1" applyAlignment="1">
      <alignment horizontal="left" vertical="top"/>
    </xf>
    <xf numFmtId="0" fontId="6" fillId="0" borderId="0" xfId="0" applyFont="1" applyAlignment="1">
      <alignment horizontal="center" vertical="center"/>
    </xf>
    <xf numFmtId="10" fontId="6" fillId="0" borderId="0" xfId="0" applyNumberFormat="1" applyFont="1" applyAlignment="1">
      <alignment horizontal="center" vertical="center"/>
    </xf>
    <xf numFmtId="0" fontId="0" fillId="2" borderId="4" xfId="0" applyFill="1" applyBorder="1" applyAlignment="1">
      <alignment horizontal="left" vertical="top"/>
    </xf>
    <xf numFmtId="0" fontId="0" fillId="2" borderId="5" xfId="0" applyFill="1" applyBorder="1" applyAlignment="1">
      <alignment horizontal="left" vertical="top"/>
    </xf>
    <xf numFmtId="1" fontId="0" fillId="3" borderId="5" xfId="0" applyNumberFormat="1" applyFill="1" applyBorder="1" applyAlignment="1">
      <alignment horizontal="left" vertical="top"/>
    </xf>
    <xf numFmtId="0" fontId="0" fillId="4" borderId="5" xfId="0" applyFill="1" applyBorder="1" applyAlignment="1">
      <alignment horizontal="left" vertical="top"/>
    </xf>
    <xf numFmtId="0" fontId="0" fillId="5" borderId="5" xfId="0" applyFill="1" applyBorder="1" applyAlignment="1">
      <alignment horizontal="left" vertical="top"/>
    </xf>
    <xf numFmtId="0" fontId="0" fillId="3" borderId="5" xfId="0" applyFill="1" applyBorder="1" applyAlignment="1">
      <alignment horizontal="left" vertical="top"/>
    </xf>
    <xf numFmtId="0" fontId="0" fillId="2" borderId="6" xfId="0" applyFill="1" applyBorder="1" applyAlignment="1">
      <alignment horizontal="left" vertical="top"/>
    </xf>
    <xf numFmtId="0" fontId="0" fillId="0" borderId="3" xfId="0" applyBorder="1" applyAlignment="1">
      <alignment horizontal="left" vertical="top"/>
    </xf>
    <xf numFmtId="14" fontId="0" fillId="0" borderId="1" xfId="0" applyNumberFormat="1" applyBorder="1" applyAlignment="1">
      <alignment horizontal="left" vertical="top"/>
    </xf>
    <xf numFmtId="14" fontId="0" fillId="0" borderId="2" xfId="0" applyNumberFormat="1" applyBorder="1" applyAlignment="1">
      <alignment horizontal="left" vertical="top"/>
    </xf>
    <xf numFmtId="0" fontId="5" fillId="0" borderId="9" xfId="0" applyFont="1" applyBorder="1" applyAlignment="1">
      <alignment horizontal="left" vertical="top"/>
    </xf>
    <xf numFmtId="1" fontId="5" fillId="0" borderId="7" xfId="0" applyNumberFormat="1" applyFont="1" applyBorder="1" applyAlignment="1">
      <alignment horizontal="left" vertical="top"/>
    </xf>
    <xf numFmtId="1" fontId="5" fillId="3" borderId="7" xfId="0" applyNumberFormat="1" applyFont="1" applyFill="1" applyBorder="1" applyAlignment="1">
      <alignment horizontal="left" vertical="top"/>
    </xf>
    <xf numFmtId="14" fontId="5" fillId="0" borderId="7" xfId="0" applyNumberFormat="1" applyFont="1" applyBorder="1" applyAlignment="1">
      <alignment horizontal="left" vertical="top"/>
    </xf>
    <xf numFmtId="14" fontId="5" fillId="0" borderId="8" xfId="0" applyNumberFormat="1" applyFont="1" applyBorder="1" applyAlignment="1">
      <alignment horizontal="left" vertical="top"/>
    </xf>
    <xf numFmtId="0" fontId="7" fillId="0" borderId="1" xfId="0" applyFont="1" applyBorder="1"/>
    <xf numFmtId="0" fontId="5" fillId="0" borderId="0" xfId="0" applyFont="1"/>
    <xf numFmtId="0" fontId="0" fillId="0" borderId="0" xfId="0" applyNumberFormat="1" applyAlignment="1">
      <alignment horizontal="center" vertical="center"/>
    </xf>
    <xf numFmtId="0" fontId="0" fillId="0" borderId="1" xfId="0" applyNumberFormat="1" applyBorder="1" applyAlignment="1">
      <alignment horizontal="center" vertical="center"/>
    </xf>
    <xf numFmtId="0" fontId="8" fillId="8" borderId="10" xfId="0" applyNumberFormat="1" applyFont="1" applyFill="1" applyBorder="1" applyAlignment="1">
      <alignment horizontal="center" vertical="center" wrapText="1"/>
    </xf>
    <xf numFmtId="0" fontId="8" fillId="9" borderId="10" xfId="0" applyNumberFormat="1" applyFont="1" applyFill="1" applyBorder="1" applyAlignment="1">
      <alignment horizontal="center" vertical="center" wrapText="1"/>
    </xf>
    <xf numFmtId="0" fontId="8" fillId="12" borderId="10" xfId="0" applyNumberFormat="1" applyFont="1" applyFill="1" applyBorder="1" applyAlignment="1">
      <alignment horizontal="center" vertical="center" wrapText="1"/>
    </xf>
    <xf numFmtId="0" fontId="8" fillId="13" borderId="10" xfId="0" applyNumberFormat="1" applyFont="1" applyFill="1" applyBorder="1" applyAlignment="1">
      <alignment horizontal="center" vertical="center" wrapText="1"/>
    </xf>
    <xf numFmtId="0" fontId="8" fillId="14" borderId="10" xfId="0" applyNumberFormat="1" applyFont="1" applyFill="1" applyBorder="1" applyAlignment="1">
      <alignment horizontal="center" vertical="center" wrapText="1"/>
    </xf>
    <xf numFmtId="0" fontId="8" fillId="16" borderId="10" xfId="0" applyNumberFormat="1" applyFont="1" applyFill="1" applyBorder="1" applyAlignment="1">
      <alignment horizontal="center" vertical="center" wrapText="1"/>
    </xf>
    <xf numFmtId="0" fontId="8" fillId="17" borderId="10" xfId="0" applyNumberFormat="1" applyFont="1" applyFill="1" applyBorder="1" applyAlignment="1">
      <alignment horizontal="center" vertical="center" wrapText="1"/>
    </xf>
    <xf numFmtId="0" fontId="12" fillId="15" borderId="10" xfId="0" applyNumberFormat="1" applyFont="1" applyFill="1" applyBorder="1" applyAlignment="1">
      <alignment horizontal="left" vertical="center"/>
    </xf>
    <xf numFmtId="0" fontId="10" fillId="11" borderId="10" xfId="0" applyNumberFormat="1" applyFont="1" applyFill="1" applyBorder="1" applyAlignment="1">
      <alignment horizontal="center" vertical="center"/>
    </xf>
    <xf numFmtId="0" fontId="11" fillId="0" borderId="10" xfId="0" applyNumberFormat="1" applyFont="1" applyFill="1" applyBorder="1" applyAlignment="1">
      <alignment horizontal="left" vertical="center"/>
    </xf>
    <xf numFmtId="3" fontId="11" fillId="0" borderId="10" xfId="0" applyNumberFormat="1" applyFont="1" applyFill="1" applyBorder="1" applyAlignment="1">
      <alignment horizontal="center" vertical="center"/>
    </xf>
    <xf numFmtId="200" fontId="11" fillId="0" borderId="10" xfId="0" applyNumberFormat="1" applyFont="1" applyFill="1" applyBorder="1" applyAlignment="1">
      <alignment horizontal="center" vertical="center"/>
    </xf>
    <xf numFmtId="201" fontId="11" fillId="0" borderId="10" xfId="0" applyNumberFormat="1" applyFont="1" applyFill="1" applyBorder="1" applyAlignment="1">
      <alignment horizontal="center" vertical="center"/>
    </xf>
    <xf numFmtId="9" fontId="10" fillId="11" borderId="10" xfId="0" applyNumberFormat="1" applyFont="1" applyFill="1" applyBorder="1" applyAlignment="1">
      <alignment horizontal="center" vertical="center"/>
    </xf>
    <xf numFmtId="0" fontId="9" fillId="10" borderId="10" xfId="0" applyNumberFormat="1" applyFont="1" applyFill="1" applyBorder="1" applyAlignment="1">
      <alignment horizontal="left" vertical="center"/>
    </xf>
    <xf numFmtId="3" fontId="9" fillId="10" borderId="10" xfId="0" applyNumberFormat="1" applyFont="1" applyFill="1" applyBorder="1" applyAlignment="1">
      <alignment horizontal="center" vertical="center"/>
    </xf>
    <xf numFmtId="200" fontId="9" fillId="10" borderId="10" xfId="0" applyNumberFormat="1" applyFont="1" applyFill="1" applyBorder="1" applyAlignment="1">
      <alignment horizontal="center" vertical="center"/>
    </xf>
    <xf numFmtId="201" fontId="9" fillId="10" borderId="10" xfId="0" applyNumberFormat="1" applyFont="1" applyFill="1" applyBorder="1" applyAlignment="1">
      <alignment horizontal="center" vertical="center"/>
    </xf>
    <xf numFmtId="9" fontId="9" fillId="10" borderId="10" xfId="0" applyNumberFormat="1" applyFont="1" applyFill="1" applyBorder="1" applyAlignment="1">
      <alignment horizontal="center" vertical="center"/>
    </xf>
    <xf numFmtId="0" fontId="11" fillId="0" borderId="10" xfId="0" applyNumberFormat="1" applyFont="1" applyFill="1" applyBorder="1" applyAlignment="1">
      <alignment horizontal="left" vertical="center"/>
    </xf>
    <xf numFmtId="0" fontId="11" fillId="19" borderId="10" xfId="0" applyNumberFormat="1" applyFont="1" applyFill="1" applyBorder="1" applyAlignment="1">
      <alignment horizontal="left" vertical="center"/>
    </xf>
    <xf numFmtId="0" fontId="11" fillId="0" borderId="10" xfId="0" applyNumberFormat="1" applyFont="1" applyFill="1" applyBorder="1" applyAlignment="1">
      <alignment horizontal="center" vertical="center"/>
    </xf>
    <xf numFmtId="0" fontId="11" fillId="19" borderId="10" xfId="0" applyNumberFormat="1" applyFont="1" applyFill="1" applyBorder="1" applyAlignment="1">
      <alignment horizontal="center" vertical="center"/>
    </xf>
    <xf numFmtId="200" fontId="11" fillId="0" borderId="10" xfId="0" applyNumberFormat="1" applyFont="1" applyFill="1" applyBorder="1" applyAlignment="1">
      <alignment horizontal="center" vertical="center"/>
    </xf>
    <xf numFmtId="200" fontId="11" fillId="19" borderId="10" xfId="0" applyNumberFormat="1" applyFont="1" applyFill="1" applyBorder="1" applyAlignment="1">
      <alignment horizontal="center" vertical="center"/>
    </xf>
    <xf numFmtId="0" fontId="13" fillId="20" borderId="10" xfId="0" applyNumberFormat="1" applyFont="1" applyFill="1" applyBorder="1" applyAlignment="1">
      <alignment horizontal="center" vertical="center"/>
    </xf>
    <xf numFmtId="0" fontId="14" fillId="21" borderId="10" xfId="0" applyNumberFormat="1" applyFont="1" applyFill="1" applyBorder="1" applyAlignment="1">
      <alignment horizontal="center" vertical="center"/>
    </xf>
  </cellXfs>
  <cellStyles count="2">
    <cellStyle name="Normal" xfId="0" builtinId="0"/>
    <cellStyle name="Percent" xfId="1" builtinId="5"/>
  </cellStyles>
  <dxfs count="181">
    <dxf>
      <alignment vertical="center" indent="0" readingOrder="0"/>
    </dxf>
    <dxf>
      <alignment horizontal="center" readingOrder="0"/>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patternFill>
      </fill>
    </dxf>
    <dxf>
      <fill>
        <patternFill patternType="solid">
          <bgColor theme="9"/>
        </patternFill>
      </fill>
    </dxf>
    <dxf>
      <alignment vertical="center" indent="0" readingOrder="0"/>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numFmt numFmtId="14" formatCode="0.00%"/>
    </dxf>
    <dxf>
      <fill>
        <patternFill patternType="solid">
          <bgColor theme="9"/>
        </patternFill>
      </fill>
    </dxf>
    <dxf>
      <font>
        <b/>
      </font>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font>
        <strike val="0"/>
        <outline val="0"/>
        <shadow val="0"/>
        <u val="none"/>
        <vertAlign val="baseline"/>
        <sz val="11"/>
        <name val="Calibri"/>
        <family val="2"/>
        <scheme val="minor"/>
      </font>
      <numFmt numFmtId="19" formatCode="dd/mm/yyyy"/>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rgb="FF0F1B2D"/>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0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dxf>
    <dxf>
      <border>
        <bottom style="thin">
          <color indexed="64"/>
        </bottom>
      </border>
    </dxf>
    <dxf>
      <font>
        <strike val="0"/>
        <outline val="0"/>
        <shadow val="0"/>
        <u val="none"/>
        <vertAlign val="baseline"/>
        <sz val="11"/>
        <name val="Calibri"/>
        <family val="2"/>
        <scheme val="minor"/>
      </font>
      <fill>
        <patternFill patternType="solid">
          <fgColor indexed="64"/>
          <bgColor rgb="FF92D050"/>
        </patternFill>
      </fill>
      <alignment horizontal="left" vertical="top" textRotation="0" wrapText="0" indent="0" justifyLastLine="0" shrinkToFit="0" readingOrder="0"/>
      <border diagonalUp="0" diagonalDown="0" outline="0">
        <left style="thin">
          <color indexed="64"/>
        </left>
        <right style="thin">
          <color indexed="64"/>
        </right>
        <top/>
        <bottom/>
      </border>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font>
        <b/>
      </font>
    </dxf>
    <dxf>
      <fill>
        <patternFill patternType="solid">
          <bgColor theme="9"/>
        </patternFill>
      </fill>
    </dxf>
    <dxf>
      <numFmt numFmtId="14" formatCode="0.00%"/>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numFmt numFmtId="14" formatCode="0.00%"/>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numFmt numFmtId="0" formatCode="General"/>
    </dxf>
    <dxf>
      <numFmt numFmtId="164" formatCode="0.00,,"/>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alignment vertical="center" indent="0"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vertical="center" readingOrder="0"/>
    </dxf>
    <dxf>
      <alignment horizontal="center" readingOrder="0"/>
    </dxf>
    <dxf>
      <alignment vertical="center" indent="0" readingOrder="0"/>
    </dxf>
    <dxf>
      <font>
        <color rgb="FF1F2937"/>
      </font>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0F2747"/>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0F2747"/>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DCE6FA"/>
        </patternFill>
      </fill>
      <border>
        <left style="thin">
          <color rgb="FFD6DEEA"/>
        </left>
        <right style="thin">
          <color rgb="FFD6DEEA"/>
        </right>
        <top style="medium">
          <color rgb="FF0F2747"/>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border>
        <left style="thin">
          <color rgb="FFD6DEEA"/>
        </left>
        <right style="thin">
          <color rgb="FFD6DEEA"/>
        </right>
        <top style="thin">
          <color rgb="FFD6DEEA"/>
        </top>
        <bottom style="thin">
          <color rgb="FFD6DEEA"/>
        </bottom>
        <vertical style="thin">
          <color rgb="FFD6DEEA"/>
        </vertical>
        <horizontal style="thin">
          <color rgb="FFD6DEEA"/>
        </horizontal>
      </border>
    </dxf>
    <dxf>
      <fill>
        <patternFill patternType="solid">
          <bgColor rgb="FFF7F9FC"/>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1D4ED8"/>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3B82F6"/>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92400E"/>
      </font>
      <fill>
        <patternFill patternType="solid">
          <bgColor rgb="FFFFF7D6"/>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s>
  <tableStyles count="1" defaultTableStyle="TableStyleMedium2" defaultPivotStyle="PivotStyleLight16">
    <tableStyle name="RecoverIQ Pivot" table="0" count="14">
      <tableStyleElement type="wholeTable" dxfId="167"/>
      <tableStyleElement type="headerRow" dxfId="168"/>
      <tableStyleElement type="firstHeaderCell" dxfId="169"/>
      <tableStyleElement type="totalRow" dxfId="170"/>
      <tableStyleElement type="lastColumn" dxfId="171"/>
      <tableStyleElement type="firstColumn" dxfId="172"/>
      <tableStyleElement type="firstRowStripe" dxfId="173"/>
      <tableStyleElement type="firstColumnSubheading" dxfId="174"/>
      <tableStyleElement type="secondColumnSubheading" dxfId="175"/>
      <tableStyleElement type="firstSubtotalColumn" dxfId="176"/>
      <tableStyleElement type="firstRowSubheading" dxfId="177"/>
      <tableStyleElement type="firstSubtotalRow" dxfId="178"/>
      <tableStyleElement type="pageFieldLabels" dxfId="179"/>
      <tableStyleElement type="pageFieldValues" dxfId="1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1" Type="http://schemas.microsoft.com/office/2007/relationships/slicerCache" Target="slicerCaches/slicerCache4.xml"/><Relationship Id="rId15" Type="http://schemas.openxmlformats.org/officeDocument/2006/relationships/styles" Target="styles.xml"/><Relationship Id="rId10" Type="http://schemas.microsoft.com/office/2007/relationships/slicerCache" Target="slicerCaches/slicerCache3.xml"/><Relationship Id="rId9" Type="http://schemas.microsoft.com/office/2007/relationships/slicerCache" Target="slicerCaches/slicerCache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217954</xdr:colOff>
      <xdr:row>0</xdr:row>
      <xdr:rowOff>0</xdr:rowOff>
    </xdr:from>
    <xdr:to>
      <xdr:col>8</xdr:col>
      <xdr:colOff>156882</xdr:colOff>
      <xdr:row>19</xdr:row>
      <xdr:rowOff>33618</xdr:rowOff>
    </xdr:to>
    <mc:AlternateContent xmlns:mc="http://schemas.openxmlformats.org/markup-compatibility/2006" xmlns:a14="http://schemas.microsoft.com/office/drawing/2010/main">
      <mc:Choice Requires="a14">
        <xdr:graphicFrame macro="">
          <xdr:nvGraphicFramePr>
            <xdr:cNvPr id="2" name="CYC">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YC"/>
            </a:graphicData>
          </a:graphic>
        </xdr:graphicFrame>
      </mc:Choice>
      <mc:Fallback xmlns="">
        <xdr:sp macro="" textlink="">
          <xdr:nvSpPr>
            <xdr:cNvPr id="0" name=""/>
            <xdr:cNvSpPr>
              <a:spLocks noTextEdit="1"/>
            </xdr:cNvSpPr>
          </xdr:nvSpPr>
          <xdr:spPr>
            <a:xfrm>
              <a:off x="5641601" y="0"/>
              <a:ext cx="958663" cy="3653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289810</xdr:colOff>
      <xdr:row>20</xdr:row>
      <xdr:rowOff>35158</xdr:rowOff>
    </xdr:from>
    <xdr:to>
      <xdr:col>7</xdr:col>
      <xdr:colOff>896608</xdr:colOff>
      <xdr:row>29</xdr:row>
      <xdr:rowOff>6583</xdr:rowOff>
    </xdr:to>
    <mc:AlternateContent xmlns:mc="http://schemas.openxmlformats.org/markup-compatibility/2006" xmlns:a14="http://schemas.microsoft.com/office/drawing/2010/main">
      <mc:Choice Requires="a14">
        <xdr:graphicFrame macro="">
          <xdr:nvGraphicFramePr>
            <xdr:cNvPr id="4" name="CALL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LLER"/>
            </a:graphicData>
          </a:graphic>
        </xdr:graphicFrame>
      </mc:Choice>
      <mc:Fallback xmlns="">
        <xdr:sp macro="" textlink="">
          <xdr:nvSpPr>
            <xdr:cNvPr id="0" name=""/>
            <xdr:cNvSpPr>
              <a:spLocks noTextEdit="1"/>
            </xdr:cNvSpPr>
          </xdr:nvSpPr>
          <xdr:spPr>
            <a:xfrm>
              <a:off x="5242810" y="3845158"/>
              <a:ext cx="101021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245269</xdr:colOff>
      <xdr:row>13</xdr:row>
      <xdr:rowOff>157163</xdr:rowOff>
    </xdr:from>
    <xdr:to>
      <xdr:col>8</xdr:col>
      <xdr:colOff>1257300</xdr:colOff>
      <xdr:row>25</xdr:row>
      <xdr:rowOff>40481</xdr:rowOff>
    </xdr:to>
    <mc:AlternateContent xmlns:mc="http://schemas.openxmlformats.org/markup-compatibility/2006" xmlns:a14="http://schemas.microsoft.com/office/drawing/2010/main">
      <mc:Choice Requires="a14">
        <xdr:graphicFrame macro="">
          <xdr:nvGraphicFramePr>
            <xdr:cNvPr id="5" name="AREA">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893719" y="2633663"/>
              <a:ext cx="1012031" cy="2169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382681</xdr:colOff>
      <xdr:row>27</xdr:row>
      <xdr:rowOff>35859</xdr:rowOff>
    </xdr:from>
    <xdr:to>
      <xdr:col>9</xdr:col>
      <xdr:colOff>1865</xdr:colOff>
      <xdr:row>40</xdr:row>
      <xdr:rowOff>100947</xdr:rowOff>
    </xdr:to>
    <mc:AlternateContent xmlns:mc="http://schemas.openxmlformats.org/markup-compatibility/2006" xmlns:a14="http://schemas.microsoft.com/office/drawing/2010/main">
      <mc:Choice Requires="a14">
        <xdr:graphicFrame macro="">
          <xdr:nvGraphicFramePr>
            <xdr:cNvPr id="6" name="FOS NAM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FOS NAME"/>
            </a:graphicData>
          </a:graphic>
        </xdr:graphicFrame>
      </mc:Choice>
      <mc:Fallback xmlns="">
        <xdr:sp macro="" textlink="">
          <xdr:nvSpPr>
            <xdr:cNvPr id="0" name=""/>
            <xdr:cNvSpPr>
              <a:spLocks noTextEdit="1"/>
            </xdr:cNvSpPr>
          </xdr:nvSpPr>
          <xdr:spPr>
            <a:xfrm>
              <a:off x="7285505" y="5179359"/>
              <a:ext cx="1101771" cy="254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609600</xdr:colOff>
      <xdr:row>16</xdr:row>
      <xdr:rowOff>133350</xdr:rowOff>
    </xdr:from>
    <xdr:to>
      <xdr:col>76</xdr:col>
      <xdr:colOff>438150</xdr:colOff>
      <xdr:row>29</xdr:row>
      <xdr:rowOff>180975</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1B880778-CF6B-0B32-6FA8-1088AA93468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4579500" y="318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447675</xdr:colOff>
      <xdr:row>2</xdr:row>
      <xdr:rowOff>180975</xdr:rowOff>
    </xdr:from>
    <xdr:to>
      <xdr:col>76</xdr:col>
      <xdr:colOff>276225</xdr:colOff>
      <xdr:row>16</xdr:row>
      <xdr:rowOff>38100</xdr:rowOff>
    </xdr:to>
    <mc:AlternateContent xmlns:mc="http://schemas.openxmlformats.org/markup-compatibility/2006" xmlns:a14="http://schemas.microsoft.com/office/drawing/2010/main">
      <mc:Choice Requires="a14">
        <xdr:graphicFrame macro="">
          <xdr:nvGraphicFramePr>
            <xdr:cNvPr id="8" name="V DATE">
              <a:extLst>
                <a:ext uri="{FF2B5EF4-FFF2-40B4-BE49-F238E27FC236}">
                  <a16:creationId xmlns:a16="http://schemas.microsoft.com/office/drawing/2014/main" id="{8EF68625-C7DE-71C3-CA0B-0B38E2231DF8}"/>
                </a:ext>
              </a:extLst>
            </xdr:cNvPr>
            <xdr:cNvGraphicFramePr/>
          </xdr:nvGraphicFramePr>
          <xdr:xfrm>
            <a:off x="0" y="0"/>
            <a:ext cx="0" cy="0"/>
          </xdr:xfrm>
          <a:graphic>
            <a:graphicData uri="http://schemas.microsoft.com/office/drawing/2010/slicer">
              <sle:slicer xmlns:sle="http://schemas.microsoft.com/office/drawing/2010/slicer" name="V DATE"/>
            </a:graphicData>
          </a:graphic>
        </xdr:graphicFrame>
      </mc:Choice>
      <mc:Fallback xmlns="">
        <xdr:sp macro="" textlink="">
          <xdr:nvSpPr>
            <xdr:cNvPr id="0" name=""/>
            <xdr:cNvSpPr>
              <a:spLocks noTextEdit="1"/>
            </xdr:cNvSpPr>
          </xdr:nvSpPr>
          <xdr:spPr>
            <a:xfrm>
              <a:off x="64274700" y="561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refreshOnLoad="1" mc:Ignorable="xr" r:id="rId1" refreshedBy="RecoverIQ" refreshedDate="46326.540505" createdVersion="4" refreshedVersion="8" minRefreshableVersion="3" recordCount="60" xr:uid="{00000000-000A-0000-FFFF-FFFF18000000}">
  <cacheSource type="worksheet">
    <worksheetSource name="Table1"/>
  </cacheSource>
  <cacheFields count="46">
    <cacheField name="ACC.NO" numFmtId="0">
      <sharedItems/>
    </cacheField>
    <cacheField name="NAMES" numFmtId="0">
      <sharedItems/>
    </cacheField>
    <cacheField name="O/N" numFmtId="0">
      <sharedItems containsBlank="1"/>
    </cacheField>
    <cacheField name="CYC" numFmtId="0">
      <sharedItems containsSemiMixedTypes="0" containsString="0" containsNumber="1" containsInteger="1" minValue="2" maxValue="21" count="3">
        <n v="2"/>
        <n v="12"/>
        <n v="21"/>
      </sharedItems>
    </cacheField>
    <cacheField name="MOBILE" numFmtId="0">
      <sharedItems/>
    </cacheField>
    <cacheField name="BLOCK" numFmtId="0">
      <sharedItems containsBlank="1"/>
    </cacheField>
    <cacheField name="EXCESS LIMIT" numFmtId="0">
      <sharedItems containsBlank="1"/>
    </cacheField>
    <cacheField name="CREDIT" numFmtId="0">
      <sharedItems containsBlank="1"/>
    </cacheField>
    <cacheField name="ENR" numFmtId="0">
      <sharedItems containsSemiMixedTypes="0" containsString="0" containsNumber="1" minValue="25832.0" maxValue="898380.0"/>
    </cacheField>
    <cacheField name="EMI 0/S" numFmtId="0">
      <sharedItems containsSemiMixedTypes="0" containsString="0" containsNumber="1" minValue="1200.5" maxValue="1200.5"/>
    </cacheField>
    <cacheField name="CURR_BAL" numFmtId="0">
      <sharedItems containsSemiMixedTypes="0" containsString="0" containsNumber="1" minValue="0.0" maxValue="0.0"/>
    </cacheField>
    <cacheField name="PRI" numFmtId="0">
      <sharedItems containsSemiMixedTypes="0" containsString="0" containsNumber="1" minValue="0.0" maxValue="0.0"/>
    </cacheField>
    <cacheField name="NORM" numFmtId="0">
      <sharedItems containsSemiMixedTypes="0" containsString="0" containsNumber="1" minValue="9000.0" maxValue="9000.0"/>
    </cacheField>
    <cacheField name="STAB" numFmtId="0">
      <sharedItems containsSemiMixedTypes="0" containsString="0" containsNumber="1" minValue="5000.0" maxValue="5000.0"/>
    </cacheField>
    <cacheField name="PAID/UNPAID" numFmtId="0">
      <sharedItems count="2">
        <s v="PAID"/>
        <s v="UNPAID"/>
      </sharedItems>
    </cacheField>
    <cacheField name="STATUS" numFmtId="0">
      <sharedItems count="2">
        <s v="NORM"/>
        <s v="RF"/>
      </sharedItems>
    </cacheField>
    <cacheField name="AMOUNT" numFmtId="0">
      <sharedItems containsSemiMixedTypes="0" containsString="0" containsNumber="1" minValue="0.0" maxValue="9000.0"/>
    </cacheField>
    <cacheField name="PENDING" numFmtId="0">
      <sharedItems containsSemiMixedTypes="0" containsString="0" containsNumber="1" minValue="0.0" maxValue="0.0"/>
    </cacheField>
    <cacheField name="DATE" numFmtId="0">
      <sharedItems containsBlank="1" count="2">
        <s v="31-10-2026"/>
        <m/>
      </sharedItems>
    </cacheField>
    <cacheField name="DONE BY" numFmtId="0">
      <sharedItems containsBlank="1"/>
    </cacheField>
    <cacheField name="MODE" numFmtId="0">
      <sharedItems containsBlank="1"/>
    </cacheField>
    <cacheField name="TL ID" numFmtId="0">
      <sharedItems/>
    </cacheField>
    <cacheField name="CALLER" numFmtId="0">
      <sharedItems count="1">
        <s v="DEVI (TC116) / 9000011111"/>
      </sharedItems>
    </cacheField>
    <cacheField name="CALLER ID" numFmtId="0">
      <sharedItems/>
    </cacheField>
    <cacheField name="CAT ALLO" numFmtId="0">
      <sharedItems count="2">
        <s v="CAT I"/>
        <s v="CAT J"/>
      </sharedItems>
    </cacheField>
    <cacheField name="ADD 1" numFmtId="0">
      <sharedItems containsBlank="1"/>
    </cacheField>
    <cacheField name="ADD 2" numFmtId="0">
      <sharedItems containsBlank="1"/>
    </cacheField>
    <cacheField name="LOCATION" numFmtId="0">
      <sharedItems/>
    </cacheField>
    <cacheField name="AREA" numFmtId="0">
      <sharedItems count="2">
        <s v="KDP"/>
        <s v="TS"/>
      </sharedItems>
    </cacheField>
    <cacheField name="FOS NAME" numFmtId="0">
      <sharedItems count="3">
        <s v="NO FOS"/>
        <s v="RAVI KUMAR (FO047) / VSP / 9876543210"/>
        <s v="SURESH (FO050)"/>
      </sharedItems>
    </cacheField>
    <cacheField name="FOS ID" numFmtId="0">
      <sharedItems containsBlank="1"/>
    </cacheField>
    <cacheField name="MARC" numFmtId="0">
      <sharedItems containsBlank="1"/>
    </cacheField>
    <cacheField name="MARC ID" numFmtId="0">
      <sharedItems containsBlank="1"/>
    </cacheField>
    <cacheField name="MARC PW" numFmtId="0">
      <sharedItems containsBlank="1"/>
    </cacheField>
    <cacheField name="IQ UPLOAD" numFmtId="0">
      <sharedItems containsBlank="1"/>
    </cacheField>
    <cacheField name="TC REMARK" numFmtId="0">
      <sharedItems containsBlank="1"/>
    </cacheField>
    <cacheField name="VISITS" numFmtId="0">
      <sharedItems count="2">
        <s v="NOT VISITED"/>
        <s v="VISITED"/>
      </sharedItems>
    </cacheField>
    <cacheField name="FOS DISPO" numFmtId="0">
      <sharedItems containsBlank="1"/>
    </cacheField>
    <cacheField name="REMARKS" numFmtId="0">
      <sharedItems containsBlank="1"/>
    </cacheField>
    <cacheField name="V DATE" numFmtId="0">
      <sharedItems containsBlank="1" count="2">
        <s v="31-10-2026"/>
        <m/>
      </sharedItems>
    </cacheField>
    <cacheField name="LAST PAYMENT DATE" numFmtId="0">
      <sharedItems containsBlank="1"/>
    </cacheField>
    <cacheField name="LAST PAYMENT AMOUNT" numFmtId="0">
      <sharedItems containsBlank="1"/>
    </cacheField>
    <cacheField name="UCIC DODE" numFmtId="0">
      <sharedItems containsBlank="1"/>
    </cacheField>
    <cacheField name="CARD TYPE" numFmtId="0">
      <sharedItems/>
    </cacheField>
    <cacheField name="ALLOC DATE" numFmtId="0">
      <sharedItems containsBlank="1"/>
    </cacheField>
    <cacheField name="DueDate"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AC0"/>
    <s v="Cust 0"/>
    <m/>
    <x v="1"/>
    <s v="900"/>
    <m/>
    <m/>
    <m/>
    <n v="522140.0"/>
    <n v="1200.5"/>
    <n v="0.0"/>
    <n v="0.0"/>
    <n v="9000.0"/>
    <n v="5000.0"/>
    <x v="1"/>
    <x v="1"/>
    <n v="0.0"/>
    <n v="0.0"/>
    <x v="1"/>
    <m/>
    <m/>
    <s v="NAGALLA"/>
    <x v="0"/>
    <s v="TC116"/>
    <x v="1"/>
    <m/>
    <m/>
    <s v="VIZAG"/>
    <x v="0"/>
    <x v="0"/>
    <m/>
    <m/>
    <m/>
    <m/>
    <m/>
    <m/>
    <x v="1"/>
    <s v="LIVE"/>
    <m/>
    <x v="0"/>
    <m/>
    <m/>
    <m/>
    <s v="Coral Card"/>
    <m/>
    <m/>
  </r>
  <r>
    <s v="AC15"/>
    <s v="Cust 15"/>
    <m/>
    <x v="2"/>
    <s v="900"/>
    <m/>
    <m/>
    <m/>
    <n v="125884.0"/>
    <n v="1200.5"/>
    <n v="0.0"/>
    <n v="0.0"/>
    <n v="9000.0"/>
    <n v="5000.0"/>
    <x v="1"/>
    <x v="1"/>
    <n v="0.0"/>
    <n v="0.0"/>
    <x v="0"/>
    <s v="FE"/>
    <m/>
    <s v="NAGALLA"/>
    <x v="0"/>
    <s v="TC116"/>
    <x v="1"/>
    <m/>
    <m/>
    <s v="VIZAG"/>
    <x v="0"/>
    <x v="0"/>
    <m/>
    <m/>
    <m/>
    <m/>
    <m/>
    <m/>
    <x v="1"/>
    <s v="LIVE"/>
    <m/>
    <x v="0"/>
    <m/>
    <m/>
    <m/>
    <s v="Coral Card"/>
    <m/>
    <m/>
  </r>
  <r>
    <s v="AC30"/>
    <s v="Cust 30"/>
    <m/>
    <x v="1"/>
    <s v="900"/>
    <m/>
    <m/>
    <m/>
    <n v="461682.0"/>
    <n v="1200.5"/>
    <n v="0.0"/>
    <n v="0.0"/>
    <n v="9000.0"/>
    <n v="5000.0"/>
    <x v="1"/>
    <x v="1"/>
    <n v="2000.0"/>
    <n v="0.0"/>
    <x v="1"/>
    <m/>
    <m/>
    <s v="OTHER"/>
    <x v="0"/>
    <s v="TC116"/>
    <x v="1"/>
    <m/>
    <m/>
    <s v="VIZAG"/>
    <x v="1"/>
    <x v="0"/>
    <m/>
    <m/>
    <m/>
    <m/>
    <m/>
    <m/>
    <x v="0"/>
    <m/>
    <m/>
    <x v="1"/>
    <m/>
    <m/>
    <m/>
    <s v="Coral Card"/>
    <m/>
    <m/>
  </r>
  <r>
    <s v="AC45"/>
    <s v="Cust 45"/>
    <m/>
    <x v="0"/>
    <s v="900"/>
    <m/>
    <m/>
    <m/>
    <n v="878185.0"/>
    <n v="1200.5"/>
    <n v="0.0"/>
    <n v="0.0"/>
    <n v="9000.0"/>
    <n v="5000.0"/>
    <x v="0"/>
    <x v="0"/>
    <n v="9000.0"/>
    <n v="0.0"/>
    <x v="1"/>
    <m/>
    <m/>
    <s v="OTHER"/>
    <x v="0"/>
    <s v="TC116"/>
    <x v="1"/>
    <m/>
    <m/>
    <s v="VIZAG"/>
    <x v="0"/>
    <x v="0"/>
    <m/>
    <m/>
    <m/>
    <m/>
    <m/>
    <m/>
    <x v="0"/>
    <m/>
    <m/>
    <x v="1"/>
    <m/>
    <m/>
    <m/>
    <s v="Coral Card"/>
    <m/>
    <m/>
  </r>
  <r>
    <s v="AC1"/>
    <s v="Cust 1"/>
    <m/>
    <x v="0"/>
    <s v="900"/>
    <m/>
    <m/>
    <m/>
    <n v="441098.0"/>
    <n v="1200.5"/>
    <n v="0.0"/>
    <n v="0.0"/>
    <n v="9000.0"/>
    <n v="5000.0"/>
    <x v="1"/>
    <x v="1"/>
    <n v="0.0"/>
    <n v="0.0"/>
    <x v="1"/>
    <m/>
    <m/>
    <s v="NAGALLA"/>
    <x v="0"/>
    <s v="TC116"/>
    <x v="1"/>
    <m/>
    <m/>
    <s v="VIZAG"/>
    <x v="1"/>
    <x v="1"/>
    <s v="FO047"/>
    <m/>
    <m/>
    <m/>
    <m/>
    <m/>
    <x v="1"/>
    <s v="LIVE"/>
    <m/>
    <x v="0"/>
    <m/>
    <m/>
    <m/>
    <s v="Coral Card"/>
    <m/>
    <m/>
  </r>
  <r>
    <s v="AC10"/>
    <s v="Cust 10"/>
    <m/>
    <x v="0"/>
    <s v="900"/>
    <m/>
    <m/>
    <m/>
    <n v="292268.0"/>
    <n v="1200.5"/>
    <n v="0.0"/>
    <n v="0.0"/>
    <n v="9000.0"/>
    <n v="5000.0"/>
    <x v="1"/>
    <x v="1"/>
    <n v="2000.0"/>
    <n v="0.0"/>
    <x v="1"/>
    <m/>
    <m/>
    <s v="NAGALLA"/>
    <x v="0"/>
    <s v="TC116"/>
    <x v="1"/>
    <m/>
    <m/>
    <s v="VIZAG"/>
    <x v="0"/>
    <x v="1"/>
    <s v="FO047"/>
    <m/>
    <m/>
    <m/>
    <m/>
    <m/>
    <x v="1"/>
    <s v="LIVE"/>
    <m/>
    <x v="0"/>
    <m/>
    <m/>
    <m/>
    <s v="Coral Card"/>
    <m/>
    <m/>
  </r>
  <r>
    <s v="AC11"/>
    <s v="Cust 11"/>
    <m/>
    <x v="0"/>
    <s v="900"/>
    <m/>
    <m/>
    <m/>
    <n v="676776.0"/>
    <n v="1200.5"/>
    <n v="0.0"/>
    <n v="0.0"/>
    <n v="9000.0"/>
    <n v="5000.0"/>
    <x v="0"/>
    <x v="0"/>
    <n v="9000.0"/>
    <n v="0.0"/>
    <x v="0"/>
    <s v="FE"/>
    <m/>
    <s v="NAGALLA"/>
    <x v="0"/>
    <s v="TC116"/>
    <x v="1"/>
    <m/>
    <m/>
    <s v="VIZAG"/>
    <x v="0"/>
    <x v="1"/>
    <s v="FO047"/>
    <m/>
    <m/>
    <m/>
    <m/>
    <m/>
    <x v="1"/>
    <s v="LIVE"/>
    <m/>
    <x v="0"/>
    <m/>
    <m/>
    <m/>
    <s v="Coral Card"/>
    <m/>
    <m/>
  </r>
  <r>
    <s v="AC13"/>
    <s v="Cust 13"/>
    <m/>
    <x v="0"/>
    <s v="900"/>
    <m/>
    <m/>
    <m/>
    <n v="685865.0"/>
    <n v="1200.5"/>
    <n v="0.0"/>
    <n v="0.0"/>
    <n v="9000.0"/>
    <n v="5000.0"/>
    <x v="1"/>
    <x v="1"/>
    <n v="0.0"/>
    <n v="0.0"/>
    <x v="1"/>
    <m/>
    <m/>
    <s v="NAGALLA"/>
    <x v="0"/>
    <s v="TC116"/>
    <x v="0"/>
    <m/>
    <m/>
    <s v="VIZAG"/>
    <x v="1"/>
    <x v="1"/>
    <s v="FO047"/>
    <m/>
    <m/>
    <m/>
    <m/>
    <m/>
    <x v="1"/>
    <s v="LIVE"/>
    <m/>
    <x v="0"/>
    <m/>
    <m/>
    <m/>
    <s v="Coral Card"/>
    <m/>
    <m/>
  </r>
  <r>
    <s v="AC14"/>
    <s v="Cust 14"/>
    <m/>
    <x v="1"/>
    <s v="900"/>
    <m/>
    <m/>
    <m/>
    <n v="477099.0"/>
    <n v="1200.5"/>
    <n v="0.0"/>
    <n v="0.0"/>
    <n v="9000.0"/>
    <n v="5000.0"/>
    <x v="1"/>
    <x v="1"/>
    <n v="2000.0"/>
    <n v="0.0"/>
    <x v="1"/>
    <m/>
    <m/>
    <s v="NAGALLA"/>
    <x v="0"/>
    <s v="TC116"/>
    <x v="1"/>
    <m/>
    <m/>
    <s v="VIZAG"/>
    <x v="0"/>
    <x v="1"/>
    <s v="FO047"/>
    <m/>
    <m/>
    <m/>
    <m/>
    <m/>
    <x v="1"/>
    <s v="LIVE"/>
    <m/>
    <x v="0"/>
    <m/>
    <m/>
    <m/>
    <s v="Coral Card"/>
    <m/>
    <m/>
  </r>
  <r>
    <s v="AC16"/>
    <s v="Cust 16"/>
    <m/>
    <x v="2"/>
    <s v="900"/>
    <m/>
    <m/>
    <m/>
    <n v="822330.0"/>
    <n v="1200.5"/>
    <n v="0.0"/>
    <n v="0.0"/>
    <n v="9000.0"/>
    <n v="5000.0"/>
    <x v="0"/>
    <x v="0"/>
    <n v="9000.0"/>
    <n v="0.0"/>
    <x v="1"/>
    <m/>
    <m/>
    <s v="NAGALLA"/>
    <x v="0"/>
    <s v="TC116"/>
    <x v="1"/>
    <m/>
    <m/>
    <s v="VIZAG"/>
    <x v="0"/>
    <x v="1"/>
    <s v="FO047"/>
    <m/>
    <m/>
    <m/>
    <m/>
    <m/>
    <x v="1"/>
    <s v="LIVE"/>
    <m/>
    <x v="0"/>
    <m/>
    <m/>
    <m/>
    <s v="Coral Card"/>
    <m/>
    <m/>
  </r>
  <r>
    <s v="AC17"/>
    <s v="Cust 17"/>
    <m/>
    <x v="0"/>
    <s v="900"/>
    <m/>
    <m/>
    <m/>
    <n v="325056.0"/>
    <n v="1200.5"/>
    <n v="0.0"/>
    <n v="0.0"/>
    <n v="9000.0"/>
    <n v="5000.0"/>
    <x v="1"/>
    <x v="1"/>
    <n v="0.0"/>
    <n v="0.0"/>
    <x v="1"/>
    <m/>
    <m/>
    <s v="NAGALLA"/>
    <x v="0"/>
    <s v="TC116"/>
    <x v="0"/>
    <m/>
    <m/>
    <s v="VIZAG"/>
    <x v="1"/>
    <x v="1"/>
    <s v="FO047"/>
    <m/>
    <m/>
    <m/>
    <m/>
    <m/>
    <x v="1"/>
    <s v="LIVE"/>
    <m/>
    <x v="0"/>
    <m/>
    <m/>
    <m/>
    <s v="Coral Card"/>
    <m/>
    <m/>
  </r>
  <r>
    <s v="AC19"/>
    <s v="Cust 19"/>
    <m/>
    <x v="1"/>
    <s v="900"/>
    <m/>
    <m/>
    <m/>
    <n v="358491.0"/>
    <n v="1200.5"/>
    <n v="0.0"/>
    <n v="0.0"/>
    <n v="9000.0"/>
    <n v="5000.0"/>
    <x v="0"/>
    <x v="0"/>
    <n v="9000.0"/>
    <n v="0.0"/>
    <x v="0"/>
    <s v="FE"/>
    <m/>
    <s v="NAGALLA"/>
    <x v="0"/>
    <s v="TC116"/>
    <x v="0"/>
    <m/>
    <m/>
    <s v="VIZAG"/>
    <x v="1"/>
    <x v="1"/>
    <s v="FO047"/>
    <m/>
    <m/>
    <m/>
    <m/>
    <m/>
    <x v="1"/>
    <s v="LIVE"/>
    <m/>
    <x v="0"/>
    <m/>
    <m/>
    <m/>
    <s v="Coral Card"/>
    <m/>
    <m/>
  </r>
  <r>
    <s v="AC2"/>
    <s v="Cust 2"/>
    <m/>
    <x v="0"/>
    <s v="900"/>
    <m/>
    <m/>
    <m/>
    <n v="310122.0"/>
    <n v="1200.5"/>
    <n v="0.0"/>
    <n v="0.0"/>
    <n v="9000.0"/>
    <n v="5000.0"/>
    <x v="1"/>
    <x v="1"/>
    <n v="0.0"/>
    <n v="0.0"/>
    <x v="1"/>
    <m/>
    <m/>
    <s v="NAGALLA"/>
    <x v="0"/>
    <s v="TC116"/>
    <x v="1"/>
    <m/>
    <m/>
    <s v="VIZAG"/>
    <x v="0"/>
    <x v="1"/>
    <s v="FO047"/>
    <m/>
    <m/>
    <m/>
    <m/>
    <m/>
    <x v="1"/>
    <s v="LIVE"/>
    <m/>
    <x v="0"/>
    <m/>
    <m/>
    <m/>
    <s v="Coral Card"/>
    <m/>
    <m/>
  </r>
  <r>
    <s v="AC20"/>
    <s v="Cust 20"/>
    <m/>
    <x v="1"/>
    <s v="900"/>
    <m/>
    <m/>
    <m/>
    <n v="670652.0"/>
    <n v="1200.5"/>
    <n v="0.0"/>
    <n v="0.0"/>
    <n v="9000.0"/>
    <n v="5000.0"/>
    <x v="1"/>
    <x v="1"/>
    <n v="0.0"/>
    <n v="0.0"/>
    <x v="0"/>
    <s v="TC"/>
    <m/>
    <s v="NAGALLA"/>
    <x v="0"/>
    <s v="TC116"/>
    <x v="1"/>
    <m/>
    <m/>
    <s v="VIZAG"/>
    <x v="0"/>
    <x v="1"/>
    <s v="FO047"/>
    <m/>
    <m/>
    <m/>
    <m/>
    <m/>
    <x v="0"/>
    <m/>
    <m/>
    <x v="1"/>
    <m/>
    <m/>
    <m/>
    <s v="Coral Card"/>
    <m/>
    <m/>
  </r>
  <r>
    <s v="AC22"/>
    <s v="Cust 22"/>
    <m/>
    <x v="1"/>
    <s v="900"/>
    <m/>
    <m/>
    <m/>
    <n v="367400.0"/>
    <n v="1200.5"/>
    <n v="0.0"/>
    <n v="0.0"/>
    <n v="9000.0"/>
    <n v="5000.0"/>
    <x v="1"/>
    <x v="1"/>
    <n v="0.0"/>
    <n v="0.0"/>
    <x v="0"/>
    <s v="TC"/>
    <m/>
    <s v="NAGALLA"/>
    <x v="0"/>
    <s v="TC116"/>
    <x v="0"/>
    <m/>
    <m/>
    <s v="VIZAG"/>
    <x v="1"/>
    <x v="1"/>
    <s v="FO047"/>
    <m/>
    <m/>
    <m/>
    <m/>
    <m/>
    <x v="0"/>
    <m/>
    <m/>
    <x v="1"/>
    <m/>
    <m/>
    <m/>
    <s v="Coral Card"/>
    <m/>
    <m/>
  </r>
  <r>
    <s v="AC23"/>
    <s v="Cust 23"/>
    <m/>
    <x v="1"/>
    <s v="900"/>
    <m/>
    <m/>
    <m/>
    <n v="197803.0"/>
    <n v="1200.5"/>
    <n v="0.0"/>
    <n v="0.0"/>
    <n v="9000.0"/>
    <n v="5000.0"/>
    <x v="0"/>
    <x v="0"/>
    <n v="9000.0"/>
    <n v="0.0"/>
    <x v="0"/>
    <s v="TC"/>
    <m/>
    <s v="NAGALLA"/>
    <x v="0"/>
    <s v="TC116"/>
    <x v="1"/>
    <m/>
    <m/>
    <s v="VIZAG"/>
    <x v="0"/>
    <x v="1"/>
    <s v="FO047"/>
    <m/>
    <m/>
    <m/>
    <m/>
    <m/>
    <x v="0"/>
    <m/>
    <m/>
    <x v="1"/>
    <m/>
    <m/>
    <m/>
    <s v="Coral Card"/>
    <m/>
    <m/>
  </r>
  <r>
    <s v="AC25"/>
    <s v="Cust 25"/>
    <m/>
    <x v="1"/>
    <s v="900"/>
    <m/>
    <m/>
    <m/>
    <n v="82222.0"/>
    <n v="1200.5"/>
    <n v="0.0"/>
    <n v="0.0"/>
    <n v="9000.0"/>
    <n v="5000.0"/>
    <x v="1"/>
    <x v="1"/>
    <n v="0.0"/>
    <n v="0.0"/>
    <x v="0"/>
    <s v="TC"/>
    <m/>
    <s v="NAGALLA"/>
    <x v="0"/>
    <s v="TC116"/>
    <x v="1"/>
    <m/>
    <m/>
    <s v="VIZAG"/>
    <x v="1"/>
    <x v="1"/>
    <s v="FO047"/>
    <m/>
    <m/>
    <m/>
    <m/>
    <m/>
    <x v="0"/>
    <m/>
    <m/>
    <x v="1"/>
    <m/>
    <m/>
    <m/>
    <s v="Coral Card"/>
    <m/>
    <m/>
  </r>
  <r>
    <s v="AC26"/>
    <s v="Cust 26"/>
    <m/>
    <x v="0"/>
    <s v="900"/>
    <m/>
    <m/>
    <m/>
    <n v="655979.0"/>
    <n v="1200.5"/>
    <n v="0.0"/>
    <n v="0.0"/>
    <n v="9000.0"/>
    <n v="5000.0"/>
    <x v="0"/>
    <x v="0"/>
    <n v="9000.0"/>
    <n v="0.0"/>
    <x v="0"/>
    <s v="TC"/>
    <m/>
    <s v="NAGALLA"/>
    <x v="0"/>
    <s v="TC116"/>
    <x v="1"/>
    <m/>
    <m/>
    <s v="VIZAG"/>
    <x v="1"/>
    <x v="1"/>
    <s v="FO047"/>
    <m/>
    <m/>
    <m/>
    <m/>
    <m/>
    <x v="0"/>
    <m/>
    <m/>
    <x v="1"/>
    <m/>
    <m/>
    <m/>
    <s v="Coral Card"/>
    <m/>
    <m/>
  </r>
  <r>
    <s v="AC28"/>
    <s v="Cust 28"/>
    <m/>
    <x v="0"/>
    <s v="900"/>
    <m/>
    <m/>
    <m/>
    <n v="703264.0"/>
    <n v="1200.5"/>
    <n v="0.0"/>
    <n v="0.0"/>
    <n v="9000.0"/>
    <n v="5000.0"/>
    <x v="0"/>
    <x v="0"/>
    <n v="9000.0"/>
    <n v="0.0"/>
    <x v="0"/>
    <s v="TC"/>
    <m/>
    <s v="NAGALLA"/>
    <x v="0"/>
    <s v="TC116"/>
    <x v="0"/>
    <m/>
    <m/>
    <s v="VIZAG"/>
    <x v="0"/>
    <x v="1"/>
    <s v="FO047"/>
    <m/>
    <m/>
    <m/>
    <m/>
    <m/>
    <x v="0"/>
    <m/>
    <m/>
    <x v="1"/>
    <m/>
    <m/>
    <m/>
    <s v="Coral Card"/>
    <m/>
    <m/>
  </r>
  <r>
    <s v="AC29"/>
    <s v="Cust 29"/>
    <m/>
    <x v="1"/>
    <s v="900"/>
    <m/>
    <m/>
    <m/>
    <n v="480130.0"/>
    <n v="1200.5"/>
    <n v="0.0"/>
    <n v="0.0"/>
    <n v="9000.0"/>
    <n v="5000.0"/>
    <x v="1"/>
    <x v="1"/>
    <n v="0.0"/>
    <n v="0.0"/>
    <x v="0"/>
    <s v="TC"/>
    <m/>
    <s v="NAGALLA"/>
    <x v="0"/>
    <s v="TC116"/>
    <x v="1"/>
    <m/>
    <m/>
    <s v="VIZAG"/>
    <x v="1"/>
    <x v="1"/>
    <s v="FO047"/>
    <m/>
    <m/>
    <m/>
    <m/>
    <m/>
    <x v="0"/>
    <m/>
    <m/>
    <x v="1"/>
    <m/>
    <m/>
    <m/>
    <s v="Coral Card"/>
    <m/>
    <m/>
  </r>
  <r>
    <s v="AC31"/>
    <s v="Cust 31"/>
    <m/>
    <x v="0"/>
    <s v="900"/>
    <m/>
    <m/>
    <m/>
    <n v="542798.0"/>
    <n v="1200.5"/>
    <n v="0.0"/>
    <n v="0.0"/>
    <n v="9000.0"/>
    <n v="5000.0"/>
    <x v="1"/>
    <x v="1"/>
    <n v="2000.0"/>
    <n v="0.0"/>
    <x v="1"/>
    <m/>
    <m/>
    <s v="OTHER"/>
    <x v="0"/>
    <s v="TC116"/>
    <x v="0"/>
    <m/>
    <m/>
    <s v="VIZAG"/>
    <x v="1"/>
    <x v="1"/>
    <s v="FO047"/>
    <m/>
    <m/>
    <m/>
    <m/>
    <m/>
    <x v="0"/>
    <m/>
    <m/>
    <x v="1"/>
    <m/>
    <m/>
    <m/>
    <s v="Coral Card"/>
    <m/>
    <m/>
  </r>
  <r>
    <s v="AC32"/>
    <s v="Cust 32"/>
    <m/>
    <x v="0"/>
    <s v="900"/>
    <m/>
    <m/>
    <m/>
    <n v="285695.0"/>
    <n v="1200.5"/>
    <n v="0.0"/>
    <n v="0.0"/>
    <n v="9000.0"/>
    <n v="5000.0"/>
    <x v="1"/>
    <x v="1"/>
    <n v="0.0"/>
    <n v="0.0"/>
    <x v="1"/>
    <m/>
    <m/>
    <s v="OTHER"/>
    <x v="0"/>
    <s v="TC116"/>
    <x v="1"/>
    <m/>
    <m/>
    <s v="VIZAG"/>
    <x v="0"/>
    <x v="1"/>
    <s v="FO047"/>
    <m/>
    <m/>
    <m/>
    <m/>
    <m/>
    <x v="0"/>
    <m/>
    <m/>
    <x v="1"/>
    <m/>
    <m/>
    <m/>
    <s v="Coral Card"/>
    <m/>
    <m/>
  </r>
  <r>
    <s v="AC34"/>
    <s v="Cust 34"/>
    <m/>
    <x v="0"/>
    <s v="900"/>
    <m/>
    <m/>
    <m/>
    <n v="349794.0"/>
    <n v="1200.5"/>
    <n v="0.0"/>
    <n v="0.0"/>
    <n v="9000.0"/>
    <n v="5000.0"/>
    <x v="1"/>
    <x v="1"/>
    <n v="0.0"/>
    <n v="0.0"/>
    <x v="1"/>
    <m/>
    <m/>
    <s v="OTHER"/>
    <x v="0"/>
    <s v="TC116"/>
    <x v="0"/>
    <m/>
    <m/>
    <s v="VIZAG"/>
    <x v="1"/>
    <x v="1"/>
    <s v="FO047"/>
    <m/>
    <m/>
    <m/>
    <m/>
    <m/>
    <x v="0"/>
    <m/>
    <m/>
    <x v="1"/>
    <m/>
    <m/>
    <m/>
    <s v="Coral Card"/>
    <m/>
    <m/>
  </r>
  <r>
    <s v="AC35"/>
    <s v="Cust 35"/>
    <m/>
    <x v="2"/>
    <s v="900"/>
    <m/>
    <m/>
    <m/>
    <n v="538298.0"/>
    <n v="1200.5"/>
    <n v="0.0"/>
    <n v="0.0"/>
    <n v="9000.0"/>
    <n v="5000.0"/>
    <x v="0"/>
    <x v="0"/>
    <n v="9000.0"/>
    <n v="0.0"/>
    <x v="1"/>
    <m/>
    <m/>
    <s v="OTHER"/>
    <x v="0"/>
    <s v="TC116"/>
    <x v="0"/>
    <m/>
    <m/>
    <s v="VIZAG"/>
    <x v="1"/>
    <x v="1"/>
    <s v="FO047"/>
    <m/>
    <m/>
    <m/>
    <m/>
    <m/>
    <x v="0"/>
    <m/>
    <m/>
    <x v="1"/>
    <m/>
    <m/>
    <m/>
    <s v="Coral Card"/>
    <m/>
    <m/>
  </r>
  <r>
    <s v="AC37"/>
    <s v="Cust 37"/>
    <m/>
    <x v="1"/>
    <s v="900"/>
    <m/>
    <m/>
    <m/>
    <n v="858341.0"/>
    <n v="1200.5"/>
    <n v="0.0"/>
    <n v="0.0"/>
    <n v="9000.0"/>
    <n v="5000.0"/>
    <x v="1"/>
    <x v="1"/>
    <n v="0.0"/>
    <n v="0.0"/>
    <x v="1"/>
    <m/>
    <m/>
    <s v="OTHER"/>
    <x v="0"/>
    <s v="TC116"/>
    <x v="0"/>
    <m/>
    <m/>
    <s v="VIZAG"/>
    <x v="0"/>
    <x v="1"/>
    <s v="FO047"/>
    <m/>
    <m/>
    <m/>
    <m/>
    <m/>
    <x v="0"/>
    <m/>
    <m/>
    <x v="1"/>
    <m/>
    <m/>
    <m/>
    <s v="Coral Card"/>
    <m/>
    <m/>
  </r>
  <r>
    <s v="AC38"/>
    <s v="Cust 38"/>
    <m/>
    <x v="1"/>
    <s v="900"/>
    <m/>
    <m/>
    <m/>
    <n v="374975.0"/>
    <n v="1200.5"/>
    <n v="0.0"/>
    <n v="0.0"/>
    <n v="9000.0"/>
    <n v="5000.0"/>
    <x v="1"/>
    <x v="1"/>
    <n v="0.0"/>
    <n v="0.0"/>
    <x v="1"/>
    <m/>
    <m/>
    <s v="OTHER"/>
    <x v="0"/>
    <s v="TC116"/>
    <x v="1"/>
    <m/>
    <m/>
    <s v="VIZAG"/>
    <x v="0"/>
    <x v="1"/>
    <s v="FO047"/>
    <m/>
    <m/>
    <m/>
    <m/>
    <m/>
    <x v="0"/>
    <m/>
    <m/>
    <x v="1"/>
    <m/>
    <m/>
    <m/>
    <s v="Coral Card"/>
    <m/>
    <m/>
  </r>
  <r>
    <s v="AC4"/>
    <s v="Cust 4"/>
    <m/>
    <x v="1"/>
    <s v="900"/>
    <m/>
    <m/>
    <m/>
    <n v="344901.0"/>
    <n v="1200.5"/>
    <n v="0.0"/>
    <n v="0.0"/>
    <n v="9000.0"/>
    <n v="5000.0"/>
    <x v="1"/>
    <x v="1"/>
    <n v="0.0"/>
    <n v="0.0"/>
    <x v="1"/>
    <m/>
    <m/>
    <s v="NAGALLA"/>
    <x v="0"/>
    <s v="TC116"/>
    <x v="1"/>
    <m/>
    <m/>
    <s v="VIZAG"/>
    <x v="1"/>
    <x v="1"/>
    <s v="FO047"/>
    <m/>
    <m/>
    <m/>
    <m/>
    <m/>
    <x v="1"/>
    <s v="LIVE"/>
    <m/>
    <x v="0"/>
    <m/>
    <m/>
    <m/>
    <s v="Coral Card"/>
    <m/>
    <m/>
  </r>
  <r>
    <s v="AC40"/>
    <s v="Cust 40"/>
    <m/>
    <x v="0"/>
    <s v="900"/>
    <m/>
    <m/>
    <m/>
    <n v="824069.0"/>
    <n v="1200.5"/>
    <n v="0.0"/>
    <n v="0.0"/>
    <n v="9000.0"/>
    <n v="5000.0"/>
    <x v="1"/>
    <x v="1"/>
    <n v="0.0"/>
    <n v="0.0"/>
    <x v="1"/>
    <m/>
    <m/>
    <s v="OTHER"/>
    <x v="0"/>
    <s v="TC116"/>
    <x v="0"/>
    <m/>
    <m/>
    <s v="VIZAG"/>
    <x v="1"/>
    <x v="1"/>
    <s v="FO047"/>
    <m/>
    <m/>
    <m/>
    <m/>
    <m/>
    <x v="0"/>
    <m/>
    <m/>
    <x v="1"/>
    <m/>
    <m/>
    <m/>
    <s v="Coral Card"/>
    <m/>
    <m/>
  </r>
  <r>
    <s v="AC41"/>
    <s v="Cust 41"/>
    <m/>
    <x v="2"/>
    <s v="900"/>
    <m/>
    <m/>
    <m/>
    <n v="741265.0"/>
    <n v="1200.5"/>
    <n v="0.0"/>
    <n v="0.0"/>
    <n v="9000.0"/>
    <n v="5000.0"/>
    <x v="1"/>
    <x v="1"/>
    <n v="0.0"/>
    <n v="0.0"/>
    <x v="1"/>
    <m/>
    <m/>
    <s v="OTHER"/>
    <x v="0"/>
    <s v="TC116"/>
    <x v="1"/>
    <m/>
    <m/>
    <s v="VIZAG"/>
    <x v="1"/>
    <x v="1"/>
    <s v="FO047"/>
    <m/>
    <m/>
    <m/>
    <m/>
    <m/>
    <x v="0"/>
    <m/>
    <m/>
    <x v="1"/>
    <m/>
    <m/>
    <m/>
    <s v="Coral Card"/>
    <m/>
    <m/>
  </r>
  <r>
    <s v="AC43"/>
    <s v="Cust 43"/>
    <m/>
    <x v="0"/>
    <s v="900"/>
    <m/>
    <m/>
    <m/>
    <n v="33747.0"/>
    <n v="1200.5"/>
    <n v="0.0"/>
    <n v="0.0"/>
    <n v="9000.0"/>
    <n v="5000.0"/>
    <x v="1"/>
    <x v="1"/>
    <n v="0.0"/>
    <n v="0.0"/>
    <x v="1"/>
    <m/>
    <m/>
    <s v="OTHER"/>
    <x v="0"/>
    <s v="TC116"/>
    <x v="1"/>
    <m/>
    <m/>
    <s v="VIZAG"/>
    <x v="1"/>
    <x v="1"/>
    <s v="FO047"/>
    <m/>
    <m/>
    <m/>
    <m/>
    <m/>
    <x v="0"/>
    <m/>
    <m/>
    <x v="1"/>
    <m/>
    <m/>
    <m/>
    <s v="Coral Card"/>
    <m/>
    <m/>
  </r>
  <r>
    <s v="AC44"/>
    <s v="Cust 44"/>
    <m/>
    <x v="0"/>
    <s v="900"/>
    <m/>
    <m/>
    <m/>
    <n v="253135.0"/>
    <n v="1200.5"/>
    <n v="0.0"/>
    <n v="0.0"/>
    <n v="9000.0"/>
    <n v="5000.0"/>
    <x v="1"/>
    <x v="1"/>
    <n v="0.0"/>
    <n v="0.0"/>
    <x v="1"/>
    <m/>
    <m/>
    <s v="OTHER"/>
    <x v="0"/>
    <s v="TC116"/>
    <x v="0"/>
    <m/>
    <m/>
    <s v="VIZAG"/>
    <x v="0"/>
    <x v="1"/>
    <s v="FO047"/>
    <m/>
    <m/>
    <m/>
    <m/>
    <m/>
    <x v="0"/>
    <m/>
    <m/>
    <x v="1"/>
    <m/>
    <m/>
    <m/>
    <s v="Coral Card"/>
    <m/>
    <m/>
  </r>
  <r>
    <s v="AC46"/>
    <s v="Cust 46"/>
    <m/>
    <x v="2"/>
    <s v="900"/>
    <m/>
    <m/>
    <m/>
    <n v="102826.0"/>
    <n v="1200.5"/>
    <n v="0.0"/>
    <n v="0.0"/>
    <n v="9000.0"/>
    <n v="5000.0"/>
    <x v="1"/>
    <x v="1"/>
    <n v="2000.0"/>
    <n v="0.0"/>
    <x v="1"/>
    <m/>
    <m/>
    <s v="OTHER"/>
    <x v="0"/>
    <s v="TC116"/>
    <x v="0"/>
    <m/>
    <m/>
    <s v="VIZAG"/>
    <x v="1"/>
    <x v="1"/>
    <s v="FO047"/>
    <m/>
    <m/>
    <m/>
    <m/>
    <m/>
    <x v="0"/>
    <m/>
    <m/>
    <x v="1"/>
    <m/>
    <m/>
    <m/>
    <s v="Coral Card"/>
    <m/>
    <m/>
  </r>
  <r>
    <s v="AC47"/>
    <s v="Cust 47"/>
    <m/>
    <x v="2"/>
    <s v="900"/>
    <m/>
    <m/>
    <m/>
    <n v="608047.0"/>
    <n v="1200.5"/>
    <n v="0.0"/>
    <n v="0.0"/>
    <n v="9000.0"/>
    <n v="5000.0"/>
    <x v="0"/>
    <x v="0"/>
    <n v="9000.0"/>
    <n v="0.0"/>
    <x v="1"/>
    <m/>
    <m/>
    <s v="OTHER"/>
    <x v="0"/>
    <s v="TC116"/>
    <x v="1"/>
    <m/>
    <m/>
    <s v="VIZAG"/>
    <x v="0"/>
    <x v="1"/>
    <s v="FO047"/>
    <m/>
    <m/>
    <m/>
    <m/>
    <m/>
    <x v="0"/>
    <m/>
    <m/>
    <x v="1"/>
    <m/>
    <m/>
    <m/>
    <s v="Coral Card"/>
    <m/>
    <m/>
  </r>
  <r>
    <s v="AC49"/>
    <s v="Cust 49"/>
    <m/>
    <x v="2"/>
    <s v="900"/>
    <m/>
    <m/>
    <m/>
    <n v="898380.0"/>
    <n v="1200.5"/>
    <n v="0.0"/>
    <n v="0.0"/>
    <n v="9000.0"/>
    <n v="5000.0"/>
    <x v="0"/>
    <x v="0"/>
    <n v="9000.0"/>
    <n v="0.0"/>
    <x v="1"/>
    <m/>
    <m/>
    <s v="OTHER"/>
    <x v="0"/>
    <s v="TC116"/>
    <x v="1"/>
    <m/>
    <m/>
    <s v="VIZAG"/>
    <x v="0"/>
    <x v="1"/>
    <s v="FO047"/>
    <m/>
    <m/>
    <m/>
    <m/>
    <m/>
    <x v="0"/>
    <m/>
    <m/>
    <x v="1"/>
    <m/>
    <m/>
    <m/>
    <s v="Coral Card"/>
    <m/>
    <m/>
  </r>
  <r>
    <s v="AC5"/>
    <s v="Cust 5"/>
    <m/>
    <x v="2"/>
    <s v="900"/>
    <m/>
    <m/>
    <m/>
    <n v="655281.0"/>
    <n v="1200.5"/>
    <n v="0.0"/>
    <n v="0.0"/>
    <n v="9000.0"/>
    <n v="5000.0"/>
    <x v="1"/>
    <x v="1"/>
    <n v="0.0"/>
    <n v="0.0"/>
    <x v="1"/>
    <m/>
    <m/>
    <s v="NAGALLA"/>
    <x v="0"/>
    <s v="TC116"/>
    <x v="0"/>
    <m/>
    <m/>
    <s v="VIZAG"/>
    <x v="1"/>
    <x v="1"/>
    <s v="FO047"/>
    <m/>
    <m/>
    <m/>
    <m/>
    <m/>
    <x v="1"/>
    <s v="LIVE"/>
    <m/>
    <x v="0"/>
    <m/>
    <m/>
    <m/>
    <s v="Coral Card"/>
    <m/>
    <m/>
  </r>
  <r>
    <s v="AC50"/>
    <s v="Cust 50"/>
    <m/>
    <x v="0"/>
    <s v="900"/>
    <m/>
    <m/>
    <m/>
    <n v="419673.0"/>
    <n v="1200.5"/>
    <n v="0.0"/>
    <n v="0.0"/>
    <n v="9000.0"/>
    <n v="5000.0"/>
    <x v="1"/>
    <x v="1"/>
    <n v="0.0"/>
    <n v="0.0"/>
    <x v="1"/>
    <m/>
    <m/>
    <s v="OTHER"/>
    <x v="0"/>
    <s v="TC116"/>
    <x v="1"/>
    <m/>
    <m/>
    <s v="VIZAG"/>
    <x v="0"/>
    <x v="1"/>
    <s v="FO047"/>
    <m/>
    <m/>
    <m/>
    <m/>
    <m/>
    <x v="0"/>
    <m/>
    <m/>
    <x v="1"/>
    <m/>
    <m/>
    <m/>
    <s v="Coral Card"/>
    <m/>
    <m/>
  </r>
  <r>
    <s v="AC52"/>
    <s v="Cust 52"/>
    <m/>
    <x v="1"/>
    <s v="900"/>
    <m/>
    <m/>
    <m/>
    <n v="140010.0"/>
    <n v="1200.5"/>
    <n v="0.0"/>
    <n v="0.0"/>
    <n v="9000.0"/>
    <n v="5000.0"/>
    <x v="1"/>
    <x v="1"/>
    <n v="2000.0"/>
    <n v="0.0"/>
    <x v="1"/>
    <m/>
    <m/>
    <s v="OTHER"/>
    <x v="0"/>
    <s v="TC116"/>
    <x v="1"/>
    <m/>
    <m/>
    <s v="VIZAG"/>
    <x v="1"/>
    <x v="1"/>
    <s v="FO047"/>
    <m/>
    <m/>
    <m/>
    <m/>
    <m/>
    <x v="0"/>
    <m/>
    <m/>
    <x v="1"/>
    <m/>
    <m/>
    <m/>
    <s v="Coral Card"/>
    <m/>
    <m/>
  </r>
  <r>
    <s v="AC53"/>
    <s v="Cust 53"/>
    <m/>
    <x v="2"/>
    <s v="900"/>
    <m/>
    <m/>
    <m/>
    <n v="765783.0"/>
    <n v="1200.5"/>
    <n v="0.0"/>
    <n v="0.0"/>
    <n v="9000.0"/>
    <n v="5000.0"/>
    <x v="1"/>
    <x v="1"/>
    <n v="0.0"/>
    <n v="0.0"/>
    <x v="1"/>
    <m/>
    <m/>
    <s v="OTHER"/>
    <x v="0"/>
    <s v="TC116"/>
    <x v="0"/>
    <m/>
    <m/>
    <s v="VIZAG"/>
    <x v="0"/>
    <x v="1"/>
    <s v="FO047"/>
    <m/>
    <m/>
    <m/>
    <m/>
    <m/>
    <x v="0"/>
    <m/>
    <m/>
    <x v="1"/>
    <m/>
    <m/>
    <m/>
    <s v="Coral Card"/>
    <m/>
    <m/>
  </r>
  <r>
    <s v="AC55"/>
    <s v="Cust 55"/>
    <m/>
    <x v="1"/>
    <s v="900"/>
    <m/>
    <m/>
    <m/>
    <n v="409653.0"/>
    <n v="1200.5"/>
    <n v="0.0"/>
    <n v="0.0"/>
    <n v="9000.0"/>
    <n v="5000.0"/>
    <x v="1"/>
    <x v="1"/>
    <n v="2000.0"/>
    <n v="0.0"/>
    <x v="1"/>
    <m/>
    <m/>
    <s v="OTHER"/>
    <x v="0"/>
    <s v="TC116"/>
    <x v="1"/>
    <m/>
    <m/>
    <s v="VIZAG"/>
    <x v="1"/>
    <x v="1"/>
    <s v="FO047"/>
    <m/>
    <m/>
    <m/>
    <m/>
    <m/>
    <x v="0"/>
    <m/>
    <m/>
    <x v="1"/>
    <m/>
    <m/>
    <m/>
    <s v="Coral Card"/>
    <m/>
    <m/>
  </r>
  <r>
    <s v="AC56"/>
    <s v="Cust 56"/>
    <m/>
    <x v="0"/>
    <s v="900"/>
    <m/>
    <m/>
    <m/>
    <n v="538264.0"/>
    <n v="1200.5"/>
    <n v="0.0"/>
    <n v="0.0"/>
    <n v="9000.0"/>
    <n v="5000.0"/>
    <x v="1"/>
    <x v="1"/>
    <n v="0.0"/>
    <n v="0.0"/>
    <x v="1"/>
    <m/>
    <m/>
    <s v="OTHER"/>
    <x v="0"/>
    <s v="TC116"/>
    <x v="1"/>
    <m/>
    <m/>
    <s v="VIZAG"/>
    <x v="0"/>
    <x v="1"/>
    <s v="FO047"/>
    <m/>
    <m/>
    <m/>
    <m/>
    <m/>
    <x v="0"/>
    <m/>
    <m/>
    <x v="1"/>
    <m/>
    <m/>
    <m/>
    <s v="Coral Card"/>
    <m/>
    <m/>
  </r>
  <r>
    <s v="AC58"/>
    <s v="Cust 58"/>
    <m/>
    <x v="0"/>
    <s v="900"/>
    <m/>
    <m/>
    <m/>
    <n v="844411.0"/>
    <n v="1200.5"/>
    <n v="0.0"/>
    <n v="0.0"/>
    <n v="9000.0"/>
    <n v="5000.0"/>
    <x v="1"/>
    <x v="1"/>
    <n v="0.0"/>
    <n v="0.0"/>
    <x v="1"/>
    <m/>
    <m/>
    <s v="OTHER"/>
    <x v="0"/>
    <s v="TC116"/>
    <x v="1"/>
    <m/>
    <m/>
    <s v="VIZAG"/>
    <x v="0"/>
    <x v="1"/>
    <s v="FO047"/>
    <m/>
    <m/>
    <m/>
    <m/>
    <m/>
    <x v="0"/>
    <m/>
    <m/>
    <x v="1"/>
    <m/>
    <m/>
    <m/>
    <s v="Coral Card"/>
    <m/>
    <m/>
  </r>
  <r>
    <s v="AC59"/>
    <s v="Cust 59"/>
    <m/>
    <x v="2"/>
    <s v="900"/>
    <m/>
    <m/>
    <m/>
    <n v="451150.0"/>
    <n v="1200.5"/>
    <n v="0.0"/>
    <n v="0.0"/>
    <n v="9000.0"/>
    <n v="5000.0"/>
    <x v="1"/>
    <x v="1"/>
    <n v="2000.0"/>
    <n v="0.0"/>
    <x v="1"/>
    <m/>
    <m/>
    <s v="OTHER"/>
    <x v="0"/>
    <s v="TC116"/>
    <x v="1"/>
    <m/>
    <m/>
    <s v="VIZAG"/>
    <x v="1"/>
    <x v="1"/>
    <s v="FO047"/>
    <m/>
    <m/>
    <m/>
    <m/>
    <m/>
    <x v="0"/>
    <m/>
    <m/>
    <x v="1"/>
    <m/>
    <m/>
    <m/>
    <s v="Coral Card"/>
    <m/>
    <m/>
  </r>
  <r>
    <s v="AC7"/>
    <s v="Cust 7"/>
    <m/>
    <x v="1"/>
    <s v="900"/>
    <m/>
    <m/>
    <m/>
    <n v="877612.0"/>
    <n v="1200.5"/>
    <n v="0.0"/>
    <n v="0.0"/>
    <n v="9000.0"/>
    <n v="5000.0"/>
    <x v="1"/>
    <x v="1"/>
    <n v="0.0"/>
    <n v="0.0"/>
    <x v="0"/>
    <s v="FE"/>
    <m/>
    <s v="NAGALLA"/>
    <x v="0"/>
    <s v="TC116"/>
    <x v="0"/>
    <m/>
    <m/>
    <s v="VIZAG"/>
    <x v="1"/>
    <x v="1"/>
    <s v="FO047"/>
    <m/>
    <m/>
    <m/>
    <m/>
    <m/>
    <x v="1"/>
    <s v="LIVE"/>
    <m/>
    <x v="0"/>
    <m/>
    <m/>
    <m/>
    <s v="Coral Card"/>
    <m/>
    <m/>
  </r>
  <r>
    <s v="AC8"/>
    <s v="Cust 8"/>
    <m/>
    <x v="0"/>
    <s v="900"/>
    <m/>
    <m/>
    <m/>
    <n v="822378.0"/>
    <n v="1200.5"/>
    <n v="0.0"/>
    <n v="0.0"/>
    <n v="9000.0"/>
    <n v="5000.0"/>
    <x v="1"/>
    <x v="1"/>
    <n v="0.0"/>
    <n v="0.0"/>
    <x v="1"/>
    <m/>
    <m/>
    <s v="NAGALLA"/>
    <x v="0"/>
    <s v="TC116"/>
    <x v="0"/>
    <m/>
    <m/>
    <s v="VIZAG"/>
    <x v="0"/>
    <x v="1"/>
    <s v="FO047"/>
    <m/>
    <m/>
    <m/>
    <m/>
    <m/>
    <x v="1"/>
    <s v="LIVE"/>
    <m/>
    <x v="0"/>
    <m/>
    <m/>
    <m/>
    <s v="Coral Card"/>
    <m/>
    <m/>
  </r>
  <r>
    <s v="AC12"/>
    <s v="Cust 12"/>
    <m/>
    <x v="2"/>
    <s v="900"/>
    <m/>
    <m/>
    <m/>
    <n v="172109.0"/>
    <n v="1200.5"/>
    <n v="0.0"/>
    <n v="0.0"/>
    <n v="9000.0"/>
    <n v="5000.0"/>
    <x v="1"/>
    <x v="1"/>
    <n v="0.0"/>
    <n v="0.0"/>
    <x v="1"/>
    <m/>
    <m/>
    <s v="NAGALLA"/>
    <x v="0"/>
    <s v="TC116"/>
    <x v="0"/>
    <m/>
    <m/>
    <s v="VIZAG"/>
    <x v="0"/>
    <x v="2"/>
    <s v="FO050"/>
    <m/>
    <m/>
    <m/>
    <m/>
    <m/>
    <x v="1"/>
    <s v="LIVE"/>
    <m/>
    <x v="0"/>
    <m/>
    <m/>
    <m/>
    <s v="Coral Card"/>
    <m/>
    <m/>
  </r>
  <r>
    <s v="AC18"/>
    <s v="Cust 18"/>
    <m/>
    <x v="0"/>
    <s v="900"/>
    <m/>
    <m/>
    <m/>
    <n v="751163.0"/>
    <n v="1200.5"/>
    <n v="0.0"/>
    <n v="0.0"/>
    <n v="9000.0"/>
    <n v="5000.0"/>
    <x v="1"/>
    <x v="1"/>
    <n v="2000.0"/>
    <n v="0.0"/>
    <x v="1"/>
    <m/>
    <m/>
    <s v="NAGALLA"/>
    <x v="0"/>
    <s v="TC116"/>
    <x v="1"/>
    <m/>
    <m/>
    <s v="VIZAG"/>
    <x v="0"/>
    <x v="2"/>
    <s v="FO050"/>
    <m/>
    <m/>
    <m/>
    <m/>
    <m/>
    <x v="1"/>
    <s v="LIVE"/>
    <m/>
    <x v="0"/>
    <m/>
    <m/>
    <m/>
    <s v="Coral Card"/>
    <m/>
    <m/>
  </r>
  <r>
    <s v="AC21"/>
    <s v="Cust 21"/>
    <m/>
    <x v="1"/>
    <s v="900"/>
    <m/>
    <m/>
    <m/>
    <n v="326179.0"/>
    <n v="1200.5"/>
    <n v="0.0"/>
    <n v="0.0"/>
    <n v="9000.0"/>
    <n v="5000.0"/>
    <x v="0"/>
    <x v="0"/>
    <n v="9000.0"/>
    <n v="0.0"/>
    <x v="0"/>
    <s v="TC"/>
    <m/>
    <s v="NAGALLA"/>
    <x v="0"/>
    <s v="TC116"/>
    <x v="1"/>
    <m/>
    <m/>
    <s v="VIZAG"/>
    <x v="0"/>
    <x v="2"/>
    <s v="FO050"/>
    <m/>
    <m/>
    <m/>
    <m/>
    <m/>
    <x v="0"/>
    <m/>
    <m/>
    <x v="1"/>
    <m/>
    <m/>
    <m/>
    <s v="Coral Card"/>
    <m/>
    <m/>
  </r>
  <r>
    <s v="AC24"/>
    <s v="Cust 24"/>
    <m/>
    <x v="1"/>
    <s v="900"/>
    <m/>
    <m/>
    <m/>
    <n v="480667.0"/>
    <n v="1200.5"/>
    <n v="0.0"/>
    <n v="0.0"/>
    <n v="9000.0"/>
    <n v="5000.0"/>
    <x v="1"/>
    <x v="1"/>
    <n v="0.0"/>
    <n v="0.0"/>
    <x v="0"/>
    <s v="TC"/>
    <m/>
    <s v="NAGALLA"/>
    <x v="0"/>
    <s v="TC116"/>
    <x v="0"/>
    <m/>
    <m/>
    <s v="VIZAG"/>
    <x v="1"/>
    <x v="2"/>
    <s v="FO050"/>
    <m/>
    <m/>
    <m/>
    <m/>
    <m/>
    <x v="0"/>
    <m/>
    <m/>
    <x v="1"/>
    <m/>
    <m/>
    <m/>
    <s v="Coral Card"/>
    <m/>
    <m/>
  </r>
  <r>
    <s v="AC27"/>
    <s v="Cust 27"/>
    <m/>
    <x v="2"/>
    <s v="900"/>
    <m/>
    <m/>
    <m/>
    <n v="357046.0"/>
    <n v="1200.5"/>
    <n v="0.0"/>
    <n v="0.0"/>
    <n v="9000.0"/>
    <n v="5000.0"/>
    <x v="0"/>
    <x v="0"/>
    <n v="9000.0"/>
    <n v="0.0"/>
    <x v="0"/>
    <s v="TC"/>
    <m/>
    <s v="NAGALLA"/>
    <x v="0"/>
    <s v="TC116"/>
    <x v="0"/>
    <m/>
    <m/>
    <s v="VIZAG"/>
    <x v="1"/>
    <x v="2"/>
    <s v="FO050"/>
    <m/>
    <m/>
    <m/>
    <m/>
    <m/>
    <x v="0"/>
    <m/>
    <m/>
    <x v="1"/>
    <m/>
    <m/>
    <m/>
    <s v="Coral Card"/>
    <m/>
    <m/>
  </r>
  <r>
    <s v="AC3"/>
    <s v="Cust 3"/>
    <m/>
    <x v="0"/>
    <s v="900"/>
    <m/>
    <m/>
    <m/>
    <n v="46885.0"/>
    <n v="1200.5"/>
    <n v="0.0"/>
    <n v="0.0"/>
    <n v="9000.0"/>
    <n v="5000.0"/>
    <x v="1"/>
    <x v="1"/>
    <n v="0.0"/>
    <n v="0.0"/>
    <x v="0"/>
    <s v="FE"/>
    <m/>
    <s v="NAGALLA"/>
    <x v="0"/>
    <s v="TC116"/>
    <x v="0"/>
    <m/>
    <m/>
    <s v="VIZAG"/>
    <x v="1"/>
    <x v="2"/>
    <s v="FO050"/>
    <m/>
    <m/>
    <m/>
    <m/>
    <m/>
    <x v="1"/>
    <s v="LIVE"/>
    <m/>
    <x v="0"/>
    <m/>
    <m/>
    <m/>
    <s v="Coral Card"/>
    <m/>
    <m/>
  </r>
  <r>
    <s v="AC33"/>
    <s v="Cust 33"/>
    <m/>
    <x v="2"/>
    <s v="900"/>
    <m/>
    <m/>
    <m/>
    <n v="457397.0"/>
    <n v="1200.5"/>
    <n v="0.0"/>
    <n v="0.0"/>
    <n v="9000.0"/>
    <n v="5000.0"/>
    <x v="1"/>
    <x v="1"/>
    <n v="0.0"/>
    <n v="0.0"/>
    <x v="1"/>
    <m/>
    <m/>
    <s v="OTHER"/>
    <x v="0"/>
    <s v="TC116"/>
    <x v="1"/>
    <m/>
    <m/>
    <s v="VIZAG"/>
    <x v="1"/>
    <x v="2"/>
    <s v="FO050"/>
    <m/>
    <m/>
    <m/>
    <m/>
    <m/>
    <x v="0"/>
    <m/>
    <m/>
    <x v="1"/>
    <m/>
    <m/>
    <m/>
    <s v="Coral Card"/>
    <m/>
    <m/>
  </r>
  <r>
    <s v="AC36"/>
    <s v="Cust 36"/>
    <m/>
    <x v="0"/>
    <s v="900"/>
    <m/>
    <m/>
    <m/>
    <n v="620105.0"/>
    <n v="1200.5"/>
    <n v="0.0"/>
    <n v="0.0"/>
    <n v="9000.0"/>
    <n v="5000.0"/>
    <x v="1"/>
    <x v="1"/>
    <n v="2000.0"/>
    <n v="0.0"/>
    <x v="1"/>
    <m/>
    <m/>
    <s v="OTHER"/>
    <x v="0"/>
    <s v="TC116"/>
    <x v="0"/>
    <m/>
    <m/>
    <s v="VIZAG"/>
    <x v="1"/>
    <x v="2"/>
    <s v="FO050"/>
    <m/>
    <m/>
    <m/>
    <m/>
    <m/>
    <x v="0"/>
    <m/>
    <m/>
    <x v="1"/>
    <m/>
    <m/>
    <m/>
    <s v="Coral Card"/>
    <m/>
    <m/>
  </r>
  <r>
    <s v="AC39"/>
    <s v="Cust 39"/>
    <m/>
    <x v="1"/>
    <s v="900"/>
    <m/>
    <m/>
    <m/>
    <n v="678359.0"/>
    <n v="1200.5"/>
    <n v="0.0"/>
    <n v="0.0"/>
    <n v="9000.0"/>
    <n v="5000.0"/>
    <x v="1"/>
    <x v="1"/>
    <n v="2000.0"/>
    <n v="0.0"/>
    <x v="1"/>
    <m/>
    <m/>
    <s v="OTHER"/>
    <x v="0"/>
    <s v="TC116"/>
    <x v="1"/>
    <m/>
    <m/>
    <s v="VIZAG"/>
    <x v="0"/>
    <x v="2"/>
    <s v="FO050"/>
    <m/>
    <m/>
    <m/>
    <m/>
    <m/>
    <x v="0"/>
    <m/>
    <m/>
    <x v="1"/>
    <m/>
    <m/>
    <m/>
    <s v="Coral Card"/>
    <m/>
    <m/>
  </r>
  <r>
    <s v="AC42"/>
    <s v="Cust 42"/>
    <m/>
    <x v="2"/>
    <s v="900"/>
    <m/>
    <m/>
    <m/>
    <n v="429408.0"/>
    <n v="1200.5"/>
    <n v="0.0"/>
    <n v="0.0"/>
    <n v="9000.0"/>
    <n v="5000.0"/>
    <x v="1"/>
    <x v="1"/>
    <n v="2000.0"/>
    <n v="0.0"/>
    <x v="1"/>
    <m/>
    <m/>
    <s v="OTHER"/>
    <x v="0"/>
    <s v="TC116"/>
    <x v="0"/>
    <m/>
    <m/>
    <s v="VIZAG"/>
    <x v="0"/>
    <x v="2"/>
    <s v="FO050"/>
    <m/>
    <m/>
    <m/>
    <m/>
    <m/>
    <x v="0"/>
    <m/>
    <m/>
    <x v="1"/>
    <m/>
    <m/>
    <m/>
    <s v="Coral Card"/>
    <m/>
    <m/>
  </r>
  <r>
    <s v="AC48"/>
    <s v="Cust 48"/>
    <m/>
    <x v="2"/>
    <s v="900"/>
    <m/>
    <m/>
    <m/>
    <n v="400181.0"/>
    <n v="1200.5"/>
    <n v="0.0"/>
    <n v="0.0"/>
    <n v="9000.0"/>
    <n v="5000.0"/>
    <x v="1"/>
    <x v="1"/>
    <n v="0.0"/>
    <n v="0.0"/>
    <x v="1"/>
    <m/>
    <m/>
    <s v="OTHER"/>
    <x v="0"/>
    <s v="TC116"/>
    <x v="1"/>
    <m/>
    <m/>
    <s v="VIZAG"/>
    <x v="1"/>
    <x v="2"/>
    <s v="FO050"/>
    <m/>
    <m/>
    <m/>
    <m/>
    <m/>
    <x v="0"/>
    <m/>
    <m/>
    <x v="1"/>
    <m/>
    <m/>
    <m/>
    <s v="Coral Card"/>
    <m/>
    <m/>
  </r>
  <r>
    <s v="AC51"/>
    <s v="Cust 51"/>
    <m/>
    <x v="1"/>
    <s v="900"/>
    <m/>
    <m/>
    <m/>
    <n v="815566.0"/>
    <n v="1200.5"/>
    <n v="0.0"/>
    <n v="0.0"/>
    <n v="9000.0"/>
    <n v="5000.0"/>
    <x v="1"/>
    <x v="1"/>
    <n v="0.0"/>
    <n v="0.0"/>
    <x v="1"/>
    <m/>
    <m/>
    <s v="OTHER"/>
    <x v="0"/>
    <s v="TC116"/>
    <x v="0"/>
    <m/>
    <m/>
    <s v="VIZAG"/>
    <x v="1"/>
    <x v="2"/>
    <s v="FO050"/>
    <m/>
    <m/>
    <m/>
    <m/>
    <m/>
    <x v="0"/>
    <m/>
    <m/>
    <x v="1"/>
    <m/>
    <m/>
    <m/>
    <s v="Coral Card"/>
    <m/>
    <m/>
  </r>
  <r>
    <s v="AC54"/>
    <s v="Cust 54"/>
    <m/>
    <x v="0"/>
    <s v="900"/>
    <m/>
    <m/>
    <m/>
    <n v="897072.0"/>
    <n v="1200.5"/>
    <n v="0.0"/>
    <n v="0.0"/>
    <n v="9000.0"/>
    <n v="5000.0"/>
    <x v="1"/>
    <x v="1"/>
    <n v="2000.0"/>
    <n v="0.0"/>
    <x v="1"/>
    <m/>
    <m/>
    <s v="OTHER"/>
    <x v="0"/>
    <s v="TC116"/>
    <x v="1"/>
    <m/>
    <m/>
    <s v="VIZAG"/>
    <x v="0"/>
    <x v="2"/>
    <s v="FO050"/>
    <m/>
    <m/>
    <m/>
    <m/>
    <m/>
    <x v="0"/>
    <m/>
    <m/>
    <x v="1"/>
    <m/>
    <m/>
    <m/>
    <s v="Coral Card"/>
    <m/>
    <m/>
  </r>
  <r>
    <s v="AC57"/>
    <s v="Cust 57"/>
    <m/>
    <x v="1"/>
    <s v="900"/>
    <m/>
    <m/>
    <m/>
    <n v="25832.0"/>
    <n v="1200.5"/>
    <n v="0.0"/>
    <n v="0.0"/>
    <n v="9000.0"/>
    <n v="5000.0"/>
    <x v="1"/>
    <x v="1"/>
    <n v="0.0"/>
    <n v="0.0"/>
    <x v="1"/>
    <m/>
    <m/>
    <s v="OTHER"/>
    <x v="0"/>
    <s v="TC116"/>
    <x v="1"/>
    <m/>
    <m/>
    <s v="VIZAG"/>
    <x v="1"/>
    <x v="2"/>
    <s v="FO050"/>
    <m/>
    <m/>
    <m/>
    <m/>
    <m/>
    <x v="0"/>
    <m/>
    <m/>
    <x v="1"/>
    <m/>
    <m/>
    <m/>
    <s v="Coral Card"/>
    <m/>
    <m/>
  </r>
  <r>
    <s v="AC6"/>
    <s v="Cust 6"/>
    <m/>
    <x v="2"/>
    <s v="900"/>
    <m/>
    <m/>
    <m/>
    <n v="206426.0"/>
    <n v="1200.5"/>
    <n v="0.0"/>
    <n v="0.0"/>
    <n v="9000.0"/>
    <n v="5000.0"/>
    <x v="1"/>
    <x v="1"/>
    <n v="0.0"/>
    <n v="0.0"/>
    <x v="1"/>
    <m/>
    <m/>
    <s v="NAGALLA"/>
    <x v="0"/>
    <s v="TC116"/>
    <x v="0"/>
    <m/>
    <m/>
    <s v="VIZAG"/>
    <x v="1"/>
    <x v="2"/>
    <s v="FO050"/>
    <m/>
    <m/>
    <m/>
    <m/>
    <m/>
    <x v="1"/>
    <s v="LIVE"/>
    <m/>
    <x v="0"/>
    <m/>
    <m/>
    <m/>
    <s v="Coral Card"/>
    <m/>
    <m/>
  </r>
  <r>
    <s v="AC9"/>
    <s v="Cust 9"/>
    <m/>
    <x v="1"/>
    <s v="900"/>
    <m/>
    <m/>
    <m/>
    <n v="471981.0"/>
    <n v="1200.5"/>
    <n v="0.0"/>
    <n v="0.0"/>
    <n v="9000.0"/>
    <n v="5000.0"/>
    <x v="1"/>
    <x v="1"/>
    <n v="0.0"/>
    <n v="0.0"/>
    <x v="1"/>
    <m/>
    <m/>
    <s v="NAGALLA"/>
    <x v="0"/>
    <s v="TC116"/>
    <x v="0"/>
    <m/>
    <m/>
    <s v="VIZAG"/>
    <x v="0"/>
    <x v="2"/>
    <s v="FO050"/>
    <m/>
    <m/>
    <m/>
    <m/>
    <m/>
    <x v="1"/>
    <s v="LIVE"/>
    <m/>
    <x v="0"/>
    <m/>
    <m/>
    <m/>
    <s v="Coral Car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8"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F3:BK44" firstHeaderRow="1" firstDataRow="3" firstDataCol="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x="1" sd="0"/>
        <item t="default"/>
      </items>
    </pivotField>
    <pivotField axis="axisCol" showAll="0">
      <items count="3">
        <item x="0"/>
        <item x="1"/>
        <item t="default"/>
      </items>
    </pivotField>
    <pivotField dataField="1"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axis="axisRow" showAll="0" sortType="ascending">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8"/>
    <field x="-2"/>
  </rowFields>
  <colFields count="2">
    <field x="14"/>
    <field x="15"/>
  </colField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40">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 cacheId="682" dataOnRows="1" applyNumberFormats="1" applyBorderFormats="0" applyFontFormats="0" applyPatternFormats="0" applyAlignmentFormats="0" applyWidthHeightFormats="1" dataCaption="Values" updatedVersion="8" minRefreshableVersion="3" itemPrintTitles="1" createdVersion="4" indent="0" outline="1" outlineData="1" multipleFieldFilters="0" colHeaderCaption="MIS">
  <location ref="A1:F22" firstHeaderRow="1" firstDataRow="3" firstDataCol="1"/>
  <pivotFields count="46">
    <pivotField showAll="0"/>
    <pivotField showAll="0"/>
    <pivotField showAll="0"/>
    <pivotField axis="axisRow" showAll="0" sortType="ascending">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x="1" sd="0"/>
        <item t="default"/>
      </items>
    </pivotField>
    <pivotField axis="axisCol" showAll="0">
      <items count="3">
        <item x="0"/>
        <item x="1"/>
        <item t="default"/>
      </items>
    </pivotField>
    <pivotField dataField="1"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3"/>
    <field x="-2"/>
  </rowFields>
  <colFields count="2">
    <field x="14"/>
    <field x="15"/>
  </colFields>
  <dataFields count="4">
    <dataField numFmtId="3" name="Count of ENR" fld="8" subtotal="count" baseField="3" baseItem="0"/>
    <dataField numFmtId="201" name="Sum of ENR2" fld="8" showDataAs="percentOfRow" baseField="3" baseItem="0"/>
    <dataField numFmtId="200" name="Sum of ENR" fld="8" baseField="0" baseItem="0"/>
    <dataField numFmtId="200" name="Sum of AMOUNT" fld="16" baseField="0" baseItem="0"/>
  </dataFields>
  <conditionalFormats count="1">
    <conditionalFormat priority="7">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K1:T46" firstHeaderRow="1" firstDataRow="3" firstDataCol="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x="1" sd="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axis="axisRow" showAll="0" sortType="ascending">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9"/>
  </rowFields>
  <colFields count="2">
    <field x="14"/>
    <field x="-2"/>
  </colFields>
  <dataFields count="3">
    <dataField numFmtId="3" name="COUNT." fld="8" subtotal="count" baseField="22" baseItem="1"/>
    <dataField numFmtId="201" name="%" fld="8" showDataAs="percentOfRow" baseField="22" baseItem="1"/>
    <dataField numFmtId="200" name="ENR." fld="8" baseField="0" baseItem="0"/>
  </dataFields>
  <conditionalFormats count="1">
    <conditionalFormat priority="44">
      <pivotAreas count="1">
        <pivotArea type="data" outline="0" collapsedLevelsAreSubtotals="1" fieldPosition="0">
          <references count="2">
            <reference field="4294967294" count="1" selected="0">
              <x v="1"/>
            </reference>
            <reference field="14" count="1" selected="0">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7"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C3:AD46" firstHeaderRow="1" firstDataRow="1" firstDataCol="1"/>
  <pivotFields count="46">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axis="axisRow" showAll="0" sortType="ascending">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9"/>
  </rowFields>
  <dataFields count="1">
    <dataField numFmtId="200" name="Sum of AMOUNT" fld="16" baseField="0"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135:F152" firstHeaderRow="1" firstDataRow="3" firstDataCol="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x="1" sd="0"/>
        <item t="default"/>
      </items>
    </pivotField>
    <pivotField axis="axisCol" showAll="0">
      <items count="3">
        <item x="0"/>
        <item x="1"/>
        <item t="default"/>
      </items>
    </pivotField>
    <pivotField dataField="1" showAll="0"/>
    <pivotField showAll="0"/>
    <pivotField showAll="0"/>
    <pivotField showAll="0"/>
    <pivotField showAll="0"/>
    <pivotField showAll="0"/>
    <pivotField showAll="0">
      <items count="2">
        <item x="0"/>
        <item t="default"/>
      </items>
    </pivotField>
    <pivotField showAll="0"/>
    <pivotField axis="axisRow" showAll="0">
      <items count="3">
        <item x="0"/>
        <item x="1"/>
        <item t="default"/>
      </items>
    </pivotField>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4"/>
    <field x="-2"/>
  </rowFields>
  <colFields count="2">
    <field x="14"/>
    <field x="15"/>
  </colField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42">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V2:Y46" firstHeaderRow="1" firstDataRow="2" firstDataCol="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axis="axisRow" showAll="0" sortType="ascending">
      <items count="4">
        <item x="0"/>
        <item x="1"/>
        <item x="2"/>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defaultSubtotal="0"/>
  </pivotFields>
  <rowFields count="1">
    <field x="29"/>
  </rowFields>
  <colFields count="1">
    <field x="36"/>
  </colFields>
  <dataFields count="1">
    <dataField numFmtId="3" name="COUNT." fld="8" subtotal="count" baseField="4" baseItem="0"/>
  </dataFields>
  <conditionalFormats count="12">
    <conditionalFormat priority="18">
      <pivotAreas count="1">
        <pivotArea type="data" collapsedLevelsAreSubtotals="1" fieldPosition="0">
          <references count="3">
            <reference field="4294967294" count="1" selected="0">
              <x v="0"/>
            </reference>
            <reference field="29" count="41">
              <x v="3"/>
              <x v="9"/>
              <x v="11"/>
              <x v="18"/>
              <x v="24"/>
              <x v="32"/>
              <x v="34"/>
              <x v="35"/>
              <x v="37"/>
              <x v="43"/>
              <x v="49"/>
              <x v="50"/>
              <x v="54"/>
              <x v="56"/>
              <x v="57"/>
              <x v="62"/>
              <x v="69"/>
              <x v="80"/>
              <x v="81"/>
              <x v="84"/>
              <x v="86"/>
              <x v="88"/>
              <x v="91"/>
              <x v="92"/>
              <x v="95"/>
              <x v="99"/>
              <x v="102"/>
              <x v="104"/>
              <x v="105"/>
              <x v="108"/>
              <x v="111"/>
              <x v="114"/>
              <x v="120"/>
              <x v="122"/>
              <x v="123"/>
              <x v="127"/>
              <x v="131"/>
              <x v="132"/>
              <x v="133"/>
              <x v="134"/>
              <x v="137"/>
            </reference>
            <reference field="36" count="1" selected="0">
              <x v="1"/>
            </reference>
          </references>
        </pivotArea>
      </pivotAreas>
    </conditionalFormat>
    <conditionalFormat priority="16">
      <pivotAreas count="1">
        <pivotArea type="data" collapsedLevelsAreSubtotals="1" fieldPosition="0">
          <references count="3">
            <reference field="4294967294" count="1" selected="0">
              <x v="0"/>
            </reference>
            <reference field="29" count="43">
              <x v="3"/>
              <x v="9"/>
              <x v="11"/>
              <x v="18"/>
              <x v="24"/>
              <x v="32"/>
              <x v="34"/>
              <x v="35"/>
              <x v="37"/>
              <x v="42"/>
              <x v="43"/>
              <x v="45"/>
              <x v="49"/>
              <x v="50"/>
              <x v="54"/>
              <x v="55"/>
              <x v="56"/>
              <x v="57"/>
              <x v="62"/>
              <x v="69"/>
              <x v="76"/>
              <x v="80"/>
              <x v="81"/>
              <x v="84"/>
              <x v="86"/>
              <x v="88"/>
              <x v="91"/>
              <x v="92"/>
              <x v="95"/>
              <x v="99"/>
              <x v="104"/>
              <x v="108"/>
              <x v="111"/>
              <x v="114"/>
              <x v="120"/>
              <x v="122"/>
              <x v="123"/>
              <x v="127"/>
              <x v="131"/>
              <x v="132"/>
              <x v="133"/>
              <x v="134"/>
              <x v="137"/>
            </reference>
            <reference field="36" count="1" selected="0">
              <x v="1"/>
            </reference>
          </references>
        </pivotArea>
      </pivotAreas>
    </conditionalFormat>
    <conditionalFormat priority="14">
      <pivotAreas count="1">
        <pivotArea type="data" collapsedLevelsAreSubtotals="1" fieldPosition="0">
          <references count="3">
            <reference field="4294967294" count="1" selected="0">
              <x v="0"/>
            </reference>
            <reference field="29" count="39">
              <x v="3"/>
              <x v="9"/>
              <x v="18"/>
              <x v="24"/>
              <x v="27"/>
              <x v="34"/>
              <x v="35"/>
              <x v="37"/>
              <x v="42"/>
              <x v="43"/>
              <x v="45"/>
              <x v="49"/>
              <x v="54"/>
              <x v="55"/>
              <x v="57"/>
              <x v="62"/>
              <x v="69"/>
              <x v="76"/>
              <x v="80"/>
              <x v="81"/>
              <x v="84"/>
              <x v="86"/>
              <x v="88"/>
              <x v="91"/>
              <x v="92"/>
              <x v="95"/>
              <x v="99"/>
              <x v="104"/>
              <x v="108"/>
              <x v="111"/>
              <x v="114"/>
              <x v="120"/>
              <x v="122"/>
              <x v="123"/>
              <x v="127"/>
              <x v="131"/>
              <x v="132"/>
              <x v="134"/>
              <x v="137"/>
            </reference>
            <reference field="36"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29" count="19">
              <x v="9"/>
              <x v="43"/>
              <x v="49"/>
              <x v="55"/>
              <x v="62"/>
              <x v="80"/>
              <x v="81"/>
              <x v="91"/>
              <x v="92"/>
              <x v="95"/>
              <x v="99"/>
              <x v="104"/>
              <x v="111"/>
              <x v="114"/>
              <x v="123"/>
              <x v="127"/>
              <x v="132"/>
              <x v="134"/>
              <x v="138"/>
            </reference>
            <reference field="36"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29" count="29">
              <x v="9"/>
              <x v="19"/>
              <x v="32"/>
              <x v="34"/>
              <x v="37"/>
              <x v="41"/>
              <x v="42"/>
              <x v="43"/>
              <x v="49"/>
              <x v="55"/>
              <x v="62"/>
              <x v="69"/>
              <x v="70"/>
              <x v="80"/>
              <x v="81"/>
              <x v="86"/>
              <x v="91"/>
              <x v="92"/>
              <x v="95"/>
              <x v="99"/>
              <x v="104"/>
              <x v="111"/>
              <x v="114"/>
              <x v="116"/>
              <x v="123"/>
              <x v="127"/>
              <x v="132"/>
              <x v="134"/>
              <x v="138"/>
            </reference>
            <reference field="36" count="1" selected="0">
              <x v="1"/>
            </reference>
          </references>
        </pivotArea>
      </pivotAreas>
    </conditionalFormat>
    <conditionalFormat priority="11">
      <pivotAreas count="1">
        <pivotArea type="data" collapsedLevelsAreSubtotals="1" fieldPosition="0">
          <references count="3">
            <reference field="4294967294" count="1" selected="0">
              <x v="0"/>
            </reference>
            <reference field="29" count="30">
              <x v="9"/>
              <x v="19"/>
              <x v="32"/>
              <x v="34"/>
              <x v="37"/>
              <x v="41"/>
              <x v="42"/>
              <x v="43"/>
              <x v="49"/>
              <x v="56"/>
              <x v="62"/>
              <x v="69"/>
              <x v="70"/>
              <x v="80"/>
              <x v="81"/>
              <x v="86"/>
              <x v="91"/>
              <x v="92"/>
              <x v="95"/>
              <x v="97"/>
              <x v="99"/>
              <x v="104"/>
              <x v="111"/>
              <x v="114"/>
              <x v="123"/>
              <x v="127"/>
              <x v="132"/>
              <x v="134"/>
              <x v="138"/>
              <x v="142"/>
            </reference>
            <reference field="36" count="1" selected="0">
              <x v="1"/>
            </reference>
          </references>
        </pivotArea>
      </pivotAreas>
    </conditionalFormat>
    <conditionalFormat priority="10">
      <pivotAreas count="1">
        <pivotArea type="data" collapsedLevelsAreSubtotals="1" fieldPosition="0">
          <references count="3">
            <reference field="4294967294" count="1" selected="0">
              <x v="0"/>
            </reference>
            <reference field="29" count="39">
              <x v="3"/>
              <x v="9"/>
              <x v="19"/>
              <x v="27"/>
              <x v="32"/>
              <x v="37"/>
              <x v="41"/>
              <x v="42"/>
              <x v="43"/>
              <x v="45"/>
              <x v="49"/>
              <x v="56"/>
              <x v="57"/>
              <x v="58"/>
              <x v="62"/>
              <x v="69"/>
              <x v="70"/>
              <x v="80"/>
              <x v="81"/>
              <x v="86"/>
              <x v="88"/>
              <x v="91"/>
              <x v="92"/>
              <x v="95"/>
              <x v="97"/>
              <x v="99"/>
              <x v="104"/>
              <x v="111"/>
              <x v="113"/>
              <x v="114"/>
              <x v="115"/>
              <x v="122"/>
              <x v="123"/>
              <x v="127"/>
              <x v="132"/>
              <x v="134"/>
              <x v="136"/>
              <x v="138"/>
              <x v="142"/>
            </reference>
            <reference field="36" count="1" selected="0">
              <x v="1"/>
            </reference>
          </references>
        </pivotArea>
      </pivotAreas>
    </conditionalFormat>
    <conditionalFormat priority="9">
      <pivotAreas count="1">
        <pivotArea type="data" collapsedLevelsAreSubtotals="1" fieldPosition="0">
          <references count="3">
            <reference field="4294967294" count="1" selected="0">
              <x v="0"/>
            </reference>
            <reference field="29" count="40">
              <x v="3"/>
              <x v="9"/>
              <x v="19"/>
              <x v="27"/>
              <x v="32"/>
              <x v="37"/>
              <x v="41"/>
              <x v="42"/>
              <x v="43"/>
              <x v="45"/>
              <x v="49"/>
              <x v="54"/>
              <x v="56"/>
              <x v="57"/>
              <x v="58"/>
              <x v="62"/>
              <x v="69"/>
              <x v="70"/>
              <x v="79"/>
              <x v="80"/>
              <x v="81"/>
              <x v="86"/>
              <x v="88"/>
              <x v="91"/>
              <x v="92"/>
              <x v="95"/>
              <x v="97"/>
              <x v="99"/>
              <x v="104"/>
              <x v="111"/>
              <x v="113"/>
              <x v="114"/>
              <x v="115"/>
              <x v="122"/>
              <x v="123"/>
              <x v="127"/>
              <x v="132"/>
              <x v="134"/>
              <x v="136"/>
              <x v="138"/>
            </reference>
            <reference field="36" count="1" selected="0">
              <x v="1"/>
            </reference>
          </references>
        </pivotArea>
      </pivotAreas>
    </conditionalFormat>
    <conditionalFormat priority="8">
      <pivotAreas count="1">
        <pivotArea type="data" collapsedLevelsAreSubtotals="1" fieldPosition="0">
          <references count="3">
            <reference field="4294967294" count="1" selected="0">
              <x v="0"/>
            </reference>
            <reference field="29" count="36">
              <x v="3"/>
              <x v="9"/>
              <x v="13"/>
              <x v="27"/>
              <x v="37"/>
              <x v="41"/>
              <x v="43"/>
              <x v="45"/>
              <x v="49"/>
              <x v="54"/>
              <x v="57"/>
              <x v="58"/>
              <x v="62"/>
              <x v="69"/>
              <x v="70"/>
              <x v="79"/>
              <x v="80"/>
              <x v="81"/>
              <x v="86"/>
              <x v="88"/>
              <x v="91"/>
              <x v="92"/>
              <x v="95"/>
              <x v="97"/>
              <x v="99"/>
              <x v="104"/>
              <x v="111"/>
              <x v="113"/>
              <x v="114"/>
              <x v="115"/>
              <x v="123"/>
              <x v="127"/>
              <x v="132"/>
              <x v="134"/>
              <x v="136"/>
              <x v="138"/>
            </reference>
            <reference field="36"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29" count="34">
              <x v="13"/>
              <x v="34"/>
              <x v="37"/>
              <x v="41"/>
              <x v="42"/>
              <x v="43"/>
              <x v="45"/>
              <x v="54"/>
              <x v="57"/>
              <x v="58"/>
              <x v="62"/>
              <x v="69"/>
              <x v="70"/>
              <x v="79"/>
              <x v="80"/>
              <x v="81"/>
              <x v="82"/>
              <x v="86"/>
              <x v="91"/>
              <x v="92"/>
              <x v="95"/>
              <x v="97"/>
              <x v="99"/>
              <x v="104"/>
              <x v="111"/>
              <x v="113"/>
              <x v="114"/>
              <x v="120"/>
              <x v="122"/>
              <x v="123"/>
              <x v="127"/>
              <x v="132"/>
              <x v="134"/>
              <x v="138"/>
            </reference>
            <reference field="36"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29" count="48">
              <x v="3"/>
              <x v="9"/>
              <x v="13"/>
              <x v="15"/>
              <x v="31"/>
              <x v="32"/>
              <x v="34"/>
              <x v="37"/>
              <x v="41"/>
              <x v="42"/>
              <x v="43"/>
              <x v="45"/>
              <x v="47"/>
              <x v="54"/>
              <x v="57"/>
              <x v="58"/>
              <x v="62"/>
              <x v="65"/>
              <x v="69"/>
              <x v="70"/>
              <x v="79"/>
              <x v="80"/>
              <x v="81"/>
              <x v="82"/>
              <x v="84"/>
              <x v="86"/>
              <x v="88"/>
              <x v="91"/>
              <x v="92"/>
              <x v="95"/>
              <x v="97"/>
              <x v="99"/>
              <x v="101"/>
              <x v="104"/>
              <x v="111"/>
              <x v="113"/>
              <x v="114"/>
              <x v="117"/>
              <x v="120"/>
              <x v="122"/>
              <x v="123"/>
              <x v="127"/>
              <x v="129"/>
              <x v="132"/>
              <x v="133"/>
              <x v="134"/>
              <x v="136"/>
              <x v="138"/>
            </reference>
            <reference field="36" count="1" selected="0">
              <x v="1"/>
            </reference>
          </references>
        </pivotArea>
      </pivotAreas>
    </conditionalFormat>
    <conditionalFormat priority="1">
      <pivotAreas count="1">
        <pivotArea type="data" collapsedLevelsAreSubtotals="1" fieldPosition="0">
          <references count="3">
            <reference field="4294967294" count="1" selected="0">
              <x v="0"/>
            </reference>
            <reference field="29" count="23">
              <x v="11"/>
              <x v="34"/>
              <x v="38"/>
              <x v="42"/>
              <x v="49"/>
              <x v="53"/>
              <x v="65"/>
              <x v="80"/>
              <x v="81"/>
              <x v="95"/>
              <x v="101"/>
              <x v="104"/>
              <x v="110"/>
              <x v="113"/>
              <x v="114"/>
              <x v="117"/>
              <x v="120"/>
              <x v="124"/>
              <x v="129"/>
              <x v="132"/>
              <x v="134"/>
              <x v="136"/>
              <x v="138"/>
            </reference>
            <reference field="36" count="1" selected="0">
              <x v="1"/>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9"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M3:BR29" firstHeaderRow="1" firstDataRow="3" firstDataCol="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x="1" sd="0"/>
        <item t="default"/>
      </items>
    </pivotField>
    <pivotField axis="axisCol" showAll="0">
      <items count="3">
        <item x="0"/>
        <item x="1"/>
        <item t="default"/>
      </items>
    </pivotField>
    <pivotField dataField="1" showAll="0"/>
    <pivotField showAll="0"/>
    <pivotField showAll="0"/>
    <pivotField showAll="0"/>
    <pivotField showAll="0"/>
    <pivotField showAll="0"/>
    <pivotField axis="axisRow" showAll="0" sortType="ascending">
      <items count="2">
        <item x="0"/>
        <item t="default"/>
      </items>
    </pivotField>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2"/>
    <field x="-2"/>
  </rowFields>
  <colFields count="2">
    <field x="14"/>
    <field x="15"/>
  </colField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39">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T3:BU46" firstHeaderRow="1" firstDataRow="1" firstDataCol="1" rowPageCount="1" colPageCount="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defaultSubtotal="0"/>
  </pivotFields>
  <rowFields count="1">
    <field x="29"/>
  </rowFields>
  <pageFields count="1">
    <pageField fld="18" hier="-1"/>
  </pageFields>
  <dataFields count="1">
    <dataField numFmtId="3" name="Count of ENR" fld="8" subtotal="count" baseField="28" baseItem="37"/>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D3F57F-F7B5-47B7-9477-BE1305BA3833}" name="PivotTable4" cacheId="682" dataOnRows="1" applyNumberFormats="1" applyBorderFormats="0" applyFontFormats="0" applyPatternFormats="0" applyAlignmentFormats="0" applyWidthHeightFormats="1" dataCaption="Values" updatedVersion="8" minRefreshableVersion="3" itemPrintTitles="1" createdVersion="4" indent="0" outline="1" outlineData="1" multipleFieldFilters="0" colHeaderCaption="MIS">
  <location ref="A115:B119" firstHeaderRow="1" firstDataRow="1" firstDataCol="1" rowPageCount="1" colPageCount="1"/>
  <pivotFields count="46">
    <pivotField showAll="0"/>
    <pivotField showAll="0"/>
    <pivotField showAll="0"/>
    <pivotField axis="axisRow" showAll="0" sortType="ascending">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3"/>
  </rowFields>
  <pageFields count="1">
    <pageField fld="14" hier="-1"/>
  </pageFields>
  <dataFields count="1">
    <dataField numFmtId="3" name="Count of ENR" fld="8" subtotal="count" baseField="3"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2BBC3B-6F7D-4D43-B553-6C301E199482}" name="PivotTable11"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CA3:CF48" firstHeaderRow="1" firstDataRow="3" firstDataCol="1"/>
  <pivotFields count="46">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sd="0"/>
        <item x="1"/>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3">
        <item x="0"/>
        <item x="1"/>
        <item t="default"/>
      </items>
    </pivotField>
    <pivotField axis="axisRow" showAll="0" sortType="ascending">
      <items count="4">
        <item x="0"/>
        <item x="1"/>
        <item x="2"/>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defaultSubtotal="0"/>
  </pivotFields>
  <rowFields count="1">
    <field x="29"/>
  </rowFields>
  <colFields count="2">
    <field x="14"/>
    <field x="36"/>
  </colFields>
  <dataFields count="1">
    <dataField numFmtId="3" name="COUNT." fld="8" subtotal="count" baseField="4"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 xr10:uid="{00000000-0013-0000-FFFF-FFFF01000000}" sourceName="CYC">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ER" xr10:uid="{00000000-0013-0000-FFFF-FFFF03000000}" sourceName="CALLE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4000000}" sourceName="AREA">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S_NAME" xr10:uid="{00000000-0013-0000-FFFF-FFFF05000000}" sourceName="FOS NAME">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BF2CC79-A71C-47DE-B516-E9CCF4E1CEE7}" sourceName="DATE">
  <pivotTables>
    <pivotTable tabId="4" name="PivotTable2"/>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DATE" xr10:uid="{0AB42155-286B-457B-8413-208830D26E59}" sourceName="V DATE">
  <pivotTables>
    <pivotTable tabId="4" name="PivotTable2"/>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style="SlicerStyleDark1" name="CYC" xr10:uid="{00000000-0014-0000-FFFF-FFFF01000000}" cache="Slicer_CYC" caption="CYC" rowHeight="241300"/>
  <slicer style="SlicerStyleDark1" name="CALLER" xr10:uid="{00000000-0014-0000-FFFF-FFFF03000000}" cache="Slicer_CALLER" caption="CALLER" rowHeight="241300"/>
  <slicer style="SlicerStyleDark1" name="AREA" xr10:uid="{00000000-0014-0000-FFFF-FFFF04000000}" cache="Slicer_AREA" caption="AREA" rowHeight="241300"/>
  <slicer style="SlicerStyleDark1" name="FOS NAME" xr10:uid="{00000000-0014-0000-FFFF-FFFF05000000}" cache="Slicer_FOS_NAME" caption="FOS NAME" rowHeight="241300"/>
  <slicer style="SlicerStyleDark1" name="DATE" xr10:uid="{475F0CEC-303E-47FD-84D9-443ECB511E4A}" cache="Slicer_DATE" caption="DATE" rowHeight="241300"/>
  <slicer style="SlicerStyleDark1" name="V DATE" xr10:uid="{6A7B8A1D-7FB1-4B84-A7F9-8EB42A2175EB}" cache="Slicer_V_DATE" caption="V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T61" totalsRowShown="0" headerRowDxfId="108" dataDxfId="106" headerRowBorderDxfId="107" tableBorderDxfId="105" totalsRowBorderDxfId="104">
  <autoFilter ref="A1:AT61" xr:uid="{00000000-000C-0000-FFFF-FFFF00000000}"/>
  <sortState xmlns:xlrd2="http://schemas.microsoft.com/office/spreadsheetml/2017/richdata2" ref="A2:AT86">
    <sortCondition ref="D1:D86"/>
  </sortState>
  <tableColumns count="46">
    <tableColumn id="1" xr3:uid="{00000000-0010-0000-0000-000001000000}" name="ACC.NO" dataDxfId="103"/>
    <tableColumn id="2" xr3:uid="{00000000-0010-0000-0000-000002000000}" name="NAMES" dataDxfId="102"/>
    <tableColumn id="4" xr3:uid="{00000000-0010-0000-0000-000004000000}" name="O/N" dataDxfId="101">
      <calculatedColumnFormula>VLOOKUP(Table1[[#This Row],[ACC.NO]],[1]!Table1[ACC.NO],1,0)</calculatedColumnFormula>
    </tableColumn>
    <tableColumn id="5" xr3:uid="{00000000-0010-0000-0000-000005000000}" name="CYC" dataDxfId="100"/>
    <tableColumn id="6" xr3:uid="{00000000-0010-0000-0000-000006000000}" name="MOBILE" dataDxfId="99"/>
    <tableColumn id="7" xr3:uid="{00000000-0010-0000-0000-000007000000}" name="BLOCK" dataDxfId="98"/>
    <tableColumn id="8" xr3:uid="{00000000-0010-0000-0000-000008000000}" name="EXCESS LIMIT" dataDxfId="97">
      <calculatedColumnFormula>Table1[[#This Row],[ENR]]-Table1[[#This Row],[CREDIT]]</calculatedColumnFormula>
    </tableColumn>
    <tableColumn id="9" xr3:uid="{00000000-0010-0000-0000-000009000000}" name="CREDIT" dataDxfId="96"/>
    <tableColumn id="10" xr3:uid="{00000000-0010-0000-0000-00000A000000}" name="ENR" dataDxfId="95"/>
    <tableColumn id="11" xr3:uid="{00000000-0010-0000-0000-00000B000000}" name="EMI 0/S" dataDxfId="94"/>
    <tableColumn id="12" xr3:uid="{00000000-0010-0000-0000-00000C000000}" name="CURR_BAL" dataDxfId="93"/>
    <tableColumn id="13" xr3:uid="{00000000-0010-0000-0000-00000D000000}" name="PRI" dataDxfId="92"/>
    <tableColumn id="14" xr3:uid="{00000000-0010-0000-0000-00000E000000}" name="NORM" dataDxfId="91"/>
    <tableColumn id="15" xr3:uid="{00000000-0010-0000-0000-00000F000000}" name="STAB" dataDxfId="90"/>
    <tableColumn id="16" xr3:uid="{00000000-0010-0000-0000-000010000000}" name="PAID/UNPAID" dataDxfId="89"/>
    <tableColumn id="17" xr3:uid="{00000000-0010-0000-0000-000011000000}" name="STATUS" dataDxfId="88"/>
    <tableColumn id="18" xr3:uid="{00000000-0010-0000-0000-000012000000}" name="AMOUNT" dataDxfId="87"/>
    <tableColumn id="19" xr3:uid="{00000000-0010-0000-0000-000013000000}" name="PENDING" dataDxfId="86">
      <calculatedColumnFormula>Table1[[#This Row],[STAB]]-Table1[[#This Row],[AMOUNT]]</calculatedColumnFormula>
    </tableColumn>
    <tableColumn id="20" xr3:uid="{00000000-0010-0000-0000-000014000000}" name="DATE" dataDxfId="85"/>
    <tableColumn id="21" xr3:uid="{00000000-0010-0000-0000-000015000000}" name="DONE BY" dataDxfId="84"/>
    <tableColumn id="22" xr3:uid="{00000000-0010-0000-0000-000016000000}" name="MODE" dataDxfId="83"/>
    <tableColumn id="48" xr3:uid="{629C18F3-9367-47D6-9486-6C5EC4ACAE55}" name="TL ID" dataDxfId="82"/>
    <tableColumn id="23" xr3:uid="{00000000-0010-0000-0000-000017000000}" name="CALLER" dataDxfId="81"/>
    <tableColumn id="47" xr3:uid="{A7B57646-0EA3-4BDE-BCDD-4E3E1432CF94}" name="CALLER ID" dataDxfId="80"/>
    <tableColumn id="24" xr3:uid="{00000000-0010-0000-0000-000018000000}" name="CAT ALLO" dataDxfId="79"/>
    <tableColumn id="25" xr3:uid="{00000000-0010-0000-0000-000019000000}" name="ADD 1" dataDxfId="78"/>
    <tableColumn id="26" xr3:uid="{00000000-0010-0000-0000-00001A000000}" name="ADD 2" dataDxfId="77"/>
    <tableColumn id="27" xr3:uid="{00000000-0010-0000-0000-00001B000000}" name="LOCATION" dataDxfId="76"/>
    <tableColumn id="28" xr3:uid="{00000000-0010-0000-0000-00001C000000}" name="AREA" dataDxfId="75"/>
    <tableColumn id="29" xr3:uid="{00000000-0010-0000-0000-00001D000000}" name="FOS NAME" dataDxfId="74"/>
    <tableColumn id="49" xr3:uid="{B29312A6-783F-4663-AEF3-22A2B5AA768B}" name="FOS ID" dataDxfId="73"/>
    <tableColumn id="30" xr3:uid="{00000000-0010-0000-0000-00001E000000}" name="MARC" dataDxfId="72"/>
    <tableColumn id="31" xr3:uid="{00000000-0010-0000-0000-00001F000000}" name="MARC ID" dataDxfId="71"/>
    <tableColumn id="32" xr3:uid="{00000000-0010-0000-0000-000020000000}" name="MARC PW" dataDxfId="70"/>
    <tableColumn id="33" xr3:uid="{00000000-0010-0000-0000-000021000000}" name="IQ UPLOAD" dataDxfId="69"/>
    <tableColumn id="34" xr3:uid="{00000000-0010-0000-0000-000022000000}" name="TC REMARK" dataDxfId="68"/>
    <tableColumn id="35" xr3:uid="{00000000-0010-0000-0000-000023000000}" name="VISITS" dataDxfId="67"/>
    <tableColumn id="36" xr3:uid="{00000000-0010-0000-0000-000024000000}" name="FOS DISPO" dataDxfId="66"/>
    <tableColumn id="37" xr3:uid="{00000000-0010-0000-0000-000025000000}" name="REMARKS" dataDxfId="65"/>
    <tableColumn id="38" xr3:uid="{00000000-0010-0000-0000-000026000000}" name="V DATE" dataDxfId="64"/>
    <tableColumn id="39" xr3:uid="{00000000-0010-0000-0000-000027000000}" name="LAST PAYMENT DATE" dataDxfId="63"/>
    <tableColumn id="40" xr3:uid="{00000000-0010-0000-0000-000028000000}" name="LAST PAYMENT AMOUNT" dataDxfId="62"/>
    <tableColumn id="44" xr3:uid="{DAEFEEE4-0D58-4723-9961-D8D8386AF190}" name="UCIC DODE" dataDxfId="61"/>
    <tableColumn id="41" xr3:uid="{00000000-0010-0000-0000-000029000000}" name="CARD TYPE" dataDxfId="60"/>
    <tableColumn id="42" xr3:uid="{00000000-0010-0000-0000-00002A000000}" name="ALLOC DATE" dataDxfId="59"/>
    <tableColumn id="43" xr3:uid="{00000000-0010-0000-0000-00002B000000}" name="DueDate" dataDxfId="58"/>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R152"/>
  <sheetViews>
    <sheetView showGridLines="0" tabSelected="1" zoomScale="85" zoomScaleNormal="85" workbookViewId="0">
      <selection activeCell="D91" sqref="D91"/>
    </sheetView>
  </sheetViews>
  <sheetFormatPr defaultRowHeight="15" x14ac:dyDescent="0.25"/>
  <cols>
    <col min="1" max="1" width="16" style="2" bestFit="1" customWidth="1"/>
    <col min="2" max="3" width="11.28515625" style="2" bestFit="1" customWidth="1"/>
    <col min="4" max="6" width="12.28515625" style="2" bestFit="1" customWidth="1"/>
    <col min="7" max="7" width="6" style="2" customWidth="1"/>
    <col min="8" max="8" width="15.28515625" style="2" customWidth="1"/>
    <col min="9" max="9" width="22.28515625" style="2" customWidth="1"/>
    <col min="10" max="10" width="5.7109375" style="2" customWidth="1"/>
    <col min="11" max="11" width="43.7109375" style="2" bestFit="1" customWidth="1"/>
    <col min="12" max="12" width="9.7109375" style="2" bestFit="1" customWidth="1"/>
    <col min="13" max="13" width="8.140625" style="2" bestFit="1" customWidth="1"/>
    <col min="14" max="14" width="11.28515625" style="2" bestFit="1" customWidth="1"/>
    <col min="15" max="16" width="8.140625" style="2" bestFit="1" customWidth="1"/>
    <col min="17" max="17" width="12.28515625" style="2" bestFit="1" customWidth="1"/>
    <col min="18" max="18" width="12.85546875" style="2" bestFit="1" customWidth="1"/>
    <col min="19" max="19" width="8.140625" style="2" bestFit="1" customWidth="1"/>
    <col min="20" max="20" width="12.28515625" style="2" bestFit="1" customWidth="1"/>
    <col min="21" max="21" width="6.140625" style="2" customWidth="1"/>
    <col min="22" max="22" width="43.7109375" style="2" bestFit="1" customWidth="1"/>
    <col min="23" max="23" width="9.7109375" style="2" bestFit="1" customWidth="1"/>
    <col min="24" max="24" width="12" style="2" bestFit="1" customWidth="1"/>
    <col min="25" max="25" width="11.28515625" style="2" bestFit="1" customWidth="1"/>
    <col min="26" max="26" width="11.28515625" style="18" customWidth="1"/>
    <col min="27" max="27" width="11.28515625" style="2" customWidth="1"/>
    <col min="28" max="28" width="5.42578125" style="2" customWidth="1"/>
    <col min="29" max="29" width="43.7109375" style="2" bestFit="1" customWidth="1"/>
    <col min="30" max="30" width="16.140625" style="2" bestFit="1" customWidth="1"/>
    <col min="31" max="31" width="6.42578125" style="2" customWidth="1"/>
    <col min="32" max="32" width="6" style="2" customWidth="1"/>
    <col min="33" max="33" width="38.28515625" style="2" bestFit="1" customWidth="1"/>
    <col min="34" max="34" width="7.42578125" style="2" bestFit="1" customWidth="1"/>
    <col min="35" max="35" width="8.140625" style="2" bestFit="1" customWidth="1"/>
    <col min="36" max="36" width="5.28515625" style="2" bestFit="1" customWidth="1"/>
    <col min="37" max="37" width="13.28515625" style="2" bestFit="1" customWidth="1"/>
    <col min="38" max="38" width="9.85546875" style="2" bestFit="1" customWidth="1"/>
    <col min="39" max="39" width="13.28515625" style="2" bestFit="1" customWidth="1"/>
    <col min="40" max="40" width="11.85546875" style="2" bestFit="1" customWidth="1"/>
    <col min="41" max="41" width="14" style="2" bestFit="1" customWidth="1"/>
    <col min="42" max="42" width="14.28515625" style="2" bestFit="1" customWidth="1"/>
    <col min="43" max="43" width="12.140625" style="2" bestFit="1" customWidth="1"/>
    <col min="44" max="45" width="5.7109375" style="2" customWidth="1"/>
    <col min="46" max="46" width="36.85546875" style="2" bestFit="1" customWidth="1"/>
    <col min="47" max="47" width="7.42578125" style="2" bestFit="1" customWidth="1"/>
    <col min="48" max="48" width="8.140625" style="2" bestFit="1" customWidth="1"/>
    <col min="49" max="49" width="5.28515625" style="2" bestFit="1" customWidth="1"/>
    <col min="50" max="50" width="12.140625" style="2" bestFit="1" customWidth="1"/>
    <col min="51" max="51" width="9.85546875" style="18" bestFit="1" customWidth="1"/>
    <col min="52" max="52" width="13.28515625" style="2" bestFit="1" customWidth="1"/>
    <col min="53" max="53" width="11.85546875" style="12" bestFit="1" customWidth="1"/>
    <col min="54" max="54" width="14" style="2" bestFit="1" customWidth="1"/>
    <col min="55" max="55" width="14.28515625" style="2" customWidth="1"/>
    <col min="56" max="56" width="10.5703125" style="2" bestFit="1" customWidth="1"/>
    <col min="57" max="57" width="9.140625" style="2"/>
    <col min="58" max="58" width="16" style="2" bestFit="1" customWidth="1"/>
    <col min="59" max="61" width="11.28515625" style="2" bestFit="1" customWidth="1"/>
    <col min="62" max="63" width="12.28515625" style="2" bestFit="1" customWidth="1"/>
    <col min="64" max="64" width="12" style="2" bestFit="1" customWidth="1"/>
    <col min="65" max="65" width="16" style="2" bestFit="1" customWidth="1"/>
    <col min="66" max="68" width="11.28515625" style="2" bestFit="1" customWidth="1"/>
    <col min="69" max="70" width="12.28515625" style="2" bestFit="1" customWidth="1"/>
    <col min="71" max="71" width="12" style="2" bestFit="1" customWidth="1"/>
    <col min="72" max="72" width="43.7109375" style="2" bestFit="1" customWidth="1"/>
    <col min="73" max="73" width="12.5703125" style="2" bestFit="1" customWidth="1"/>
    <col min="74" max="78" width="10" style="2" bestFit="1" customWidth="1"/>
    <col min="79" max="79" width="43.7109375" style="2" bestFit="1" customWidth="1"/>
    <col min="80" max="80" width="9.7109375" style="2" bestFit="1" customWidth="1"/>
    <col min="81" max="81" width="12" style="2" bestFit="1" customWidth="1"/>
    <col min="82" max="82" width="7.7109375" style="2" bestFit="1" customWidth="1"/>
    <col min="83" max="83" width="13.140625" style="2" bestFit="1" customWidth="1"/>
    <col min="84" max="85" width="11.28515625" style="2" bestFit="1" customWidth="1"/>
    <col min="86" max="86" width="37.42578125" style="2" bestFit="1" customWidth="1"/>
    <col min="87" max="87" width="9" style="2" customWidth="1"/>
    <col min="88" max="92" width="6.7109375" style="2" customWidth="1"/>
    <col min="93" max="93" width="6.42578125" style="2" customWidth="1"/>
    <col min="94" max="94" width="7.140625" style="2" customWidth="1"/>
    <col min="95" max="95" width="6.85546875" style="2" customWidth="1"/>
    <col min="96" max="100" width="6.7109375" style="2" customWidth="1"/>
    <col min="101" max="101" width="7" style="2" customWidth="1"/>
    <col min="102" max="102" width="6.7109375" style="2" customWidth="1"/>
    <col min="103" max="103" width="6.5703125" style="2" bestFit="1" customWidth="1"/>
    <col min="104" max="104" width="7.28515625" style="2" customWidth="1"/>
    <col min="105" max="105" width="11.28515625" style="2" customWidth="1"/>
    <col min="106" max="106" width="33.28515625" style="2" bestFit="1" customWidth="1"/>
    <col min="107" max="107" width="32.85546875" style="2" bestFit="1" customWidth="1"/>
    <col min="108" max="108" width="28.5703125" style="2" bestFit="1" customWidth="1"/>
    <col min="109" max="109" width="10.42578125" style="2" bestFit="1" customWidth="1"/>
    <col min="110" max="110" width="11" style="2" bestFit="1" customWidth="1"/>
    <col min="111" max="111" width="25.5703125" style="2" bestFit="1" customWidth="1"/>
    <col min="112" max="112" width="25" style="2" bestFit="1" customWidth="1"/>
    <col min="113" max="113" width="11.28515625" style="2" bestFit="1" customWidth="1"/>
    <col min="114" max="114" width="26.42578125" style="2" bestFit="1" customWidth="1"/>
    <col min="115" max="115" width="27.28515625" style="2" bestFit="1" customWidth="1"/>
    <col min="116" max="116" width="30.42578125" style="2" bestFit="1" customWidth="1"/>
    <col min="117" max="117" width="26" style="2" bestFit="1" customWidth="1"/>
    <col min="118" max="118" width="27" style="2" bestFit="1" customWidth="1"/>
    <col min="119" max="119" width="31.42578125" style="2" bestFit="1" customWidth="1"/>
    <col min="120" max="120" width="20.7109375" style="2" bestFit="1" customWidth="1"/>
    <col min="121" max="121" width="21.7109375" style="2" bestFit="1" customWidth="1"/>
    <col min="122" max="122" width="30.85546875" style="2" bestFit="1" customWidth="1"/>
    <col min="123" max="123" width="27.7109375" style="2" bestFit="1" customWidth="1"/>
    <col min="124" max="124" width="32.28515625" style="2" bestFit="1" customWidth="1"/>
    <col min="125" max="125" width="32.85546875" style="2" bestFit="1" customWidth="1"/>
    <col min="126" max="126" width="10.42578125" style="2" bestFit="1" customWidth="1"/>
    <col min="127" max="127" width="11" style="2" bestFit="1" customWidth="1"/>
    <col min="128" max="128" width="35.7109375" style="2" bestFit="1" customWidth="1"/>
    <col min="129" max="129" width="10.42578125" style="2" bestFit="1" customWidth="1"/>
    <col min="130" max="130" width="10.7109375" style="2" bestFit="1" customWidth="1"/>
    <col min="131" max="131" width="26.42578125" style="2" bestFit="1" customWidth="1"/>
    <col min="132" max="132" width="27.28515625" style="2" bestFit="1" customWidth="1"/>
    <col min="133" max="133" width="37" style="2" bestFit="1" customWidth="1"/>
    <col min="134" max="134" width="7.28515625" style="2" bestFit="1" customWidth="1"/>
    <col min="135" max="135" width="33.140625" style="2" bestFit="1" customWidth="1"/>
    <col min="136" max="136" width="33.85546875" style="2" bestFit="1" customWidth="1"/>
    <col min="137" max="137" width="26" style="2" bestFit="1" customWidth="1"/>
    <col min="138" max="138" width="27.42578125" style="2" bestFit="1" customWidth="1"/>
    <col min="139" max="139" width="30" style="2" bestFit="1" customWidth="1"/>
    <col min="140" max="140" width="27" style="2" bestFit="1" customWidth="1"/>
    <col min="141" max="141" width="29.85546875" style="2" bestFit="1" customWidth="1"/>
    <col min="142" max="142" width="31.42578125" style="2" bestFit="1" customWidth="1"/>
    <col min="143" max="143" width="32.85546875" style="2" bestFit="1" customWidth="1"/>
    <col min="144" max="144" width="23.7109375" style="2" bestFit="1" customWidth="1"/>
    <col min="145" max="145" width="26.7109375" style="2" bestFit="1" customWidth="1"/>
    <col min="146" max="146" width="31.28515625" style="2" bestFit="1" customWidth="1"/>
    <col min="147" max="147" width="25.5703125" style="2" bestFit="1" customWidth="1"/>
    <col min="148" max="148" width="21.7109375" style="2" bestFit="1" customWidth="1"/>
    <col min="149" max="149" width="30.5703125" style="2" bestFit="1" customWidth="1"/>
    <col min="150" max="150" width="23.140625" style="2" bestFit="1" customWidth="1"/>
    <col min="151" max="151" width="30.85546875" style="2" bestFit="1" customWidth="1"/>
    <col min="152" max="152" width="35.7109375" style="2" bestFit="1" customWidth="1"/>
    <col min="153" max="153" width="24.85546875" style="2" bestFit="1" customWidth="1"/>
    <col min="154" max="154" width="27.7109375" style="2" bestFit="1" customWidth="1"/>
    <col min="155" max="155" width="27.140625" style="2" bestFit="1" customWidth="1"/>
    <col min="156" max="156" width="32.28515625" style="2" bestFit="1" customWidth="1"/>
    <col min="157" max="157" width="27.7109375" style="2" bestFit="1" customWidth="1"/>
    <col min="158" max="158" width="22.140625" style="2" bestFit="1" customWidth="1"/>
    <col min="159" max="159" width="32.85546875" style="2" bestFit="1" customWidth="1"/>
    <col min="160" max="160" width="28.5703125" style="2" bestFit="1" customWidth="1"/>
    <col min="161" max="161" width="28.42578125" style="2" bestFit="1" customWidth="1"/>
    <col min="162" max="162" width="22.85546875" style="2" bestFit="1" customWidth="1"/>
    <col min="163" max="163" width="7.7109375" style="2" bestFit="1" customWidth="1"/>
    <col min="164" max="165" width="10.42578125" style="2" bestFit="1" customWidth="1"/>
    <col min="166" max="166" width="6.85546875" style="2" bestFit="1" customWidth="1"/>
    <col min="167" max="167" width="11.28515625" style="2" bestFit="1" customWidth="1"/>
    <col min="168" max="168" width="27.140625" style="2" bestFit="1" customWidth="1"/>
    <col min="169" max="169" width="34.7109375" style="2" bestFit="1" customWidth="1"/>
    <col min="170" max="170" width="6.140625" style="2" bestFit="1" customWidth="1"/>
    <col min="171" max="171" width="4.5703125" style="2" bestFit="1" customWidth="1"/>
    <col min="172" max="172" width="38" style="2" bestFit="1" customWidth="1"/>
    <col min="173" max="173" width="30.42578125" style="2" bestFit="1" customWidth="1"/>
    <col min="174" max="174" width="4.5703125" style="2" bestFit="1" customWidth="1"/>
    <col min="175" max="175" width="33.5703125" style="2" bestFit="1" customWidth="1"/>
    <col min="176" max="176" width="26.85546875" style="2" bestFit="1" customWidth="1"/>
    <col min="177" max="177" width="30.140625" style="2" bestFit="1" customWidth="1"/>
    <col min="178" max="178" width="30.28515625" style="2" bestFit="1" customWidth="1"/>
    <col min="179" max="179" width="33.42578125" style="2" bestFit="1" customWidth="1"/>
    <col min="180" max="180" width="24.7109375" style="2" bestFit="1" customWidth="1"/>
    <col min="181" max="181" width="27.85546875" style="2" bestFit="1" customWidth="1"/>
    <col min="182" max="182" width="9.5703125" style="2" bestFit="1" customWidth="1"/>
    <col min="183" max="183" width="12.5703125" style="2" bestFit="1" customWidth="1"/>
    <col min="184" max="184" width="12.28515625" style="2" bestFit="1" customWidth="1"/>
    <col min="185" max="185" width="5.85546875" style="2" bestFit="1" customWidth="1"/>
    <col min="186" max="186" width="4.5703125" style="2" bestFit="1" customWidth="1"/>
    <col min="187" max="187" width="15.42578125" style="2" bestFit="1" customWidth="1"/>
    <col min="188" max="188" width="12.28515625" style="2" bestFit="1" customWidth="1"/>
    <col min="189" max="189" width="4.5703125" style="2" bestFit="1" customWidth="1"/>
    <col min="190" max="190" width="15.42578125" style="2" bestFit="1" customWidth="1"/>
    <col min="191" max="191" width="11.28515625" style="2" bestFit="1" customWidth="1"/>
    <col min="192" max="16384" width="9.140625" style="2"/>
  </cols>
  <sheetData>
    <row r="2" ht="22" customHeight="1">
      <c r="AG2" s="70" t="inlineStr">
        <is>
          <t xml:space="preserve">FOS TARGET — ALL CYCLES (follows the slicers)</t>
        </is>
      </c>
      <c r="AH2" s="70"/>
      <c r="AI2" s="70"/>
      <c r="AJ2" s="70"/>
      <c r="AK2" s="70"/>
      <c r="AL2" s="70"/>
      <c r="AM2" s="70"/>
      <c r="AN2" s="70"/>
      <c r="AO2" s="70"/>
      <c r="AP2" s="70"/>
      <c r="AQ2" s="70"/>
      <c r="AT2" s="70" t="inlineStr">
        <is>
          <t xml:space="preserve">FOS TARGET — CYCLE ▸</t>
        </is>
      </c>
      <c r="AU2" s="70"/>
      <c r="AV2" s="70"/>
      <c r="AW2" s="71" t="inlineStr">
        <is>
          <t xml:space="preserve">ALL</t>
        </is>
      </c>
      <c r="AX2" s="70" t="inlineStr">
        <is>
          <t xml:space="preserve">◂ choose ALL or a cycle</t>
        </is>
      </c>
      <c r="AY2" s="70"/>
      <c r="AZ2" s="70"/>
      <c r="BA2" s="70"/>
      <c r="BB2" s="70"/>
      <c r="BC2" s="70"/>
      <c r="BD2" s="70"/>
    </row>
    <row r="3" ht="32" customHeight="1">
      <c r="AG3" s="63" t="inlineStr">
        <is>
          <t xml:space="preserve">EMP NAME</t>
        </is>
      </c>
      <c r="AH3" s="64" t="inlineStr">
        <is>
          <t xml:space="preserve">COUNT</t>
        </is>
      </c>
      <c r="AI3" s="66" t="inlineStr">
        <is>
          <t xml:space="preserve">UNPAID</t>
        </is>
      </c>
      <c r="AJ3" s="65" t="inlineStr">
        <is>
          <t xml:space="preserve">PAID</t>
        </is>
      </c>
      <c r="AK3" s="64" t="inlineStr">
        <is>
          <t xml:space="preserve">ENR</t>
        </is>
      </c>
      <c r="AL3" s="67" t="inlineStr">
        <is>
          <t xml:space="preserve">TARGET %</t>
        </is>
      </c>
      <c r="AM3" s="67" t="inlineStr">
        <is>
          <t xml:space="preserve">TARGET ENR</t>
        </is>
      </c>
      <c r="AN3" s="65" t="inlineStr">
        <is>
          <t xml:space="preserve">ACHIEVED %</t>
        </is>
      </c>
      <c r="AO3" s="65" t="inlineStr">
        <is>
          <t xml:space="preserve">ACHIEVED ENR</t>
        </is>
      </c>
      <c r="AP3" s="68" t="inlineStr">
        <is>
          <t xml:space="preserve">PENDING VISIT</t>
        </is>
      </c>
      <c r="AQ3" s="69" t="inlineStr">
        <is>
          <t xml:space="preserve">CASH COLL</t>
        </is>
      </c>
      <c r="AT3" s="63" t="inlineStr">
        <is>
          <t xml:space="preserve">EMP NAME</t>
        </is>
      </c>
      <c r="AU3" s="64" t="inlineStr">
        <is>
          <t xml:space="preserve">COUNT</t>
        </is>
      </c>
      <c r="AV3" s="66" t="inlineStr">
        <is>
          <t xml:space="preserve">UNPAID</t>
        </is>
      </c>
      <c r="AW3" s="65" t="inlineStr">
        <is>
          <t xml:space="preserve">PAID</t>
        </is>
      </c>
      <c r="AX3" s="64" t="inlineStr">
        <is>
          <t xml:space="preserve">ENR</t>
        </is>
      </c>
      <c r="AY3" s="67" t="inlineStr">
        <is>
          <t xml:space="preserve">TARGET %</t>
        </is>
      </c>
      <c r="AZ3" s="67" t="inlineStr">
        <is>
          <t xml:space="preserve">TARGET ENR</t>
        </is>
      </c>
      <c r="BA3" s="65" t="inlineStr">
        <is>
          <t xml:space="preserve">ACHIEVED %</t>
        </is>
      </c>
      <c r="BB3" s="65" t="inlineStr">
        <is>
          <t xml:space="preserve">ACHIEVED ENR</t>
        </is>
      </c>
      <c r="BC3" s="68" t="inlineStr">
        <is>
          <t xml:space="preserve">PENDING VISIT</t>
        </is>
      </c>
      <c r="BD3" s="69" t="inlineStr">
        <is>
          <t xml:space="preserve">CASH COLL</t>
        </is>
      </c>
      <c r="GQ3" s="63" t="inlineStr">
        <is>
          <t xml:space="preserve">FOS (target list)</t>
        </is>
      </c>
      <c r="GR3" s="67" t="inlineStr">
        <is>
          <t xml:space="preserve">TARGET %</t>
        </is>
      </c>
    </row>
    <row r="4">
      <c r="AG4" s="72">
        <f>IF(K4="","",K4)</f>
      </c>
      <c r="AH4" s="73">
        <f>IF($AG4="","",IFERROR(IF(OR($AG4="Grand Total",$AG4="Total Result"),GETPIVOTDATA("COUNT.",$K$1),GETPIVOTDATA("COUNT.",$K$1,"FOS NAME",$AG4)),0))</f>
      </c>
      <c r="AI4" s="73">
        <f>IF($AG4="","",IFERROR(IF(OR($AG4="Grand Total",$AG4="Total Result"),GETPIVOTDATA("COUNT.",$K$1,"PAID/UNPAID","UNPAID"),GETPIVOTDATA("COUNT.",$K$1,"FOS NAME",$AG4,"PAID/UNPAID","UNPAID")),0))</f>
      </c>
      <c r="AJ4" s="73">
        <f>IF($AG4="","",IFERROR(IF(OR($AG4="Grand Total",$AG4="Total Result"),GETPIVOTDATA("COUNT.",$K$1,"PAID/UNPAID","PAID"),GETPIVOTDATA("COUNT.",$K$1,"FOS NAME",$AG4,"PAID/UNPAID","PAID")),0))</f>
      </c>
      <c r="AK4" s="74">
        <f>IF($AG4="","",IFERROR(IF(OR($AG4="Grand Total",$AG4="Total Result"),GETPIVOTDATA("ENR.",$K$1),GETPIVOTDATA("ENR.",$K$1,"FOS NAME",$AG4)),0))</f>
      </c>
      <c r="AL4" s="76">
        <f>IF($AG4="","",IF(OR($AG4="Grand Total",$AG4="Total Result"),IFERROR(AM4/AK4,0.85),IFERROR(VLOOKUP($AG4,$GQ$4:$GR$2000,2,0),0.85)))</f>
      </c>
      <c r="AM4" s="74">
        <f>IF($AG4="","",AK4*AL4)</f>
      </c>
      <c r="AN4" s="75">
        <f>IF($AG4="","",IFERROR(AO4/AK4,0))</f>
      </c>
      <c r="AO4" s="74">
        <f>IF($AG4="","",IFERROR(IF(OR($AG4="Grand Total",$AG4="Total Result"),GETPIVOTDATA("ENR.",$K$1,"PAID/UNPAID","PAID"),GETPIVOTDATA("ENR.",$K$1,"FOS NAME",$AG4,"PAID/UNPAID","PAID")),0))</f>
      </c>
      <c r="AP4" s="73">
        <f>IF($AG4="","",IFERROR(IF(OR($AG4="Grand Total",$AG4="Total Result"),GETPIVOTDATA("COUNT.",$V$2,"VISITS","NOT VISITED"),GETPIVOTDATA("COUNT.",$V$2,"FOS NAME",$AG4,"VISITS","NOT VISITED")),0))</f>
      </c>
      <c r="AQ4" s="74">
        <f>IF($AG4="","",IFERROR(IF(OR($AG4="Grand Total",$AG4="Total Result"),GETPIVOTDATA("Sum of AMOUNT",$AC$3),GETPIVOTDATA("Sum of AMOUNT",$AC$3,"FOS NAME",$AG4)),0))</f>
      </c>
      <c r="AT4" s="72" t="inlineStr">
        <is>
          <t xml:space="preserve">NO FOS</t>
        </is>
      </c>
      <c r="AU4" s="73">
        <f>SUMPRODUCT((Table1[FOS NAME]=$AT4)*((($AW$2="ALL")+((Table1[CYC]&amp;"")=($AW$2&amp;"")))&gt;0))</f>
      </c>
      <c r="AV4" s="73">
        <f>SUMPRODUCT((Table1[FOS NAME]=$AT4)*((($AW$2="ALL")+((Table1[CYC]&amp;"")=($AW$2&amp;"")))&gt;0)*(Table1[PAID/UNPAID]="UNPAID"))</f>
      </c>
      <c r="AW4" s="73">
        <f>SUMPRODUCT((Table1[FOS NAME]=$AT4)*((($AW$2="ALL")+((Table1[CYC]&amp;"")=($AW$2&amp;"")))&gt;0)*(Table1[PAID/UNPAID]="PAID"))</f>
      </c>
      <c r="AX4" s="74">
        <f>SUMPRODUCT((Table1[FOS NAME]=$AT4)*((($AW$2="ALL")+((Table1[CYC]&amp;"")=($AW$2&amp;"")))&gt;0)*Table1[ENR])</f>
      </c>
      <c r="AY4" s="76">
        <f>IFERROR(VLOOKUP($AT4,$GQ$4:$GR$2000,2,0),0.85)</f>
      </c>
      <c r="AZ4" s="74">
        <f>AX4*AY4</f>
      </c>
      <c r="BA4" s="75">
        <f>IFERROR(BB4/AX4,0)</f>
      </c>
      <c r="BB4" s="74">
        <f>SUMPRODUCT((Table1[FOS NAME]=$AT4)*((($AW$2="ALL")+((Table1[CYC]&amp;"")=($AW$2&amp;"")))&gt;0)*(Table1[PAID/UNPAID]="PAID")*Table1[ENR])</f>
      </c>
      <c r="BC4" s="73">
        <f>SUMPRODUCT((Table1[FOS NAME]=$AT4)*((($AW$2="ALL")+((Table1[CYC]&amp;"")=($AW$2&amp;"")))&gt;0)*(Table1[VISITS]="NOT VISITED"))</f>
      </c>
      <c r="BD4" s="74">
        <f>SUMPRODUCT((Table1[FOS NAME]=$AT4)*((($AW$2="ALL")+((Table1[CYC]&amp;"")=($AW$2&amp;"")))&gt;0)*Table1[AMOUNT])</f>
      </c>
      <c r="GQ4" s="72" t="inlineStr">
        <is>
          <t xml:space="preserve">NO FOS</t>
        </is>
      </c>
      <c r="GR4" s="76">
        <v>0.85</v>
      </c>
    </row>
    <row r="5">
      <c r="AG5" s="72">
        <f>IF(K5="","",K5)</f>
      </c>
      <c r="AH5" s="73">
        <f>IF($AG5="","",IFERROR(IF(OR($AG5="Grand Total",$AG5="Total Result"),GETPIVOTDATA("COUNT.",$K$1),GETPIVOTDATA("COUNT.",$K$1,"FOS NAME",$AG5)),0))</f>
      </c>
      <c r="AI5" s="73">
        <f>IF($AG5="","",IFERROR(IF(OR($AG5="Grand Total",$AG5="Total Result"),GETPIVOTDATA("COUNT.",$K$1,"PAID/UNPAID","UNPAID"),GETPIVOTDATA("COUNT.",$K$1,"FOS NAME",$AG5,"PAID/UNPAID","UNPAID")),0))</f>
      </c>
      <c r="AJ5" s="73">
        <f>IF($AG5="","",IFERROR(IF(OR($AG5="Grand Total",$AG5="Total Result"),GETPIVOTDATA("COUNT.",$K$1,"PAID/UNPAID","PAID"),GETPIVOTDATA("COUNT.",$K$1,"FOS NAME",$AG5,"PAID/UNPAID","PAID")),0))</f>
      </c>
      <c r="AK5" s="74">
        <f>IF($AG5="","",IFERROR(IF(OR($AG5="Grand Total",$AG5="Total Result"),GETPIVOTDATA("ENR.",$K$1),GETPIVOTDATA("ENR.",$K$1,"FOS NAME",$AG5)),0))</f>
      </c>
      <c r="AL5" s="76">
        <f>IF($AG5="","",IF(OR($AG5="Grand Total",$AG5="Total Result"),IFERROR(AM5/AK5,0.85),IFERROR(VLOOKUP($AG5,$GQ$4:$GR$2000,2,0),0.85)))</f>
      </c>
      <c r="AM5" s="74">
        <f>IF($AG5="","",IF(OR($AG5="Grand Total",$AG5="Total Result"),SUM(AM$4:AM4),AK5*AL5))</f>
      </c>
      <c r="AN5" s="75">
        <f>IF($AG5="","",IFERROR(AO5/AK5,0))</f>
      </c>
      <c r="AO5" s="74">
        <f>IF($AG5="","",IFERROR(IF(OR($AG5="Grand Total",$AG5="Total Result"),GETPIVOTDATA("ENR.",$K$1,"PAID/UNPAID","PAID"),GETPIVOTDATA("ENR.",$K$1,"FOS NAME",$AG5,"PAID/UNPAID","PAID")),0))</f>
      </c>
      <c r="AP5" s="73">
        <f>IF($AG5="","",IFERROR(IF(OR($AG5="Grand Total",$AG5="Total Result"),GETPIVOTDATA("COUNT.",$V$2,"VISITS","NOT VISITED"),GETPIVOTDATA("COUNT.",$V$2,"FOS NAME",$AG5,"VISITS","NOT VISITED")),0))</f>
      </c>
      <c r="AQ5" s="74">
        <f>IF($AG5="","",IFERROR(IF(OR($AG5="Grand Total",$AG5="Total Result"),GETPIVOTDATA("Sum of AMOUNT",$AC$3),GETPIVOTDATA("Sum of AMOUNT",$AC$3,"FOS NAME",$AG5)),0))</f>
      </c>
      <c r="AT5" s="72" t="inlineStr">
        <is>
          <t xml:space="preserve">RAVI KUMAR (FO047) / VSP / 9876543210</t>
        </is>
      </c>
      <c r="AU5" s="73">
        <f>SUMPRODUCT((Table1[FOS NAME]=$AT5)*((($AW$2="ALL")+((Table1[CYC]&amp;"")=($AW$2&amp;"")))&gt;0))</f>
      </c>
      <c r="AV5" s="73">
        <f>SUMPRODUCT((Table1[FOS NAME]=$AT5)*((($AW$2="ALL")+((Table1[CYC]&amp;"")=($AW$2&amp;"")))&gt;0)*(Table1[PAID/UNPAID]="UNPAID"))</f>
      </c>
      <c r="AW5" s="73">
        <f>SUMPRODUCT((Table1[FOS NAME]=$AT5)*((($AW$2="ALL")+((Table1[CYC]&amp;"")=($AW$2&amp;"")))&gt;0)*(Table1[PAID/UNPAID]="PAID"))</f>
      </c>
      <c r="AX5" s="74">
        <f>SUMPRODUCT((Table1[FOS NAME]=$AT5)*((($AW$2="ALL")+((Table1[CYC]&amp;"")=($AW$2&amp;"")))&gt;0)*Table1[ENR])</f>
      </c>
      <c r="AY5" s="76">
        <f>IFERROR(VLOOKUP($AT5,$GQ$4:$GR$2000,2,0),0.85)</f>
      </c>
      <c r="AZ5" s="74">
        <f>AX5*AY5</f>
      </c>
      <c r="BA5" s="75">
        <f>IFERROR(BB5/AX5,0)</f>
      </c>
      <c r="BB5" s="74">
        <f>SUMPRODUCT((Table1[FOS NAME]=$AT5)*((($AW$2="ALL")+((Table1[CYC]&amp;"")=($AW$2&amp;"")))&gt;0)*(Table1[PAID/UNPAID]="PAID")*Table1[ENR])</f>
      </c>
      <c r="BC5" s="73">
        <f>SUMPRODUCT((Table1[FOS NAME]=$AT5)*((($AW$2="ALL")+((Table1[CYC]&amp;"")=($AW$2&amp;"")))&gt;0)*(Table1[VISITS]="NOT VISITED"))</f>
      </c>
      <c r="BD5" s="74">
        <f>SUMPRODUCT((Table1[FOS NAME]=$AT5)*((($AW$2="ALL")+((Table1[CYC]&amp;"")=($AW$2&amp;"")))&gt;0)*Table1[AMOUNT])</f>
      </c>
      <c r="GQ5" s="72" t="inlineStr">
        <is>
          <t xml:space="preserve">RAVI KUMAR (FO047) / VSP / 9876543210</t>
        </is>
      </c>
      <c r="GR5" s="76">
        <v>0.85</v>
      </c>
    </row>
    <row r="6">
      <c r="AG6" s="72">
        <f>IF(K6="","",K6)</f>
      </c>
      <c r="AH6" s="73">
        <f>IF($AG6="","",IFERROR(IF(OR($AG6="Grand Total",$AG6="Total Result"),GETPIVOTDATA("COUNT.",$K$1),GETPIVOTDATA("COUNT.",$K$1,"FOS NAME",$AG6)),0))</f>
      </c>
      <c r="AI6" s="73">
        <f>IF($AG6="","",IFERROR(IF(OR($AG6="Grand Total",$AG6="Total Result"),GETPIVOTDATA("COUNT.",$K$1,"PAID/UNPAID","UNPAID"),GETPIVOTDATA("COUNT.",$K$1,"FOS NAME",$AG6,"PAID/UNPAID","UNPAID")),0))</f>
      </c>
      <c r="AJ6" s="73">
        <f>IF($AG6="","",IFERROR(IF(OR($AG6="Grand Total",$AG6="Total Result"),GETPIVOTDATA("COUNT.",$K$1,"PAID/UNPAID","PAID"),GETPIVOTDATA("COUNT.",$K$1,"FOS NAME",$AG6,"PAID/UNPAID","PAID")),0))</f>
      </c>
      <c r="AK6" s="74">
        <f>IF($AG6="","",IFERROR(IF(OR($AG6="Grand Total",$AG6="Total Result"),GETPIVOTDATA("ENR.",$K$1),GETPIVOTDATA("ENR.",$K$1,"FOS NAME",$AG6)),0))</f>
      </c>
      <c r="AL6" s="76">
        <f>IF($AG6="","",IF(OR($AG6="Grand Total",$AG6="Total Result"),IFERROR(AM6/AK6,0.85),IFERROR(VLOOKUP($AG6,$GQ$4:$GR$2000,2,0),0.85)))</f>
      </c>
      <c r="AM6" s="74">
        <f>IF($AG6="","",IF(OR($AG6="Grand Total",$AG6="Total Result"),SUM(AM$4:AM5),AK6*AL6))</f>
      </c>
      <c r="AN6" s="75">
        <f>IF($AG6="","",IFERROR(AO6/AK6,0))</f>
      </c>
      <c r="AO6" s="74">
        <f>IF($AG6="","",IFERROR(IF(OR($AG6="Grand Total",$AG6="Total Result"),GETPIVOTDATA("ENR.",$K$1,"PAID/UNPAID","PAID"),GETPIVOTDATA("ENR.",$K$1,"FOS NAME",$AG6,"PAID/UNPAID","PAID")),0))</f>
      </c>
      <c r="AP6" s="73">
        <f>IF($AG6="","",IFERROR(IF(OR($AG6="Grand Total",$AG6="Total Result"),GETPIVOTDATA("COUNT.",$V$2,"VISITS","NOT VISITED"),GETPIVOTDATA("COUNT.",$V$2,"FOS NAME",$AG6,"VISITS","NOT VISITED")),0))</f>
      </c>
      <c r="AQ6" s="74">
        <f>IF($AG6="","",IFERROR(IF(OR($AG6="Grand Total",$AG6="Total Result"),GETPIVOTDATA("Sum of AMOUNT",$AC$3),GETPIVOTDATA("Sum of AMOUNT",$AC$3,"FOS NAME",$AG6)),0))</f>
      </c>
      <c r="AT6" s="72" t="inlineStr">
        <is>
          <t xml:space="preserve">SURESH (FO050)</t>
        </is>
      </c>
      <c r="AU6" s="73">
        <f>SUMPRODUCT((Table1[FOS NAME]=$AT6)*((($AW$2="ALL")+((Table1[CYC]&amp;"")=($AW$2&amp;"")))&gt;0))</f>
      </c>
      <c r="AV6" s="73">
        <f>SUMPRODUCT((Table1[FOS NAME]=$AT6)*((($AW$2="ALL")+((Table1[CYC]&amp;"")=($AW$2&amp;"")))&gt;0)*(Table1[PAID/UNPAID]="UNPAID"))</f>
      </c>
      <c r="AW6" s="73">
        <f>SUMPRODUCT((Table1[FOS NAME]=$AT6)*((($AW$2="ALL")+((Table1[CYC]&amp;"")=($AW$2&amp;"")))&gt;0)*(Table1[PAID/UNPAID]="PAID"))</f>
      </c>
      <c r="AX6" s="74">
        <f>SUMPRODUCT((Table1[FOS NAME]=$AT6)*((($AW$2="ALL")+((Table1[CYC]&amp;"")=($AW$2&amp;"")))&gt;0)*Table1[ENR])</f>
      </c>
      <c r="AY6" s="76">
        <f>IFERROR(VLOOKUP($AT6,$GQ$4:$GR$2000,2,0),0.85)</f>
      </c>
      <c r="AZ6" s="74">
        <f>AX6*AY6</f>
      </c>
      <c r="BA6" s="75">
        <f>IFERROR(BB6/AX6,0)</f>
      </c>
      <c r="BB6" s="74">
        <f>SUMPRODUCT((Table1[FOS NAME]=$AT6)*((($AW$2="ALL")+((Table1[CYC]&amp;"")=($AW$2&amp;"")))&gt;0)*(Table1[PAID/UNPAID]="PAID")*Table1[ENR])</f>
      </c>
      <c r="BC6" s="73">
        <f>SUMPRODUCT((Table1[FOS NAME]=$AT6)*((($AW$2="ALL")+((Table1[CYC]&amp;"")=($AW$2&amp;"")))&gt;0)*(Table1[VISITS]="NOT VISITED"))</f>
      </c>
      <c r="BD6" s="74">
        <f>SUMPRODUCT((Table1[FOS NAME]=$AT6)*((($AW$2="ALL")+((Table1[CYC]&amp;"")=($AW$2&amp;"")))&gt;0)*Table1[AMOUNT])</f>
      </c>
      <c r="GQ6" s="72" t="inlineStr">
        <is>
          <t xml:space="preserve">SURESH (FO050)</t>
        </is>
      </c>
      <c r="GR6" s="76">
        <v>0.6</v>
      </c>
    </row>
    <row r="7">
      <c r="AG7" s="77">
        <f>IF(K7="","",K7)</f>
      </c>
      <c r="AH7" s="78">
        <f>IF($AG7="","",IFERROR(IF(OR($AG7="Grand Total",$AG7="Total Result"),GETPIVOTDATA("COUNT.",$K$1),GETPIVOTDATA("COUNT.",$K$1,"FOS NAME",$AG7)),0))</f>
      </c>
      <c r="AI7" s="78">
        <f>IF($AG7="","",IFERROR(IF(OR($AG7="Grand Total",$AG7="Total Result"),GETPIVOTDATA("COUNT.",$K$1,"PAID/UNPAID","UNPAID"),GETPIVOTDATA("COUNT.",$K$1,"FOS NAME",$AG7,"PAID/UNPAID","UNPAID")),0))</f>
      </c>
      <c r="AJ7" s="78">
        <f>IF($AG7="","",IFERROR(IF(OR($AG7="Grand Total",$AG7="Total Result"),GETPIVOTDATA("COUNT.",$K$1,"PAID/UNPAID","PAID"),GETPIVOTDATA("COUNT.",$K$1,"FOS NAME",$AG7,"PAID/UNPAID","PAID")),0))</f>
      </c>
      <c r="AK7" s="79">
        <f>IF($AG7="","",IFERROR(IF(OR($AG7="Grand Total",$AG7="Total Result"),GETPIVOTDATA("ENR.",$K$1),GETPIVOTDATA("ENR.",$K$1,"FOS NAME",$AG7)),0))</f>
      </c>
      <c r="AL7" s="81">
        <f>IF($AG7="","",IF(OR($AG7="Grand Total",$AG7="Total Result"),IFERROR(AM7/AK7,0.85),IFERROR(VLOOKUP($AG7,$GQ$4:$GR$2000,2,0),0.85)))</f>
      </c>
      <c r="AM7" s="79">
        <f>IF($AG7="","",IF(OR($AG7="Grand Total",$AG7="Total Result"),SUM(AM$4:AM6),AK7*AL7))</f>
      </c>
      <c r="AN7" s="80">
        <f>IF($AG7="","",IFERROR(AO7/AK7,0))</f>
      </c>
      <c r="AO7" s="79">
        <f>IF($AG7="","",IFERROR(IF(OR($AG7="Grand Total",$AG7="Total Result"),GETPIVOTDATA("ENR.",$K$1,"PAID/UNPAID","PAID"),GETPIVOTDATA("ENR.",$K$1,"FOS NAME",$AG7,"PAID/UNPAID","PAID")),0))</f>
      </c>
      <c r="AP7" s="78">
        <f>IF($AG7="","",IFERROR(IF(OR($AG7="Grand Total",$AG7="Total Result"),GETPIVOTDATA("COUNT.",$V$2,"VISITS","NOT VISITED"),GETPIVOTDATA("COUNT.",$V$2,"FOS NAME",$AG7,"VISITS","NOT VISITED")),0))</f>
      </c>
      <c r="AQ7" s="79">
        <f>IF($AG7="","",IFERROR(IF(OR($AG7="Grand Total",$AG7="Total Result"),GETPIVOTDATA("Sum of AMOUNT",$AC$3),GETPIVOTDATA("Sum of AMOUNT",$AC$3,"FOS NAME",$AG7)),0))</f>
      </c>
      <c r="AT7" s="77" t="inlineStr">
        <is>
          <t xml:space="preserve">Grand Total</t>
        </is>
      </c>
      <c r="AU7" s="78">
        <f>SUM(AU4:AU6)</f>
      </c>
      <c r="AV7" s="78">
        <f>SUM(AV4:AV6)</f>
      </c>
      <c r="AW7" s="78">
        <f>SUM(AW4:AW6)</f>
      </c>
      <c r="AX7" s="79">
        <f>SUM(AX4:AX6)</f>
      </c>
      <c r="AY7" s="81">
        <f>IFERROR(AZ7/AX7,0.85)</f>
      </c>
      <c r="AZ7" s="79">
        <f>SUM(AZ4:AZ6)</f>
      </c>
      <c r="BA7" s="80">
        <f>IFERROR(BB7/AX7,0)</f>
      </c>
      <c r="BB7" s="79">
        <f>SUM(BB4:BB6)</f>
      </c>
      <c r="BC7" s="78">
        <f>SUM(BC4:BC6)</f>
      </c>
      <c r="BD7" s="79">
        <f>SUM(BD4:BD6)</f>
      </c>
    </row>
  </sheetData>
  <conditionalFormatting pivot="1" sqref="M4:M46">
    <cfRule type="colorScale" priority="44">
      <colorScale>
        <cfvo type="min"/>
        <cfvo type="percentile" val="50"/>
        <cfvo type="max"/>
        <color rgb="FFF8696B"/>
        <color rgb="FFFFEB84"/>
        <color rgb="FF63BE7B"/>
      </colorScale>
    </cfRule>
  </conditionalFormatting>
  <conditionalFormatting pivot="1" sqref="D145 D140 D149">
    <cfRule type="colorScale" priority="42">
      <colorScale>
        <cfvo type="min"/>
        <cfvo type="percentile" val="50"/>
        <cfvo type="max"/>
        <color rgb="FFF8696B"/>
        <color rgb="FFFFEB84"/>
        <color rgb="FF63BE7B"/>
      </colorScale>
    </cfRule>
  </conditionalFormatting>
  <conditionalFormatting pivot="1" sqref="BI13 BI8 BI18 BI23 BI28 BI33 BI38 BI42">
    <cfRule type="colorScale" priority="40">
      <colorScale>
        <cfvo type="min"/>
        <cfvo type="percentile" val="50"/>
        <cfvo type="max"/>
        <color rgb="FFF8696B"/>
        <color rgb="FFFFEB84"/>
        <color rgb="FF63BE7B"/>
      </colorScale>
    </cfRule>
  </conditionalFormatting>
  <conditionalFormatting pivot="1" sqref="BP13 BP8 BP18 BP23 BP27">
    <cfRule type="colorScale" priority="39">
      <colorScale>
        <cfvo type="min"/>
        <cfvo type="percentile" val="50"/>
        <cfvo type="max"/>
        <color rgb="FFF8696B"/>
        <color rgb="FFFFEB84"/>
        <color rgb="FF63BE7B"/>
      </colorScale>
    </cfRule>
  </conditionalFormatting>
  <conditionalFormatting pivot="1" sqref="X4:X5 X7 X12 X14 X20:X22 X25:X27 X29:X30 X33 X35 X38 X40:X42">
    <cfRule type="colorScale" priority="18">
      <colorScale>
        <cfvo type="min"/>
        <cfvo type="percentile" val="50"/>
        <cfvo type="max"/>
        <color rgb="FF63BE7B"/>
        <color rgb="FFFFEB84"/>
        <color rgb="FFF8696B"/>
      </colorScale>
    </cfRule>
  </conditionalFormatting>
  <conditionalFormatting pivot="1" sqref="X4:X5 X7 X10 X12 X14 X20:X22 X25:X27 X29:X30 X33 X35 X38 X40:X42">
    <cfRule type="colorScale" priority="16">
      <colorScale>
        <cfvo type="min"/>
        <cfvo type="percentile" val="50"/>
        <cfvo type="max"/>
        <color rgb="FFF8696B"/>
        <color rgb="FFFFEB84"/>
        <color rgb="FF63BE7B"/>
      </colorScale>
    </cfRule>
  </conditionalFormatting>
  <conditionalFormatting pivot="1" sqref="X7 X4 X10 X12 X14 X20:X22 X25:X27 X29:X30 X33 X35 X38 X40 X42">
    <cfRule type="colorScale" priority="14">
      <colorScale>
        <cfvo type="min"/>
        <cfvo type="percentile" val="50"/>
        <cfvo type="max"/>
        <color rgb="FF63BE7B"/>
        <color rgb="FFFFEB84"/>
        <color rgb="FFF8696B"/>
      </colorScale>
    </cfRule>
  </conditionalFormatting>
  <conditionalFormatting pivot="1" sqref="X12 X4 X20:X21 X25:X27 X29:X30 X33 X38 X40 X42 X44">
    <cfRule type="colorScale" priority="13">
      <colorScale>
        <cfvo type="min"/>
        <cfvo type="percentile" val="50"/>
        <cfvo type="max"/>
        <color rgb="FF63BE7B"/>
        <color rgb="FFFFEB84"/>
        <color rgb="FFF8696B"/>
      </colorScale>
    </cfRule>
  </conditionalFormatting>
  <conditionalFormatting pivot="1" sqref="X7 X4 X9:X10 X12 X17 X20:X22 X25:X27 X29:X30 X33 X38 X40 X42 X44">
    <cfRule type="colorScale" priority="12">
      <colorScale>
        <cfvo type="min"/>
        <cfvo type="percentile" val="50"/>
        <cfvo type="max"/>
        <color rgb="FF63BE7B"/>
        <color rgb="FFFFEB84"/>
        <color rgb="FFF8696B"/>
      </colorScale>
    </cfRule>
  </conditionalFormatting>
  <conditionalFormatting pivot="1" sqref="X7 X4 X9:X10 X12 X17 X20:X22 X25:X30 X33 X38 X40 X42 X44">
    <cfRule type="colorScale" priority="11">
      <colorScale>
        <cfvo type="min"/>
        <cfvo type="percentile" val="50"/>
        <cfvo type="max"/>
        <color rgb="FF63BE7B"/>
        <color rgb="FFFFEB84"/>
        <color rgb="FFF8696B"/>
      </colorScale>
    </cfRule>
  </conditionalFormatting>
  <conditionalFormatting pivot="1" sqref="X9:X10 X4 X12 X14 X17 X20:X22 X25:X30 X32:X33 X38 X40 X42:X44">
    <cfRule type="colorScale" priority="10">
      <colorScale>
        <cfvo type="min"/>
        <cfvo type="percentile" val="50"/>
        <cfvo type="max"/>
        <color rgb="FF63BE7B"/>
        <color rgb="FFFFEB84"/>
        <color rgb="FFF8696B"/>
      </colorScale>
    </cfRule>
  </conditionalFormatting>
  <conditionalFormatting pivot="1" sqref="X9:X10 X4 X12 X14 X17 X19:X22 X25:X30 X32:X33 X38 X40 X42:X44">
    <cfRule type="colorScale" priority="9">
      <colorScale>
        <cfvo type="min"/>
        <cfvo type="percentile" val="50"/>
        <cfvo type="max"/>
        <color rgb="FF63BE7B"/>
        <color rgb="FFFFEB84"/>
        <color rgb="FFF8696B"/>
      </colorScale>
    </cfRule>
  </conditionalFormatting>
  <conditionalFormatting pivot="1" sqref="X9 X4 X12 X14 X17 X19:X22 X25:X30 X32:X33 X38 X40 X42:X44">
    <cfRule type="colorScale" priority="8">
      <colorScale>
        <cfvo type="min"/>
        <cfvo type="percentile" val="50"/>
        <cfvo type="max"/>
        <color rgb="FF63BE7B"/>
        <color rgb="FFFFEB84"/>
        <color rgb="FFF8696B"/>
      </colorScale>
    </cfRule>
  </conditionalFormatting>
  <conditionalFormatting pivot="1" sqref="D11 D6 D16 D21 D26 D31 D36 D41 D46 D51 D56 D61 D66 D71 D76 D81 D86 D90">
    <cfRule type="colorScale" priority="7">
      <colorScale>
        <cfvo type="min"/>
        <cfvo type="percentile" val="50"/>
        <cfvo type="max"/>
        <color rgb="FFF8696B"/>
        <color rgb="FFFFEB84"/>
        <color rgb="FF63BE7B"/>
      </colorScale>
    </cfRule>
  </conditionalFormatting>
  <conditionalFormatting pivot="1" sqref="X9:X10 X7 X14 X17 X19:X22 X25:X30 X32:X33 X35 X38 X40 X42 X44">
    <cfRule type="colorScale" priority="5">
      <colorScale>
        <cfvo type="min"/>
        <cfvo type="percentile" val="50"/>
        <cfvo type="max"/>
        <color rgb="FFF8696B"/>
        <color rgb="FFFFEB84"/>
        <color rgb="FF63BE7B"/>
      </colorScale>
    </cfRule>
  </conditionalFormatting>
  <conditionalFormatting pivot="1" sqref="X6:X7 X4 X9:X10 X14 X17 X19:X22 X25:X30 X32:X35 X38:X44">
    <cfRule type="colorScale" priority="3">
      <colorScale>
        <cfvo type="min"/>
        <cfvo type="percentile" val="50"/>
        <cfvo type="max"/>
        <color rgb="FF63BE7B"/>
        <color rgb="FFFFEB84"/>
        <color rgb="FFF8696B"/>
      </colorScale>
    </cfRule>
  </conditionalFormatting>
  <conditionalFormatting pivot="1" sqref="X7:X8 X5 X10 X12:X13 X20:X21 X27 X30:X36 X39:X40 X42:X44">
    <cfRule type="colorScale" priority="1">
      <colorScale>
        <cfvo type="min"/>
        <cfvo type="percentile" val="50"/>
        <cfvo type="max"/>
        <color rgb="FF63BE7B"/>
        <color rgb="FFFFEB84"/>
        <color rgb="FFF8696B"/>
      </colorScale>
    </cfRule>
  </conditionalFormatting>
  <dataValidations count="1">
    <dataValidation type="list" allowBlank="1" showInputMessage="1" promptTitle="Cycle" prompt="Pick ALL or one cycle" sqref="AW2">
      <formula1>"ALL,2,12,21"</formula1>
    </dataValidation>
  </dataValidation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T61"/>
  <sheetViews>
    <sheetView workbookViewId="0">
      <pane xSplit="2" ySplit="1" topLeftCell="C2" activePane="bottomRight" state="frozen"/>
      <selection pane="bottomRight" activeCell="C2" sqref="C2"/>
    </sheetView>
  </sheetViews>
  <sheetFormatPr defaultColWidth="17" defaultRowHeight="15" x14ac:dyDescent="0.25"/>
  <cols>
    <col min="1" max="1" width="17.28515625" style="60" bestFit="1" customWidth="1"/>
    <col min="2" max="2" width="38.28515625" style="60" bestFit="1" customWidth="1"/>
    <col min="3" max="3" width="4.7109375" style="60" bestFit="1" customWidth="1"/>
    <col min="4" max="4" width="4.28515625" style="60" bestFit="1" customWidth="1"/>
    <col min="5" max="5" width="11" style="60" bestFit="1" customWidth="1"/>
    <col min="6" max="6" width="6.7109375" style="60" bestFit="1" customWidth="1"/>
    <col min="7" max="7" width="12.42578125" style="60" bestFit="1" customWidth="1"/>
    <col min="8" max="8" width="7.140625" style="60" bestFit="1" customWidth="1"/>
    <col min="9" max="9" width="8" style="60" bestFit="1" customWidth="1"/>
    <col min="10" max="10" width="8" style="16" bestFit="1" customWidth="1"/>
    <col min="11" max="11" width="10" style="60" bestFit="1" customWidth="1"/>
    <col min="12" max="12" width="7" style="60" bestFit="1" customWidth="1"/>
    <col min="13" max="13" width="8.5703125" style="60" bestFit="1" customWidth="1"/>
    <col min="14" max="14" width="7" style="60" bestFit="1" customWidth="1"/>
    <col min="15" max="15" width="13.28515625" style="60" bestFit="1" customWidth="1"/>
    <col min="16" max="16" width="7.5703125" style="60" bestFit="1" customWidth="1"/>
    <col min="17" max="18" width="9.140625" style="60" bestFit="1" customWidth="1"/>
    <col min="19" max="19" width="7.140625" style="60" bestFit="1" customWidth="1"/>
    <col min="20" max="20" width="8.7109375" style="60" bestFit="1" customWidth="1"/>
    <col min="21" max="21" width="6.42578125" style="60" bestFit="1" customWidth="1"/>
    <col min="22" max="22" width="5.85546875" style="60" bestFit="1" customWidth="1"/>
    <col min="23" max="23" width="9.42578125" style="60" bestFit="1" customWidth="1"/>
    <col min="24" max="24" width="9.5703125" style="60" bestFit="1" customWidth="1"/>
    <col min="25" max="25" width="9.28515625" style="60" bestFit="1" customWidth="1"/>
    <col min="26" max="28" width="17" style="60"/>
    <col min="29" max="29" width="7.85546875" style="60" bestFit="1" customWidth="1"/>
    <col min="30" max="30" width="42.85546875" style="60" bestFit="1" customWidth="1"/>
    <col min="31" max="31" width="10" style="60" bestFit="1" customWidth="1"/>
    <col min="32" max="32" width="15.28515625" style="60" bestFit="1" customWidth="1"/>
    <col min="33" max="33" width="10" style="60" bestFit="1" customWidth="1"/>
    <col min="34" max="34" width="11" style="60" bestFit="1" customWidth="1"/>
    <col min="35" max="35" width="10.7109375" style="60" bestFit="1" customWidth="1"/>
    <col min="36" max="36" width="11" style="60" bestFit="1" customWidth="1"/>
    <col min="37" max="37" width="12" style="60" bestFit="1" customWidth="1"/>
    <col min="38" max="38" width="10.28515625" style="60" bestFit="1" customWidth="1"/>
    <col min="39" max="39" width="17" style="60"/>
    <col min="40" max="40" width="7.5703125" style="60" bestFit="1" customWidth="1"/>
    <col min="41" max="41" width="10.42578125" style="60" bestFit="1" customWidth="1"/>
    <col min="42" max="42" width="10" style="60" bestFit="1" customWidth="1"/>
    <col min="43" max="43" width="16.140625" style="60" bestFit="1" customWidth="1"/>
    <col min="44" max="44" width="16.85546875" style="60" bestFit="1" customWidth="1"/>
    <col min="45" max="45" width="11.5703125" style="60" bestFit="1" customWidth="1"/>
    <col min="46" max="46" width="10.42578125" style="60" bestFit="1" customWidth="1"/>
    <col min="47" max="16384" width="17" style="60"/>
  </cols>
  <sheetData>
    <row r="1" ht="30" customHeight="1">
      <c r="A1" s="63" t="inlineStr">
        <is>
          <t xml:space="preserve">ACC.NO</t>
        </is>
      </c>
      <c r="B1" s="63" t="inlineStr">
        <is>
          <t xml:space="preserve">NAMES</t>
        </is>
      </c>
      <c r="C1" s="63" t="inlineStr">
        <is>
          <t xml:space="preserve">O/N</t>
        </is>
      </c>
      <c r="D1" s="63" t="inlineStr">
        <is>
          <t xml:space="preserve">CYC</t>
        </is>
      </c>
      <c r="E1" s="64" t="inlineStr">
        <is>
          <t xml:space="preserve">MOBILE</t>
        </is>
      </c>
      <c r="F1" s="64" t="inlineStr">
        <is>
          <t xml:space="preserve">BLOCK</t>
        </is>
      </c>
      <c r="G1" s="64" t="inlineStr">
        <is>
          <t xml:space="preserve">EXCESS LIMIT</t>
        </is>
      </c>
      <c r="H1" s="64" t="inlineStr">
        <is>
          <t xml:space="preserve">CREDIT</t>
        </is>
      </c>
      <c r="I1" s="64" t="inlineStr">
        <is>
          <t xml:space="preserve">ENR</t>
        </is>
      </c>
      <c r="J1" s="64" t="inlineStr">
        <is>
          <t xml:space="preserve">EMI 0/S</t>
        </is>
      </c>
      <c r="K1" s="64" t="inlineStr">
        <is>
          <t xml:space="preserve">CURR_BAL</t>
        </is>
      </c>
      <c r="L1" s="64" t="inlineStr">
        <is>
          <t xml:space="preserve">PRI</t>
        </is>
      </c>
      <c r="M1" s="64" t="inlineStr">
        <is>
          <t xml:space="preserve">NORM</t>
        </is>
      </c>
      <c r="N1" s="64" t="inlineStr">
        <is>
          <t xml:space="preserve">STAB</t>
        </is>
      </c>
      <c r="O1" s="64" t="inlineStr">
        <is>
          <t xml:space="preserve">PAID/UNPAID</t>
        </is>
      </c>
      <c r="P1" s="64" t="inlineStr">
        <is>
          <t xml:space="preserve">STATUS</t>
        </is>
      </c>
      <c r="Q1" s="64" t="inlineStr">
        <is>
          <t xml:space="preserve">AMOUNT</t>
        </is>
      </c>
      <c r="R1" s="64" t="inlineStr">
        <is>
          <t xml:space="preserve">PENDING</t>
        </is>
      </c>
      <c r="S1" s="64" t="inlineStr">
        <is>
          <t xml:space="preserve">DATE</t>
        </is>
      </c>
      <c r="T1" s="64" t="inlineStr">
        <is>
          <t xml:space="preserve">DONE BY</t>
        </is>
      </c>
      <c r="U1" s="64" t="inlineStr">
        <is>
          <t xml:space="preserve">MODE</t>
        </is>
      </c>
      <c r="V1" s="64" t="inlineStr">
        <is>
          <t xml:space="preserve">TL ID</t>
        </is>
      </c>
      <c r="W1" s="64" t="inlineStr">
        <is>
          <t xml:space="preserve">CALLER</t>
        </is>
      </c>
      <c r="X1" s="64" t="inlineStr">
        <is>
          <t xml:space="preserve">CALLER ID</t>
        </is>
      </c>
      <c r="Y1" s="64" t="inlineStr">
        <is>
          <t xml:space="preserve">CAT ALLO</t>
        </is>
      </c>
      <c r="Z1" s="64" t="inlineStr">
        <is>
          <t xml:space="preserve">ADD 1</t>
        </is>
      </c>
      <c r="AA1" s="64" t="inlineStr">
        <is>
          <t xml:space="preserve">ADD 2</t>
        </is>
      </c>
      <c r="AB1" s="64" t="inlineStr">
        <is>
          <t xml:space="preserve">LOCATION</t>
        </is>
      </c>
      <c r="AC1" s="64" t="inlineStr">
        <is>
          <t xml:space="preserve">AREA</t>
        </is>
      </c>
      <c r="AD1" s="64" t="inlineStr">
        <is>
          <t xml:space="preserve">FOS NAME</t>
        </is>
      </c>
      <c r="AE1" s="64" t="inlineStr">
        <is>
          <t xml:space="preserve">FOS ID</t>
        </is>
      </c>
      <c r="AF1" s="64" t="inlineStr">
        <is>
          <t xml:space="preserve">MARC</t>
        </is>
      </c>
      <c r="AG1" s="64" t="inlineStr">
        <is>
          <t xml:space="preserve">MARC ID</t>
        </is>
      </c>
      <c r="AH1" s="64" t="inlineStr">
        <is>
          <t xml:space="preserve">MARC PW</t>
        </is>
      </c>
      <c r="AI1" s="64" t="inlineStr">
        <is>
          <t xml:space="preserve">IQ UPLOAD</t>
        </is>
      </c>
      <c r="AJ1" s="64" t="inlineStr">
        <is>
          <t xml:space="preserve">TC REMARK</t>
        </is>
      </c>
      <c r="AK1" s="64" t="inlineStr">
        <is>
          <t xml:space="preserve">VISITS</t>
        </is>
      </c>
      <c r="AL1" s="64" t="inlineStr">
        <is>
          <t xml:space="preserve">FOS DISPO</t>
        </is>
      </c>
      <c r="AM1" s="64" t="inlineStr">
        <is>
          <t xml:space="preserve">REMARKS</t>
        </is>
      </c>
      <c r="AN1" s="64" t="inlineStr">
        <is>
          <t xml:space="preserve">V DATE</t>
        </is>
      </c>
      <c r="AO1" s="64" t="inlineStr">
        <is>
          <t xml:space="preserve">LAST PAYMENT DATE</t>
        </is>
      </c>
      <c r="AP1" s="64" t="inlineStr">
        <is>
          <t xml:space="preserve">LAST PAYMENT AMOUNT</t>
        </is>
      </c>
      <c r="AQ1" s="64" t="inlineStr">
        <is>
          <t xml:space="preserve">UCIC DODE</t>
        </is>
      </c>
      <c r="AR1" s="64" t="inlineStr">
        <is>
          <t xml:space="preserve">CARD TYPE</t>
        </is>
      </c>
      <c r="AS1" s="64" t="inlineStr">
        <is>
          <t xml:space="preserve">ALLOC DATE</t>
        </is>
      </c>
      <c r="AT1" s="64" t="inlineStr">
        <is>
          <t xml:space="preserve">DueDate</t>
        </is>
      </c>
    </row>
    <row r="2">
      <c r="A2" s="82" t="inlineStr">
        <is>
          <t xml:space="preserve">AC0</t>
        </is>
      </c>
      <c r="B2" s="82" t="inlineStr">
        <is>
          <t xml:space="preserve">Cust 0</t>
        </is>
      </c>
      <c r="C2" s="82"/>
      <c r="D2" s="84">
        <v>12</v>
      </c>
      <c r="E2" s="82" t="inlineStr">
        <is>
          <t xml:space="preserve">900</t>
        </is>
      </c>
      <c r="F2" s="82"/>
      <c r="G2" s="86"/>
      <c r="H2" s="86"/>
      <c r="I2" s="86">
        <v>522140.0</v>
      </c>
      <c r="J2" s="86">
        <v>1200.5</v>
      </c>
      <c r="K2" s="86">
        <v>0.0</v>
      </c>
      <c r="L2" s="86">
        <v>0.0</v>
      </c>
      <c r="M2" s="86">
        <v>9000.0</v>
      </c>
      <c r="N2" s="86">
        <v>5000.0</v>
      </c>
      <c r="O2" s="89" t="inlineStr">
        <is>
          <t xml:space="preserve">UNPAID</t>
        </is>
      </c>
      <c r="P2" s="82" t="inlineStr">
        <is>
          <t xml:space="preserve">RF</t>
        </is>
      </c>
      <c r="Q2" s="86">
        <v>0.0</v>
      </c>
      <c r="R2" s="86">
        <v>0.0</v>
      </c>
      <c r="S2" s="82"/>
      <c r="T2" s="82"/>
      <c r="U2" s="82"/>
      <c r="V2" s="82" t="inlineStr">
        <is>
          <t xml:space="preserve">NAGALLA</t>
        </is>
      </c>
      <c r="W2" s="82" t="inlineStr">
        <is>
          <t xml:space="preserve">DEVI (TC116) / 9000011111</t>
        </is>
      </c>
      <c r="X2" s="82" t="inlineStr">
        <is>
          <t xml:space="preserve">TC116</t>
        </is>
      </c>
      <c r="Y2" s="82" t="inlineStr">
        <is>
          <t xml:space="preserve">CAT J</t>
        </is>
      </c>
      <c r="Z2" s="82"/>
      <c r="AA2" s="82"/>
      <c r="AB2" s="82" t="inlineStr">
        <is>
          <t xml:space="preserve">VIZAG</t>
        </is>
      </c>
      <c r="AC2" s="82" t="inlineStr">
        <is>
          <t xml:space="preserve">KDP</t>
        </is>
      </c>
      <c r="AD2" s="82" t="inlineStr">
        <is>
          <t xml:space="preserve">NO FOS</t>
        </is>
      </c>
      <c r="AE2" s="82"/>
      <c r="AF2" s="82"/>
      <c r="AG2" s="82"/>
      <c r="AH2" s="82"/>
      <c r="AI2" s="82"/>
      <c r="AJ2" s="82"/>
      <c r="AK2" s="82" t="inlineStr">
        <is>
          <t xml:space="preserve">VISITED</t>
        </is>
      </c>
      <c r="AL2" s="82" t="inlineStr">
        <is>
          <t xml:space="preserve">LIVE</t>
        </is>
      </c>
      <c r="AM2" s="82"/>
      <c r="AN2" s="82" t="inlineStr">
        <is>
          <t xml:space="preserve">31-10-2026</t>
        </is>
      </c>
      <c r="AO2" s="82"/>
      <c r="AP2" s="86"/>
      <c r="AQ2" s="82"/>
      <c r="AR2" s="82" t="inlineStr">
        <is>
          <t xml:space="preserve">Coral Card</t>
        </is>
      </c>
      <c r="AS2" s="82"/>
      <c r="AT2" s="82"/>
    </row>
    <row r="3">
      <c r="A3" s="83" t="inlineStr">
        <is>
          <t xml:space="preserve">AC15</t>
        </is>
      </c>
      <c r="B3" s="83" t="inlineStr">
        <is>
          <t xml:space="preserve">Cust 15</t>
        </is>
      </c>
      <c r="C3" s="83"/>
      <c r="D3" s="85">
        <v>21</v>
      </c>
      <c r="E3" s="83" t="inlineStr">
        <is>
          <t xml:space="preserve">900</t>
        </is>
      </c>
      <c r="F3" s="83"/>
      <c r="G3" s="87"/>
      <c r="H3" s="87"/>
      <c r="I3" s="87">
        <v>125884.0</v>
      </c>
      <c r="J3" s="87">
        <v>1200.5</v>
      </c>
      <c r="K3" s="87">
        <v>0.0</v>
      </c>
      <c r="L3" s="87">
        <v>0.0</v>
      </c>
      <c r="M3" s="87">
        <v>9000.0</v>
      </c>
      <c r="N3" s="87">
        <v>5000.0</v>
      </c>
      <c r="O3" s="89" t="inlineStr">
        <is>
          <t xml:space="preserve">UNPAID</t>
        </is>
      </c>
      <c r="P3" s="83" t="inlineStr">
        <is>
          <t xml:space="preserve">RF</t>
        </is>
      </c>
      <c r="Q3" s="87">
        <v>0.0</v>
      </c>
      <c r="R3" s="87">
        <v>0.0</v>
      </c>
      <c r="S3" s="83" t="inlineStr">
        <is>
          <t xml:space="preserve">31-10-2026</t>
        </is>
      </c>
      <c r="T3" s="83" t="inlineStr">
        <is>
          <t xml:space="preserve">FE</t>
        </is>
      </c>
      <c r="U3" s="83"/>
      <c r="V3" s="83" t="inlineStr">
        <is>
          <t xml:space="preserve">NAGALLA</t>
        </is>
      </c>
      <c r="W3" s="83" t="inlineStr">
        <is>
          <t xml:space="preserve">DEVI (TC116) / 9000011111</t>
        </is>
      </c>
      <c r="X3" s="83" t="inlineStr">
        <is>
          <t xml:space="preserve">TC116</t>
        </is>
      </c>
      <c r="Y3" s="83" t="inlineStr">
        <is>
          <t xml:space="preserve">CAT J</t>
        </is>
      </c>
      <c r="Z3" s="83"/>
      <c r="AA3" s="83"/>
      <c r="AB3" s="83" t="inlineStr">
        <is>
          <t xml:space="preserve">VIZAG</t>
        </is>
      </c>
      <c r="AC3" s="83" t="inlineStr">
        <is>
          <t xml:space="preserve">KDP</t>
        </is>
      </c>
      <c r="AD3" s="83" t="inlineStr">
        <is>
          <t xml:space="preserve">NO FOS</t>
        </is>
      </c>
      <c r="AE3" s="83"/>
      <c r="AF3" s="83"/>
      <c r="AG3" s="83"/>
      <c r="AH3" s="83"/>
      <c r="AI3" s="83"/>
      <c r="AJ3" s="83"/>
      <c r="AK3" s="83" t="inlineStr">
        <is>
          <t xml:space="preserve">VISITED</t>
        </is>
      </c>
      <c r="AL3" s="83" t="inlineStr">
        <is>
          <t xml:space="preserve">LIVE</t>
        </is>
      </c>
      <c r="AM3" s="83"/>
      <c r="AN3" s="83" t="inlineStr">
        <is>
          <t xml:space="preserve">31-10-2026</t>
        </is>
      </c>
      <c r="AO3" s="83"/>
      <c r="AP3" s="87"/>
      <c r="AQ3" s="83"/>
      <c r="AR3" s="83" t="inlineStr">
        <is>
          <t xml:space="preserve">Coral Card</t>
        </is>
      </c>
      <c r="AS3" s="83"/>
      <c r="AT3" s="83"/>
    </row>
    <row r="4">
      <c r="A4" s="82" t="inlineStr">
        <is>
          <t xml:space="preserve">AC30</t>
        </is>
      </c>
      <c r="B4" s="82" t="inlineStr">
        <is>
          <t xml:space="preserve">Cust 30</t>
        </is>
      </c>
      <c r="C4" s="82"/>
      <c r="D4" s="84">
        <v>12</v>
      </c>
      <c r="E4" s="82" t="inlineStr">
        <is>
          <t xml:space="preserve">900</t>
        </is>
      </c>
      <c r="F4" s="82"/>
      <c r="G4" s="86"/>
      <c r="H4" s="86"/>
      <c r="I4" s="86">
        <v>461682.0</v>
      </c>
      <c r="J4" s="86">
        <v>1200.5</v>
      </c>
      <c r="K4" s="86">
        <v>0.0</v>
      </c>
      <c r="L4" s="86">
        <v>0.0</v>
      </c>
      <c r="M4" s="86">
        <v>9000.0</v>
      </c>
      <c r="N4" s="86">
        <v>5000.0</v>
      </c>
      <c r="O4" s="89" t="inlineStr">
        <is>
          <t xml:space="preserve">UNPAID</t>
        </is>
      </c>
      <c r="P4" s="82" t="inlineStr">
        <is>
          <t xml:space="preserve">RF</t>
        </is>
      </c>
      <c r="Q4" s="86">
        <v>2000.0</v>
      </c>
      <c r="R4" s="86">
        <v>0.0</v>
      </c>
      <c r="S4" s="82"/>
      <c r="T4" s="82"/>
      <c r="U4" s="82"/>
      <c r="V4" s="82" t="inlineStr">
        <is>
          <t xml:space="preserve">OTHER</t>
        </is>
      </c>
      <c r="W4" s="82" t="inlineStr">
        <is>
          <t xml:space="preserve">DEVI (TC116) / 9000011111</t>
        </is>
      </c>
      <c r="X4" s="82" t="inlineStr">
        <is>
          <t xml:space="preserve">TC116</t>
        </is>
      </c>
      <c r="Y4" s="82" t="inlineStr">
        <is>
          <t xml:space="preserve">CAT J</t>
        </is>
      </c>
      <c r="Z4" s="82"/>
      <c r="AA4" s="82"/>
      <c r="AB4" s="82" t="inlineStr">
        <is>
          <t xml:space="preserve">VIZAG</t>
        </is>
      </c>
      <c r="AC4" s="82" t="inlineStr">
        <is>
          <t xml:space="preserve">TS</t>
        </is>
      </c>
      <c r="AD4" s="82" t="inlineStr">
        <is>
          <t xml:space="preserve">NO FOS</t>
        </is>
      </c>
      <c r="AE4" s="82"/>
      <c r="AF4" s="82"/>
      <c r="AG4" s="82"/>
      <c r="AH4" s="82"/>
      <c r="AI4" s="82"/>
      <c r="AJ4" s="82"/>
      <c r="AK4" s="82" t="inlineStr">
        <is>
          <t xml:space="preserve">NOT VISITED</t>
        </is>
      </c>
      <c r="AL4" s="82"/>
      <c r="AM4" s="82"/>
      <c r="AN4" s="82"/>
      <c r="AO4" s="82"/>
      <c r="AP4" s="86"/>
      <c r="AQ4" s="82"/>
      <c r="AR4" s="82" t="inlineStr">
        <is>
          <t xml:space="preserve">Coral Card</t>
        </is>
      </c>
      <c r="AS4" s="82"/>
      <c r="AT4" s="82"/>
    </row>
    <row r="5">
      <c r="A5" s="83" t="inlineStr">
        <is>
          <t xml:space="preserve">AC45</t>
        </is>
      </c>
      <c r="B5" s="83" t="inlineStr">
        <is>
          <t xml:space="preserve">Cust 45</t>
        </is>
      </c>
      <c r="C5" s="83"/>
      <c r="D5" s="85">
        <v>2</v>
      </c>
      <c r="E5" s="83" t="inlineStr">
        <is>
          <t xml:space="preserve">900</t>
        </is>
      </c>
      <c r="F5" s="83"/>
      <c r="G5" s="87"/>
      <c r="H5" s="87"/>
      <c r="I5" s="87">
        <v>878185.0</v>
      </c>
      <c r="J5" s="87">
        <v>1200.5</v>
      </c>
      <c r="K5" s="87">
        <v>0.0</v>
      </c>
      <c r="L5" s="87">
        <v>0.0</v>
      </c>
      <c r="M5" s="87">
        <v>9000.0</v>
      </c>
      <c r="N5" s="87">
        <v>5000.0</v>
      </c>
      <c r="O5" s="88" t="inlineStr">
        <is>
          <t xml:space="preserve">PAID</t>
        </is>
      </c>
      <c r="P5" s="83" t="inlineStr">
        <is>
          <t xml:space="preserve">NORM</t>
        </is>
      </c>
      <c r="Q5" s="87">
        <v>9000.0</v>
      </c>
      <c r="R5" s="87">
        <v>0.0</v>
      </c>
      <c r="S5" s="83"/>
      <c r="T5" s="83"/>
      <c r="U5" s="83"/>
      <c r="V5" s="83" t="inlineStr">
        <is>
          <t xml:space="preserve">OTHER</t>
        </is>
      </c>
      <c r="W5" s="83" t="inlineStr">
        <is>
          <t xml:space="preserve">DEVI (TC116) / 9000011111</t>
        </is>
      </c>
      <c r="X5" s="83" t="inlineStr">
        <is>
          <t xml:space="preserve">TC116</t>
        </is>
      </c>
      <c r="Y5" s="83" t="inlineStr">
        <is>
          <t xml:space="preserve">CAT J</t>
        </is>
      </c>
      <c r="Z5" s="83"/>
      <c r="AA5" s="83"/>
      <c r="AB5" s="83" t="inlineStr">
        <is>
          <t xml:space="preserve">VIZAG</t>
        </is>
      </c>
      <c r="AC5" s="83" t="inlineStr">
        <is>
          <t xml:space="preserve">KDP</t>
        </is>
      </c>
      <c r="AD5" s="83" t="inlineStr">
        <is>
          <t xml:space="preserve">NO FOS</t>
        </is>
      </c>
      <c r="AE5" s="83"/>
      <c r="AF5" s="83"/>
      <c r="AG5" s="83"/>
      <c r="AH5" s="83"/>
      <c r="AI5" s="83"/>
      <c r="AJ5" s="83"/>
      <c r="AK5" s="83" t="inlineStr">
        <is>
          <t xml:space="preserve">NOT VISITED</t>
        </is>
      </c>
      <c r="AL5" s="83"/>
      <c r="AM5" s="83"/>
      <c r="AN5" s="83"/>
      <c r="AO5" s="83"/>
      <c r="AP5" s="87"/>
      <c r="AQ5" s="83"/>
      <c r="AR5" s="83" t="inlineStr">
        <is>
          <t xml:space="preserve">Coral Card</t>
        </is>
      </c>
      <c r="AS5" s="83"/>
      <c r="AT5" s="83"/>
    </row>
    <row r="6">
      <c r="A6" s="82" t="inlineStr">
        <is>
          <t xml:space="preserve">AC1</t>
        </is>
      </c>
      <c r="B6" s="82" t="inlineStr">
        <is>
          <t xml:space="preserve">Cust 1</t>
        </is>
      </c>
      <c r="C6" s="82"/>
      <c r="D6" s="84">
        <v>2</v>
      </c>
      <c r="E6" s="82" t="inlineStr">
        <is>
          <t xml:space="preserve">900</t>
        </is>
      </c>
      <c r="F6" s="82"/>
      <c r="G6" s="86"/>
      <c r="H6" s="86"/>
      <c r="I6" s="86">
        <v>441098.0</v>
      </c>
      <c r="J6" s="86">
        <v>1200.5</v>
      </c>
      <c r="K6" s="86">
        <v>0.0</v>
      </c>
      <c r="L6" s="86">
        <v>0.0</v>
      </c>
      <c r="M6" s="86">
        <v>9000.0</v>
      </c>
      <c r="N6" s="86">
        <v>5000.0</v>
      </c>
      <c r="O6" s="89" t="inlineStr">
        <is>
          <t xml:space="preserve">UNPAID</t>
        </is>
      </c>
      <c r="P6" s="82" t="inlineStr">
        <is>
          <t xml:space="preserve">RF</t>
        </is>
      </c>
      <c r="Q6" s="86">
        <v>0.0</v>
      </c>
      <c r="R6" s="86">
        <v>0.0</v>
      </c>
      <c r="S6" s="82"/>
      <c r="T6" s="82"/>
      <c r="U6" s="82"/>
      <c r="V6" s="82" t="inlineStr">
        <is>
          <t xml:space="preserve">NAGALLA</t>
        </is>
      </c>
      <c r="W6" s="82" t="inlineStr">
        <is>
          <t xml:space="preserve">DEVI (TC116) / 9000011111</t>
        </is>
      </c>
      <c r="X6" s="82" t="inlineStr">
        <is>
          <t xml:space="preserve">TC116</t>
        </is>
      </c>
      <c r="Y6" s="82" t="inlineStr">
        <is>
          <t xml:space="preserve">CAT J</t>
        </is>
      </c>
      <c r="Z6" s="82"/>
      <c r="AA6" s="82"/>
      <c r="AB6" s="82" t="inlineStr">
        <is>
          <t xml:space="preserve">VIZAG</t>
        </is>
      </c>
      <c r="AC6" s="82" t="inlineStr">
        <is>
          <t xml:space="preserve">TS</t>
        </is>
      </c>
      <c r="AD6" s="82" t="inlineStr">
        <is>
          <t xml:space="preserve">RAVI KUMAR (FO047) / VSP / 9876543210</t>
        </is>
      </c>
      <c r="AE6" s="82" t="inlineStr">
        <is>
          <t xml:space="preserve">FO047</t>
        </is>
      </c>
      <c r="AF6" s="82"/>
      <c r="AG6" s="82"/>
      <c r="AH6" s="82"/>
      <c r="AI6" s="82"/>
      <c r="AJ6" s="82"/>
      <c r="AK6" s="82" t="inlineStr">
        <is>
          <t xml:space="preserve">VISITED</t>
        </is>
      </c>
      <c r="AL6" s="82" t="inlineStr">
        <is>
          <t xml:space="preserve">LIVE</t>
        </is>
      </c>
      <c r="AM6" s="82"/>
      <c r="AN6" s="82" t="inlineStr">
        <is>
          <t xml:space="preserve">31-10-2026</t>
        </is>
      </c>
      <c r="AO6" s="82"/>
      <c r="AP6" s="86"/>
      <c r="AQ6" s="82"/>
      <c r="AR6" s="82" t="inlineStr">
        <is>
          <t xml:space="preserve">Coral Card</t>
        </is>
      </c>
      <c r="AS6" s="82"/>
      <c r="AT6" s="82"/>
    </row>
    <row r="7">
      <c r="A7" s="83" t="inlineStr">
        <is>
          <t xml:space="preserve">AC10</t>
        </is>
      </c>
      <c r="B7" s="83" t="inlineStr">
        <is>
          <t xml:space="preserve">Cust 10</t>
        </is>
      </c>
      <c r="C7" s="83"/>
      <c r="D7" s="85">
        <v>2</v>
      </c>
      <c r="E7" s="83" t="inlineStr">
        <is>
          <t xml:space="preserve">900</t>
        </is>
      </c>
      <c r="F7" s="83"/>
      <c r="G7" s="87"/>
      <c r="H7" s="87"/>
      <c r="I7" s="87">
        <v>292268.0</v>
      </c>
      <c r="J7" s="87">
        <v>1200.5</v>
      </c>
      <c r="K7" s="87">
        <v>0.0</v>
      </c>
      <c r="L7" s="87">
        <v>0.0</v>
      </c>
      <c r="M7" s="87">
        <v>9000.0</v>
      </c>
      <c r="N7" s="87">
        <v>5000.0</v>
      </c>
      <c r="O7" s="89" t="inlineStr">
        <is>
          <t xml:space="preserve">UNPAID</t>
        </is>
      </c>
      <c r="P7" s="83" t="inlineStr">
        <is>
          <t xml:space="preserve">RF</t>
        </is>
      </c>
      <c r="Q7" s="87">
        <v>2000.0</v>
      </c>
      <c r="R7" s="87">
        <v>0.0</v>
      </c>
      <c r="S7" s="83"/>
      <c r="T7" s="83"/>
      <c r="U7" s="83"/>
      <c r="V7" s="83" t="inlineStr">
        <is>
          <t xml:space="preserve">NAGALLA</t>
        </is>
      </c>
      <c r="W7" s="83" t="inlineStr">
        <is>
          <t xml:space="preserve">DEVI (TC116) / 9000011111</t>
        </is>
      </c>
      <c r="X7" s="83" t="inlineStr">
        <is>
          <t xml:space="preserve">TC116</t>
        </is>
      </c>
      <c r="Y7" s="83" t="inlineStr">
        <is>
          <t xml:space="preserve">CAT J</t>
        </is>
      </c>
      <c r="Z7" s="83"/>
      <c r="AA7" s="83"/>
      <c r="AB7" s="83" t="inlineStr">
        <is>
          <t xml:space="preserve">VIZAG</t>
        </is>
      </c>
      <c r="AC7" s="83" t="inlineStr">
        <is>
          <t xml:space="preserve">KDP</t>
        </is>
      </c>
      <c r="AD7" s="83" t="inlineStr">
        <is>
          <t xml:space="preserve">RAVI KUMAR (FO047) / VSP / 9876543210</t>
        </is>
      </c>
      <c r="AE7" s="83" t="inlineStr">
        <is>
          <t xml:space="preserve">FO047</t>
        </is>
      </c>
      <c r="AF7" s="83"/>
      <c r="AG7" s="83"/>
      <c r="AH7" s="83"/>
      <c r="AI7" s="83"/>
      <c r="AJ7" s="83"/>
      <c r="AK7" s="83" t="inlineStr">
        <is>
          <t xml:space="preserve">VISITED</t>
        </is>
      </c>
      <c r="AL7" s="83" t="inlineStr">
        <is>
          <t xml:space="preserve">LIVE</t>
        </is>
      </c>
      <c r="AM7" s="83"/>
      <c r="AN7" s="83" t="inlineStr">
        <is>
          <t xml:space="preserve">31-10-2026</t>
        </is>
      </c>
      <c r="AO7" s="83"/>
      <c r="AP7" s="87"/>
      <c r="AQ7" s="83"/>
      <c r="AR7" s="83" t="inlineStr">
        <is>
          <t xml:space="preserve">Coral Card</t>
        </is>
      </c>
      <c r="AS7" s="83"/>
      <c r="AT7" s="83"/>
    </row>
    <row r="8">
      <c r="A8" s="82" t="inlineStr">
        <is>
          <t xml:space="preserve">AC11</t>
        </is>
      </c>
      <c r="B8" s="82" t="inlineStr">
        <is>
          <t xml:space="preserve">Cust 11</t>
        </is>
      </c>
      <c r="C8" s="82"/>
      <c r="D8" s="84">
        <v>2</v>
      </c>
      <c r="E8" s="82" t="inlineStr">
        <is>
          <t xml:space="preserve">900</t>
        </is>
      </c>
      <c r="F8" s="82"/>
      <c r="G8" s="86"/>
      <c r="H8" s="86"/>
      <c r="I8" s="86">
        <v>676776.0</v>
      </c>
      <c r="J8" s="86">
        <v>1200.5</v>
      </c>
      <c r="K8" s="86">
        <v>0.0</v>
      </c>
      <c r="L8" s="86">
        <v>0.0</v>
      </c>
      <c r="M8" s="86">
        <v>9000.0</v>
      </c>
      <c r="N8" s="86">
        <v>5000.0</v>
      </c>
      <c r="O8" s="88" t="inlineStr">
        <is>
          <t xml:space="preserve">PAID</t>
        </is>
      </c>
      <c r="P8" s="82" t="inlineStr">
        <is>
          <t xml:space="preserve">NORM</t>
        </is>
      </c>
      <c r="Q8" s="86">
        <v>9000.0</v>
      </c>
      <c r="R8" s="86">
        <v>0.0</v>
      </c>
      <c r="S8" s="82" t="inlineStr">
        <is>
          <t xml:space="preserve">31-10-2026</t>
        </is>
      </c>
      <c r="T8" s="82" t="inlineStr">
        <is>
          <t xml:space="preserve">FE</t>
        </is>
      </c>
      <c r="U8" s="82"/>
      <c r="V8" s="82" t="inlineStr">
        <is>
          <t xml:space="preserve">NAGALLA</t>
        </is>
      </c>
      <c r="W8" s="82" t="inlineStr">
        <is>
          <t xml:space="preserve">DEVI (TC116) / 9000011111</t>
        </is>
      </c>
      <c r="X8" s="82" t="inlineStr">
        <is>
          <t xml:space="preserve">TC116</t>
        </is>
      </c>
      <c r="Y8" s="82" t="inlineStr">
        <is>
          <t xml:space="preserve">CAT J</t>
        </is>
      </c>
      <c r="Z8" s="82"/>
      <c r="AA8" s="82"/>
      <c r="AB8" s="82" t="inlineStr">
        <is>
          <t xml:space="preserve">VIZAG</t>
        </is>
      </c>
      <c r="AC8" s="82" t="inlineStr">
        <is>
          <t xml:space="preserve">KDP</t>
        </is>
      </c>
      <c r="AD8" s="82" t="inlineStr">
        <is>
          <t xml:space="preserve">RAVI KUMAR (FO047) / VSP / 9876543210</t>
        </is>
      </c>
      <c r="AE8" s="82" t="inlineStr">
        <is>
          <t xml:space="preserve">FO047</t>
        </is>
      </c>
      <c r="AF8" s="82"/>
      <c r="AG8" s="82"/>
      <c r="AH8" s="82"/>
      <c r="AI8" s="82"/>
      <c r="AJ8" s="82"/>
      <c r="AK8" s="82" t="inlineStr">
        <is>
          <t xml:space="preserve">VISITED</t>
        </is>
      </c>
      <c r="AL8" s="82" t="inlineStr">
        <is>
          <t xml:space="preserve">LIVE</t>
        </is>
      </c>
      <c r="AM8" s="82"/>
      <c r="AN8" s="82" t="inlineStr">
        <is>
          <t xml:space="preserve">31-10-2026</t>
        </is>
      </c>
      <c r="AO8" s="82"/>
      <c r="AP8" s="86"/>
      <c r="AQ8" s="82"/>
      <c r="AR8" s="82" t="inlineStr">
        <is>
          <t xml:space="preserve">Coral Card</t>
        </is>
      </c>
      <c r="AS8" s="82"/>
      <c r="AT8" s="82"/>
    </row>
    <row r="9">
      <c r="A9" s="83" t="inlineStr">
        <is>
          <t xml:space="preserve">AC13</t>
        </is>
      </c>
      <c r="B9" s="83" t="inlineStr">
        <is>
          <t xml:space="preserve">Cust 13</t>
        </is>
      </c>
      <c r="C9" s="83"/>
      <c r="D9" s="85">
        <v>2</v>
      </c>
      <c r="E9" s="83" t="inlineStr">
        <is>
          <t xml:space="preserve">900</t>
        </is>
      </c>
      <c r="F9" s="83"/>
      <c r="G9" s="87"/>
      <c r="H9" s="87"/>
      <c r="I9" s="87">
        <v>685865.0</v>
      </c>
      <c r="J9" s="87">
        <v>1200.5</v>
      </c>
      <c r="K9" s="87">
        <v>0.0</v>
      </c>
      <c r="L9" s="87">
        <v>0.0</v>
      </c>
      <c r="M9" s="87">
        <v>9000.0</v>
      </c>
      <c r="N9" s="87">
        <v>5000.0</v>
      </c>
      <c r="O9" s="89" t="inlineStr">
        <is>
          <t xml:space="preserve">UNPAID</t>
        </is>
      </c>
      <c r="P9" s="83" t="inlineStr">
        <is>
          <t xml:space="preserve">RF</t>
        </is>
      </c>
      <c r="Q9" s="87">
        <v>0.0</v>
      </c>
      <c r="R9" s="87">
        <v>0.0</v>
      </c>
      <c r="S9" s="83"/>
      <c r="T9" s="83"/>
      <c r="U9" s="83"/>
      <c r="V9" s="83" t="inlineStr">
        <is>
          <t xml:space="preserve">NAGALLA</t>
        </is>
      </c>
      <c r="W9" s="83" t="inlineStr">
        <is>
          <t xml:space="preserve">DEVI (TC116) / 9000011111</t>
        </is>
      </c>
      <c r="X9" s="83" t="inlineStr">
        <is>
          <t xml:space="preserve">TC116</t>
        </is>
      </c>
      <c r="Y9" s="83" t="inlineStr">
        <is>
          <t xml:space="preserve">CAT I</t>
        </is>
      </c>
      <c r="Z9" s="83"/>
      <c r="AA9" s="83"/>
      <c r="AB9" s="83" t="inlineStr">
        <is>
          <t xml:space="preserve">VIZAG</t>
        </is>
      </c>
      <c r="AC9" s="83" t="inlineStr">
        <is>
          <t xml:space="preserve">TS</t>
        </is>
      </c>
      <c r="AD9" s="83" t="inlineStr">
        <is>
          <t xml:space="preserve">RAVI KUMAR (FO047) / VSP / 9876543210</t>
        </is>
      </c>
      <c r="AE9" s="83" t="inlineStr">
        <is>
          <t xml:space="preserve">FO047</t>
        </is>
      </c>
      <c r="AF9" s="83"/>
      <c r="AG9" s="83"/>
      <c r="AH9" s="83"/>
      <c r="AI9" s="83"/>
      <c r="AJ9" s="83"/>
      <c r="AK9" s="83" t="inlineStr">
        <is>
          <t xml:space="preserve">VISITED</t>
        </is>
      </c>
      <c r="AL9" s="83" t="inlineStr">
        <is>
          <t xml:space="preserve">LIVE</t>
        </is>
      </c>
      <c r="AM9" s="83"/>
      <c r="AN9" s="83" t="inlineStr">
        <is>
          <t xml:space="preserve">31-10-2026</t>
        </is>
      </c>
      <c r="AO9" s="83"/>
      <c r="AP9" s="87"/>
      <c r="AQ9" s="83"/>
      <c r="AR9" s="83" t="inlineStr">
        <is>
          <t xml:space="preserve">Coral Card</t>
        </is>
      </c>
      <c r="AS9" s="83"/>
      <c r="AT9" s="83"/>
    </row>
    <row r="10">
      <c r="A10" s="82" t="inlineStr">
        <is>
          <t xml:space="preserve">AC14</t>
        </is>
      </c>
      <c r="B10" s="82" t="inlineStr">
        <is>
          <t xml:space="preserve">Cust 14</t>
        </is>
      </c>
      <c r="C10" s="82"/>
      <c r="D10" s="84">
        <v>12</v>
      </c>
      <c r="E10" s="82" t="inlineStr">
        <is>
          <t xml:space="preserve">900</t>
        </is>
      </c>
      <c r="F10" s="82"/>
      <c r="G10" s="86"/>
      <c r="H10" s="86"/>
      <c r="I10" s="86">
        <v>477099.0</v>
      </c>
      <c r="J10" s="86">
        <v>1200.5</v>
      </c>
      <c r="K10" s="86">
        <v>0.0</v>
      </c>
      <c r="L10" s="86">
        <v>0.0</v>
      </c>
      <c r="M10" s="86">
        <v>9000.0</v>
      </c>
      <c r="N10" s="86">
        <v>5000.0</v>
      </c>
      <c r="O10" s="89" t="inlineStr">
        <is>
          <t xml:space="preserve">UNPAID</t>
        </is>
      </c>
      <c r="P10" s="82" t="inlineStr">
        <is>
          <t xml:space="preserve">RF</t>
        </is>
      </c>
      <c r="Q10" s="86">
        <v>2000.0</v>
      </c>
      <c r="R10" s="86">
        <v>0.0</v>
      </c>
      <c r="S10" s="82"/>
      <c r="T10" s="82"/>
      <c r="U10" s="82"/>
      <c r="V10" s="82" t="inlineStr">
        <is>
          <t xml:space="preserve">NAGALLA</t>
        </is>
      </c>
      <c r="W10" s="82" t="inlineStr">
        <is>
          <t xml:space="preserve">DEVI (TC116) / 9000011111</t>
        </is>
      </c>
      <c r="X10" s="82" t="inlineStr">
        <is>
          <t xml:space="preserve">TC116</t>
        </is>
      </c>
      <c r="Y10" s="82" t="inlineStr">
        <is>
          <t xml:space="preserve">CAT J</t>
        </is>
      </c>
      <c r="Z10" s="82"/>
      <c r="AA10" s="82"/>
      <c r="AB10" s="82" t="inlineStr">
        <is>
          <t xml:space="preserve">VIZAG</t>
        </is>
      </c>
      <c r="AC10" s="82" t="inlineStr">
        <is>
          <t xml:space="preserve">KDP</t>
        </is>
      </c>
      <c r="AD10" s="82" t="inlineStr">
        <is>
          <t xml:space="preserve">RAVI KUMAR (FO047) / VSP / 9876543210</t>
        </is>
      </c>
      <c r="AE10" s="82" t="inlineStr">
        <is>
          <t xml:space="preserve">FO047</t>
        </is>
      </c>
      <c r="AF10" s="82"/>
      <c r="AG10" s="82"/>
      <c r="AH10" s="82"/>
      <c r="AI10" s="82"/>
      <c r="AJ10" s="82"/>
      <c r="AK10" s="82" t="inlineStr">
        <is>
          <t xml:space="preserve">VISITED</t>
        </is>
      </c>
      <c r="AL10" s="82" t="inlineStr">
        <is>
          <t xml:space="preserve">LIVE</t>
        </is>
      </c>
      <c r="AM10" s="82"/>
      <c r="AN10" s="82" t="inlineStr">
        <is>
          <t xml:space="preserve">31-10-2026</t>
        </is>
      </c>
      <c r="AO10" s="82"/>
      <c r="AP10" s="86"/>
      <c r="AQ10" s="82"/>
      <c r="AR10" s="82" t="inlineStr">
        <is>
          <t xml:space="preserve">Coral Card</t>
        </is>
      </c>
      <c r="AS10" s="82"/>
      <c r="AT10" s="82"/>
    </row>
    <row r="11">
      <c r="A11" s="83" t="inlineStr">
        <is>
          <t xml:space="preserve">AC16</t>
        </is>
      </c>
      <c r="B11" s="83" t="inlineStr">
        <is>
          <t xml:space="preserve">Cust 16</t>
        </is>
      </c>
      <c r="C11" s="83"/>
      <c r="D11" s="85">
        <v>21</v>
      </c>
      <c r="E11" s="83" t="inlineStr">
        <is>
          <t xml:space="preserve">900</t>
        </is>
      </c>
      <c r="F11" s="83"/>
      <c r="G11" s="87"/>
      <c r="H11" s="87"/>
      <c r="I11" s="87">
        <v>822330.0</v>
      </c>
      <c r="J11" s="87">
        <v>1200.5</v>
      </c>
      <c r="K11" s="87">
        <v>0.0</v>
      </c>
      <c r="L11" s="87">
        <v>0.0</v>
      </c>
      <c r="M11" s="87">
        <v>9000.0</v>
      </c>
      <c r="N11" s="87">
        <v>5000.0</v>
      </c>
      <c r="O11" s="88" t="inlineStr">
        <is>
          <t xml:space="preserve">PAID</t>
        </is>
      </c>
      <c r="P11" s="83" t="inlineStr">
        <is>
          <t xml:space="preserve">NORM</t>
        </is>
      </c>
      <c r="Q11" s="87">
        <v>9000.0</v>
      </c>
      <c r="R11" s="87">
        <v>0.0</v>
      </c>
      <c r="S11" s="83"/>
      <c r="T11" s="83"/>
      <c r="U11" s="83"/>
      <c r="V11" s="83" t="inlineStr">
        <is>
          <t xml:space="preserve">NAGALLA</t>
        </is>
      </c>
      <c r="W11" s="83" t="inlineStr">
        <is>
          <t xml:space="preserve">DEVI (TC116) / 9000011111</t>
        </is>
      </c>
      <c r="X11" s="83" t="inlineStr">
        <is>
          <t xml:space="preserve">TC116</t>
        </is>
      </c>
      <c r="Y11" s="83" t="inlineStr">
        <is>
          <t xml:space="preserve">CAT J</t>
        </is>
      </c>
      <c r="Z11" s="83"/>
      <c r="AA11" s="83"/>
      <c r="AB11" s="83" t="inlineStr">
        <is>
          <t xml:space="preserve">VIZAG</t>
        </is>
      </c>
      <c r="AC11" s="83" t="inlineStr">
        <is>
          <t xml:space="preserve">KDP</t>
        </is>
      </c>
      <c r="AD11" s="83" t="inlineStr">
        <is>
          <t xml:space="preserve">RAVI KUMAR (FO047) / VSP / 9876543210</t>
        </is>
      </c>
      <c r="AE11" s="83" t="inlineStr">
        <is>
          <t xml:space="preserve">FO047</t>
        </is>
      </c>
      <c r="AF11" s="83"/>
      <c r="AG11" s="83"/>
      <c r="AH11" s="83"/>
      <c r="AI11" s="83"/>
      <c r="AJ11" s="83"/>
      <c r="AK11" s="83" t="inlineStr">
        <is>
          <t xml:space="preserve">VISITED</t>
        </is>
      </c>
      <c r="AL11" s="83" t="inlineStr">
        <is>
          <t xml:space="preserve">LIVE</t>
        </is>
      </c>
      <c r="AM11" s="83"/>
      <c r="AN11" s="83" t="inlineStr">
        <is>
          <t xml:space="preserve">31-10-2026</t>
        </is>
      </c>
      <c r="AO11" s="83"/>
      <c r="AP11" s="87"/>
      <c r="AQ11" s="83"/>
      <c r="AR11" s="83" t="inlineStr">
        <is>
          <t xml:space="preserve">Coral Card</t>
        </is>
      </c>
      <c r="AS11" s="83"/>
      <c r="AT11" s="83"/>
    </row>
    <row r="12">
      <c r="A12" s="82" t="inlineStr">
        <is>
          <t xml:space="preserve">AC17</t>
        </is>
      </c>
      <c r="B12" s="82" t="inlineStr">
        <is>
          <t xml:space="preserve">Cust 17</t>
        </is>
      </c>
      <c r="C12" s="82"/>
      <c r="D12" s="84">
        <v>2</v>
      </c>
      <c r="E12" s="82" t="inlineStr">
        <is>
          <t xml:space="preserve">900</t>
        </is>
      </c>
      <c r="F12" s="82"/>
      <c r="G12" s="86"/>
      <c r="H12" s="86"/>
      <c r="I12" s="86">
        <v>325056.0</v>
      </c>
      <c r="J12" s="86">
        <v>1200.5</v>
      </c>
      <c r="K12" s="86">
        <v>0.0</v>
      </c>
      <c r="L12" s="86">
        <v>0.0</v>
      </c>
      <c r="M12" s="86">
        <v>9000.0</v>
      </c>
      <c r="N12" s="86">
        <v>5000.0</v>
      </c>
      <c r="O12" s="89" t="inlineStr">
        <is>
          <t xml:space="preserve">UNPAID</t>
        </is>
      </c>
      <c r="P12" s="82" t="inlineStr">
        <is>
          <t xml:space="preserve">RF</t>
        </is>
      </c>
      <c r="Q12" s="86">
        <v>0.0</v>
      </c>
      <c r="R12" s="86">
        <v>0.0</v>
      </c>
      <c r="S12" s="82"/>
      <c r="T12" s="82"/>
      <c r="U12" s="82"/>
      <c r="V12" s="82" t="inlineStr">
        <is>
          <t xml:space="preserve">NAGALLA</t>
        </is>
      </c>
      <c r="W12" s="82" t="inlineStr">
        <is>
          <t xml:space="preserve">DEVI (TC116) / 9000011111</t>
        </is>
      </c>
      <c r="X12" s="82" t="inlineStr">
        <is>
          <t xml:space="preserve">TC116</t>
        </is>
      </c>
      <c r="Y12" s="82" t="inlineStr">
        <is>
          <t xml:space="preserve">CAT I</t>
        </is>
      </c>
      <c r="Z12" s="82"/>
      <c r="AA12" s="82"/>
      <c r="AB12" s="82" t="inlineStr">
        <is>
          <t xml:space="preserve">VIZAG</t>
        </is>
      </c>
      <c r="AC12" s="82" t="inlineStr">
        <is>
          <t xml:space="preserve">TS</t>
        </is>
      </c>
      <c r="AD12" s="82" t="inlineStr">
        <is>
          <t xml:space="preserve">RAVI KUMAR (FO047) / VSP / 9876543210</t>
        </is>
      </c>
      <c r="AE12" s="82" t="inlineStr">
        <is>
          <t xml:space="preserve">FO047</t>
        </is>
      </c>
      <c r="AF12" s="82"/>
      <c r="AG12" s="82"/>
      <c r="AH12" s="82"/>
      <c r="AI12" s="82"/>
      <c r="AJ12" s="82"/>
      <c r="AK12" s="82" t="inlineStr">
        <is>
          <t xml:space="preserve">VISITED</t>
        </is>
      </c>
      <c r="AL12" s="82" t="inlineStr">
        <is>
          <t xml:space="preserve">LIVE</t>
        </is>
      </c>
      <c r="AM12" s="82"/>
      <c r="AN12" s="82" t="inlineStr">
        <is>
          <t xml:space="preserve">31-10-2026</t>
        </is>
      </c>
      <c r="AO12" s="82"/>
      <c r="AP12" s="86"/>
      <c r="AQ12" s="82"/>
      <c r="AR12" s="82" t="inlineStr">
        <is>
          <t xml:space="preserve">Coral Card</t>
        </is>
      </c>
      <c r="AS12" s="82"/>
      <c r="AT12" s="82"/>
    </row>
    <row r="13">
      <c r="A13" s="83" t="inlineStr">
        <is>
          <t xml:space="preserve">AC19</t>
        </is>
      </c>
      <c r="B13" s="83" t="inlineStr">
        <is>
          <t xml:space="preserve">Cust 19</t>
        </is>
      </c>
      <c r="C13" s="83"/>
      <c r="D13" s="85">
        <v>12</v>
      </c>
      <c r="E13" s="83" t="inlineStr">
        <is>
          <t xml:space="preserve">900</t>
        </is>
      </c>
      <c r="F13" s="83"/>
      <c r="G13" s="87"/>
      <c r="H13" s="87"/>
      <c r="I13" s="87">
        <v>358491.0</v>
      </c>
      <c r="J13" s="87">
        <v>1200.5</v>
      </c>
      <c r="K13" s="87">
        <v>0.0</v>
      </c>
      <c r="L13" s="87">
        <v>0.0</v>
      </c>
      <c r="M13" s="87">
        <v>9000.0</v>
      </c>
      <c r="N13" s="87">
        <v>5000.0</v>
      </c>
      <c r="O13" s="88" t="inlineStr">
        <is>
          <t xml:space="preserve">PAID</t>
        </is>
      </c>
      <c r="P13" s="83" t="inlineStr">
        <is>
          <t xml:space="preserve">NORM</t>
        </is>
      </c>
      <c r="Q13" s="87">
        <v>9000.0</v>
      </c>
      <c r="R13" s="87">
        <v>0.0</v>
      </c>
      <c r="S13" s="83" t="inlineStr">
        <is>
          <t xml:space="preserve">31-10-2026</t>
        </is>
      </c>
      <c r="T13" s="83" t="inlineStr">
        <is>
          <t xml:space="preserve">FE</t>
        </is>
      </c>
      <c r="U13" s="83"/>
      <c r="V13" s="83" t="inlineStr">
        <is>
          <t xml:space="preserve">NAGALLA</t>
        </is>
      </c>
      <c r="W13" s="83" t="inlineStr">
        <is>
          <t xml:space="preserve">DEVI (TC116) / 9000011111</t>
        </is>
      </c>
      <c r="X13" s="83" t="inlineStr">
        <is>
          <t xml:space="preserve">TC116</t>
        </is>
      </c>
      <c r="Y13" s="83" t="inlineStr">
        <is>
          <t xml:space="preserve">CAT I</t>
        </is>
      </c>
      <c r="Z13" s="83"/>
      <c r="AA13" s="83"/>
      <c r="AB13" s="83" t="inlineStr">
        <is>
          <t xml:space="preserve">VIZAG</t>
        </is>
      </c>
      <c r="AC13" s="83" t="inlineStr">
        <is>
          <t xml:space="preserve">TS</t>
        </is>
      </c>
      <c r="AD13" s="83" t="inlineStr">
        <is>
          <t xml:space="preserve">RAVI KUMAR (FO047) / VSP / 9876543210</t>
        </is>
      </c>
      <c r="AE13" s="83" t="inlineStr">
        <is>
          <t xml:space="preserve">FO047</t>
        </is>
      </c>
      <c r="AF13" s="83"/>
      <c r="AG13" s="83"/>
      <c r="AH13" s="83"/>
      <c r="AI13" s="83"/>
      <c r="AJ13" s="83"/>
      <c r="AK13" s="83" t="inlineStr">
        <is>
          <t xml:space="preserve">VISITED</t>
        </is>
      </c>
      <c r="AL13" s="83" t="inlineStr">
        <is>
          <t xml:space="preserve">LIVE</t>
        </is>
      </c>
      <c r="AM13" s="83"/>
      <c r="AN13" s="83" t="inlineStr">
        <is>
          <t xml:space="preserve">31-10-2026</t>
        </is>
      </c>
      <c r="AO13" s="83"/>
      <c r="AP13" s="87"/>
      <c r="AQ13" s="83"/>
      <c r="AR13" s="83" t="inlineStr">
        <is>
          <t xml:space="preserve">Coral Card</t>
        </is>
      </c>
      <c r="AS13" s="83"/>
      <c r="AT13" s="83"/>
    </row>
    <row r="14">
      <c r="A14" s="82" t="inlineStr">
        <is>
          <t xml:space="preserve">AC2</t>
        </is>
      </c>
      <c r="B14" s="82" t="inlineStr">
        <is>
          <t xml:space="preserve">Cust 2</t>
        </is>
      </c>
      <c r="C14" s="82"/>
      <c r="D14" s="84">
        <v>2</v>
      </c>
      <c r="E14" s="82" t="inlineStr">
        <is>
          <t xml:space="preserve">900</t>
        </is>
      </c>
      <c r="F14" s="82"/>
      <c r="G14" s="86"/>
      <c r="H14" s="86"/>
      <c r="I14" s="86">
        <v>310122.0</v>
      </c>
      <c r="J14" s="86">
        <v>1200.5</v>
      </c>
      <c r="K14" s="86">
        <v>0.0</v>
      </c>
      <c r="L14" s="86">
        <v>0.0</v>
      </c>
      <c r="M14" s="86">
        <v>9000.0</v>
      </c>
      <c r="N14" s="86">
        <v>5000.0</v>
      </c>
      <c r="O14" s="89" t="inlineStr">
        <is>
          <t xml:space="preserve">UNPAID</t>
        </is>
      </c>
      <c r="P14" s="82" t="inlineStr">
        <is>
          <t xml:space="preserve">RF</t>
        </is>
      </c>
      <c r="Q14" s="86">
        <v>0.0</v>
      </c>
      <c r="R14" s="86">
        <v>0.0</v>
      </c>
      <c r="S14" s="82"/>
      <c r="T14" s="82"/>
      <c r="U14" s="82"/>
      <c r="V14" s="82" t="inlineStr">
        <is>
          <t xml:space="preserve">NAGALLA</t>
        </is>
      </c>
      <c r="W14" s="82" t="inlineStr">
        <is>
          <t xml:space="preserve">DEVI (TC116) / 9000011111</t>
        </is>
      </c>
      <c r="X14" s="82" t="inlineStr">
        <is>
          <t xml:space="preserve">TC116</t>
        </is>
      </c>
      <c r="Y14" s="82" t="inlineStr">
        <is>
          <t xml:space="preserve">CAT J</t>
        </is>
      </c>
      <c r="Z14" s="82"/>
      <c r="AA14" s="82"/>
      <c r="AB14" s="82" t="inlineStr">
        <is>
          <t xml:space="preserve">VIZAG</t>
        </is>
      </c>
      <c r="AC14" s="82" t="inlineStr">
        <is>
          <t xml:space="preserve">KDP</t>
        </is>
      </c>
      <c r="AD14" s="82" t="inlineStr">
        <is>
          <t xml:space="preserve">RAVI KUMAR (FO047) / VSP / 9876543210</t>
        </is>
      </c>
      <c r="AE14" s="82" t="inlineStr">
        <is>
          <t xml:space="preserve">FO047</t>
        </is>
      </c>
      <c r="AF14" s="82"/>
      <c r="AG14" s="82"/>
      <c r="AH14" s="82"/>
      <c r="AI14" s="82"/>
      <c r="AJ14" s="82"/>
      <c r="AK14" s="82" t="inlineStr">
        <is>
          <t xml:space="preserve">VISITED</t>
        </is>
      </c>
      <c r="AL14" s="82" t="inlineStr">
        <is>
          <t xml:space="preserve">LIVE</t>
        </is>
      </c>
      <c r="AM14" s="82"/>
      <c r="AN14" s="82" t="inlineStr">
        <is>
          <t xml:space="preserve">31-10-2026</t>
        </is>
      </c>
      <c r="AO14" s="82"/>
      <c r="AP14" s="86"/>
      <c r="AQ14" s="82"/>
      <c r="AR14" s="82" t="inlineStr">
        <is>
          <t xml:space="preserve">Coral Card</t>
        </is>
      </c>
      <c r="AS14" s="82"/>
      <c r="AT14" s="82"/>
    </row>
    <row r="15">
      <c r="A15" s="83" t="inlineStr">
        <is>
          <t xml:space="preserve">AC20</t>
        </is>
      </c>
      <c r="B15" s="83" t="inlineStr">
        <is>
          <t xml:space="preserve">Cust 20</t>
        </is>
      </c>
      <c r="C15" s="83"/>
      <c r="D15" s="85">
        <v>12</v>
      </c>
      <c r="E15" s="83" t="inlineStr">
        <is>
          <t xml:space="preserve">900</t>
        </is>
      </c>
      <c r="F15" s="83"/>
      <c r="G15" s="87"/>
      <c r="H15" s="87"/>
      <c r="I15" s="87">
        <v>670652.0</v>
      </c>
      <c r="J15" s="87">
        <v>1200.5</v>
      </c>
      <c r="K15" s="87">
        <v>0.0</v>
      </c>
      <c r="L15" s="87">
        <v>0.0</v>
      </c>
      <c r="M15" s="87">
        <v>9000.0</v>
      </c>
      <c r="N15" s="87">
        <v>5000.0</v>
      </c>
      <c r="O15" s="89" t="inlineStr">
        <is>
          <t xml:space="preserve">UNPAID</t>
        </is>
      </c>
      <c r="P15" s="83" t="inlineStr">
        <is>
          <t xml:space="preserve">RF</t>
        </is>
      </c>
      <c r="Q15" s="87">
        <v>0.0</v>
      </c>
      <c r="R15" s="87">
        <v>0.0</v>
      </c>
      <c r="S15" s="83" t="inlineStr">
        <is>
          <t xml:space="preserve">31-10-2026</t>
        </is>
      </c>
      <c r="T15" s="83" t="inlineStr">
        <is>
          <t xml:space="preserve">TC</t>
        </is>
      </c>
      <c r="U15" s="83"/>
      <c r="V15" s="83" t="inlineStr">
        <is>
          <t xml:space="preserve">NAGALLA</t>
        </is>
      </c>
      <c r="W15" s="83" t="inlineStr">
        <is>
          <t xml:space="preserve">DEVI (TC116) / 9000011111</t>
        </is>
      </c>
      <c r="X15" s="83" t="inlineStr">
        <is>
          <t xml:space="preserve">TC116</t>
        </is>
      </c>
      <c r="Y15" s="83" t="inlineStr">
        <is>
          <t xml:space="preserve">CAT J</t>
        </is>
      </c>
      <c r="Z15" s="83"/>
      <c r="AA15" s="83"/>
      <c r="AB15" s="83" t="inlineStr">
        <is>
          <t xml:space="preserve">VIZAG</t>
        </is>
      </c>
      <c r="AC15" s="83" t="inlineStr">
        <is>
          <t xml:space="preserve">KDP</t>
        </is>
      </c>
      <c r="AD15" s="83" t="inlineStr">
        <is>
          <t xml:space="preserve">RAVI KUMAR (FO047) / VSP / 9876543210</t>
        </is>
      </c>
      <c r="AE15" s="83" t="inlineStr">
        <is>
          <t xml:space="preserve">FO047</t>
        </is>
      </c>
      <c r="AF15" s="83"/>
      <c r="AG15" s="83"/>
      <c r="AH15" s="83"/>
      <c r="AI15" s="83"/>
      <c r="AJ15" s="83"/>
      <c r="AK15" s="83" t="inlineStr">
        <is>
          <t xml:space="preserve">NOT VISITED</t>
        </is>
      </c>
      <c r="AL15" s="83"/>
      <c r="AM15" s="83"/>
      <c r="AN15" s="83"/>
      <c r="AO15" s="83"/>
      <c r="AP15" s="87"/>
      <c r="AQ15" s="83"/>
      <c r="AR15" s="83" t="inlineStr">
        <is>
          <t xml:space="preserve">Coral Card</t>
        </is>
      </c>
      <c r="AS15" s="83"/>
      <c r="AT15" s="83"/>
    </row>
    <row r="16">
      <c r="A16" s="82" t="inlineStr">
        <is>
          <t xml:space="preserve">AC22</t>
        </is>
      </c>
      <c r="B16" s="82" t="inlineStr">
        <is>
          <t xml:space="preserve">Cust 22</t>
        </is>
      </c>
      <c r="C16" s="82"/>
      <c r="D16" s="84">
        <v>12</v>
      </c>
      <c r="E16" s="82" t="inlineStr">
        <is>
          <t xml:space="preserve">900</t>
        </is>
      </c>
      <c r="F16" s="82"/>
      <c r="G16" s="86"/>
      <c r="H16" s="86"/>
      <c r="I16" s="86">
        <v>367400.0</v>
      </c>
      <c r="J16" s="86">
        <v>1200.5</v>
      </c>
      <c r="K16" s="86">
        <v>0.0</v>
      </c>
      <c r="L16" s="86">
        <v>0.0</v>
      </c>
      <c r="M16" s="86">
        <v>9000.0</v>
      </c>
      <c r="N16" s="86">
        <v>5000.0</v>
      </c>
      <c r="O16" s="89" t="inlineStr">
        <is>
          <t xml:space="preserve">UNPAID</t>
        </is>
      </c>
      <c r="P16" s="82" t="inlineStr">
        <is>
          <t xml:space="preserve">RF</t>
        </is>
      </c>
      <c r="Q16" s="86">
        <v>0.0</v>
      </c>
      <c r="R16" s="86">
        <v>0.0</v>
      </c>
      <c r="S16" s="82" t="inlineStr">
        <is>
          <t xml:space="preserve">31-10-2026</t>
        </is>
      </c>
      <c r="T16" s="82" t="inlineStr">
        <is>
          <t xml:space="preserve">TC</t>
        </is>
      </c>
      <c r="U16" s="82"/>
      <c r="V16" s="82" t="inlineStr">
        <is>
          <t xml:space="preserve">NAGALLA</t>
        </is>
      </c>
      <c r="W16" s="82" t="inlineStr">
        <is>
          <t xml:space="preserve">DEVI (TC116) / 9000011111</t>
        </is>
      </c>
      <c r="X16" s="82" t="inlineStr">
        <is>
          <t xml:space="preserve">TC116</t>
        </is>
      </c>
      <c r="Y16" s="82" t="inlineStr">
        <is>
          <t xml:space="preserve">CAT I</t>
        </is>
      </c>
      <c r="Z16" s="82"/>
      <c r="AA16" s="82"/>
      <c r="AB16" s="82" t="inlineStr">
        <is>
          <t xml:space="preserve">VIZAG</t>
        </is>
      </c>
      <c r="AC16" s="82" t="inlineStr">
        <is>
          <t xml:space="preserve">TS</t>
        </is>
      </c>
      <c r="AD16" s="82" t="inlineStr">
        <is>
          <t xml:space="preserve">RAVI KUMAR (FO047) / VSP / 9876543210</t>
        </is>
      </c>
      <c r="AE16" s="82" t="inlineStr">
        <is>
          <t xml:space="preserve">FO047</t>
        </is>
      </c>
      <c r="AF16" s="82"/>
      <c r="AG16" s="82"/>
      <c r="AH16" s="82"/>
      <c r="AI16" s="82"/>
      <c r="AJ16" s="82"/>
      <c r="AK16" s="82" t="inlineStr">
        <is>
          <t xml:space="preserve">NOT VISITED</t>
        </is>
      </c>
      <c r="AL16" s="82"/>
      <c r="AM16" s="82"/>
      <c r="AN16" s="82"/>
      <c r="AO16" s="82"/>
      <c r="AP16" s="86"/>
      <c r="AQ16" s="82"/>
      <c r="AR16" s="82" t="inlineStr">
        <is>
          <t xml:space="preserve">Coral Card</t>
        </is>
      </c>
      <c r="AS16" s="82"/>
      <c r="AT16" s="82"/>
    </row>
    <row r="17">
      <c r="A17" s="83" t="inlineStr">
        <is>
          <t xml:space="preserve">AC23</t>
        </is>
      </c>
      <c r="B17" s="83" t="inlineStr">
        <is>
          <t xml:space="preserve">Cust 23</t>
        </is>
      </c>
      <c r="C17" s="83"/>
      <c r="D17" s="85">
        <v>12</v>
      </c>
      <c r="E17" s="83" t="inlineStr">
        <is>
          <t xml:space="preserve">900</t>
        </is>
      </c>
      <c r="F17" s="83"/>
      <c r="G17" s="87"/>
      <c r="H17" s="87"/>
      <c r="I17" s="87">
        <v>197803.0</v>
      </c>
      <c r="J17" s="87">
        <v>1200.5</v>
      </c>
      <c r="K17" s="87">
        <v>0.0</v>
      </c>
      <c r="L17" s="87">
        <v>0.0</v>
      </c>
      <c r="M17" s="87">
        <v>9000.0</v>
      </c>
      <c r="N17" s="87">
        <v>5000.0</v>
      </c>
      <c r="O17" s="88" t="inlineStr">
        <is>
          <t xml:space="preserve">PAID</t>
        </is>
      </c>
      <c r="P17" s="83" t="inlineStr">
        <is>
          <t xml:space="preserve">NORM</t>
        </is>
      </c>
      <c r="Q17" s="87">
        <v>9000.0</v>
      </c>
      <c r="R17" s="87">
        <v>0.0</v>
      </c>
      <c r="S17" s="83" t="inlineStr">
        <is>
          <t xml:space="preserve">31-10-2026</t>
        </is>
      </c>
      <c r="T17" s="83" t="inlineStr">
        <is>
          <t xml:space="preserve">TC</t>
        </is>
      </c>
      <c r="U17" s="83"/>
      <c r="V17" s="83" t="inlineStr">
        <is>
          <t xml:space="preserve">NAGALLA</t>
        </is>
      </c>
      <c r="W17" s="83" t="inlineStr">
        <is>
          <t xml:space="preserve">DEVI (TC116) / 9000011111</t>
        </is>
      </c>
      <c r="X17" s="83" t="inlineStr">
        <is>
          <t xml:space="preserve">TC116</t>
        </is>
      </c>
      <c r="Y17" s="83" t="inlineStr">
        <is>
          <t xml:space="preserve">CAT J</t>
        </is>
      </c>
      <c r="Z17" s="83"/>
      <c r="AA17" s="83"/>
      <c r="AB17" s="83" t="inlineStr">
        <is>
          <t xml:space="preserve">VIZAG</t>
        </is>
      </c>
      <c r="AC17" s="83" t="inlineStr">
        <is>
          <t xml:space="preserve">KDP</t>
        </is>
      </c>
      <c r="AD17" s="83" t="inlineStr">
        <is>
          <t xml:space="preserve">RAVI KUMAR (FO047) / VSP / 9876543210</t>
        </is>
      </c>
      <c r="AE17" s="83" t="inlineStr">
        <is>
          <t xml:space="preserve">FO047</t>
        </is>
      </c>
      <c r="AF17" s="83"/>
      <c r="AG17" s="83"/>
      <c r="AH17" s="83"/>
      <c r="AI17" s="83"/>
      <c r="AJ17" s="83"/>
      <c r="AK17" s="83" t="inlineStr">
        <is>
          <t xml:space="preserve">NOT VISITED</t>
        </is>
      </c>
      <c r="AL17" s="83"/>
      <c r="AM17" s="83"/>
      <c r="AN17" s="83"/>
      <c r="AO17" s="83"/>
      <c r="AP17" s="87"/>
      <c r="AQ17" s="83"/>
      <c r="AR17" s="83" t="inlineStr">
        <is>
          <t xml:space="preserve">Coral Card</t>
        </is>
      </c>
      <c r="AS17" s="83"/>
      <c r="AT17" s="83"/>
    </row>
    <row r="18">
      <c r="A18" s="82" t="inlineStr">
        <is>
          <t xml:space="preserve">AC25</t>
        </is>
      </c>
      <c r="B18" s="82" t="inlineStr">
        <is>
          <t xml:space="preserve">Cust 25</t>
        </is>
      </c>
      <c r="C18" s="82"/>
      <c r="D18" s="84">
        <v>12</v>
      </c>
      <c r="E18" s="82" t="inlineStr">
        <is>
          <t xml:space="preserve">900</t>
        </is>
      </c>
      <c r="F18" s="82"/>
      <c r="G18" s="86"/>
      <c r="H18" s="86"/>
      <c r="I18" s="86">
        <v>82222.0</v>
      </c>
      <c r="J18" s="86">
        <v>1200.5</v>
      </c>
      <c r="K18" s="86">
        <v>0.0</v>
      </c>
      <c r="L18" s="86">
        <v>0.0</v>
      </c>
      <c r="M18" s="86">
        <v>9000.0</v>
      </c>
      <c r="N18" s="86">
        <v>5000.0</v>
      </c>
      <c r="O18" s="89" t="inlineStr">
        <is>
          <t xml:space="preserve">UNPAID</t>
        </is>
      </c>
      <c r="P18" s="82" t="inlineStr">
        <is>
          <t xml:space="preserve">RF</t>
        </is>
      </c>
      <c r="Q18" s="86">
        <v>0.0</v>
      </c>
      <c r="R18" s="86">
        <v>0.0</v>
      </c>
      <c r="S18" s="82" t="inlineStr">
        <is>
          <t xml:space="preserve">31-10-2026</t>
        </is>
      </c>
      <c r="T18" s="82" t="inlineStr">
        <is>
          <t xml:space="preserve">TC</t>
        </is>
      </c>
      <c r="U18" s="82"/>
      <c r="V18" s="82" t="inlineStr">
        <is>
          <t xml:space="preserve">NAGALLA</t>
        </is>
      </c>
      <c r="W18" s="82" t="inlineStr">
        <is>
          <t xml:space="preserve">DEVI (TC116) / 9000011111</t>
        </is>
      </c>
      <c r="X18" s="82" t="inlineStr">
        <is>
          <t xml:space="preserve">TC116</t>
        </is>
      </c>
      <c r="Y18" s="82" t="inlineStr">
        <is>
          <t xml:space="preserve">CAT J</t>
        </is>
      </c>
      <c r="Z18" s="82"/>
      <c r="AA18" s="82"/>
      <c r="AB18" s="82" t="inlineStr">
        <is>
          <t xml:space="preserve">VIZAG</t>
        </is>
      </c>
      <c r="AC18" s="82" t="inlineStr">
        <is>
          <t xml:space="preserve">TS</t>
        </is>
      </c>
      <c r="AD18" s="82" t="inlineStr">
        <is>
          <t xml:space="preserve">RAVI KUMAR (FO047) / VSP / 9876543210</t>
        </is>
      </c>
      <c r="AE18" s="82" t="inlineStr">
        <is>
          <t xml:space="preserve">FO047</t>
        </is>
      </c>
      <c r="AF18" s="82"/>
      <c r="AG18" s="82"/>
      <c r="AH18" s="82"/>
      <c r="AI18" s="82"/>
      <c r="AJ18" s="82"/>
      <c r="AK18" s="82" t="inlineStr">
        <is>
          <t xml:space="preserve">NOT VISITED</t>
        </is>
      </c>
      <c r="AL18" s="82"/>
      <c r="AM18" s="82"/>
      <c r="AN18" s="82"/>
      <c r="AO18" s="82"/>
      <c r="AP18" s="86"/>
      <c r="AQ18" s="82"/>
      <c r="AR18" s="82" t="inlineStr">
        <is>
          <t xml:space="preserve">Coral Card</t>
        </is>
      </c>
      <c r="AS18" s="82"/>
      <c r="AT18" s="82"/>
    </row>
    <row r="19">
      <c r="A19" s="83" t="inlineStr">
        <is>
          <t xml:space="preserve">AC26</t>
        </is>
      </c>
      <c r="B19" s="83" t="inlineStr">
        <is>
          <t xml:space="preserve">Cust 26</t>
        </is>
      </c>
      <c r="C19" s="83"/>
      <c r="D19" s="85">
        <v>2</v>
      </c>
      <c r="E19" s="83" t="inlineStr">
        <is>
          <t xml:space="preserve">900</t>
        </is>
      </c>
      <c r="F19" s="83"/>
      <c r="G19" s="87"/>
      <c r="H19" s="87"/>
      <c r="I19" s="87">
        <v>655979.0</v>
      </c>
      <c r="J19" s="87">
        <v>1200.5</v>
      </c>
      <c r="K19" s="87">
        <v>0.0</v>
      </c>
      <c r="L19" s="87">
        <v>0.0</v>
      </c>
      <c r="M19" s="87">
        <v>9000.0</v>
      </c>
      <c r="N19" s="87">
        <v>5000.0</v>
      </c>
      <c r="O19" s="88" t="inlineStr">
        <is>
          <t xml:space="preserve">PAID</t>
        </is>
      </c>
      <c r="P19" s="83" t="inlineStr">
        <is>
          <t xml:space="preserve">NORM</t>
        </is>
      </c>
      <c r="Q19" s="87">
        <v>9000.0</v>
      </c>
      <c r="R19" s="87">
        <v>0.0</v>
      </c>
      <c r="S19" s="83" t="inlineStr">
        <is>
          <t xml:space="preserve">31-10-2026</t>
        </is>
      </c>
      <c r="T19" s="83" t="inlineStr">
        <is>
          <t xml:space="preserve">TC</t>
        </is>
      </c>
      <c r="U19" s="83"/>
      <c r="V19" s="83" t="inlineStr">
        <is>
          <t xml:space="preserve">NAGALLA</t>
        </is>
      </c>
      <c r="W19" s="83" t="inlineStr">
        <is>
          <t xml:space="preserve">DEVI (TC116) / 9000011111</t>
        </is>
      </c>
      <c r="X19" s="83" t="inlineStr">
        <is>
          <t xml:space="preserve">TC116</t>
        </is>
      </c>
      <c r="Y19" s="83" t="inlineStr">
        <is>
          <t xml:space="preserve">CAT J</t>
        </is>
      </c>
      <c r="Z19" s="83"/>
      <c r="AA19" s="83"/>
      <c r="AB19" s="83" t="inlineStr">
        <is>
          <t xml:space="preserve">VIZAG</t>
        </is>
      </c>
      <c r="AC19" s="83" t="inlineStr">
        <is>
          <t xml:space="preserve">TS</t>
        </is>
      </c>
      <c r="AD19" s="83" t="inlineStr">
        <is>
          <t xml:space="preserve">RAVI KUMAR (FO047) / VSP / 9876543210</t>
        </is>
      </c>
      <c r="AE19" s="83" t="inlineStr">
        <is>
          <t xml:space="preserve">FO047</t>
        </is>
      </c>
      <c r="AF19" s="83"/>
      <c r="AG19" s="83"/>
      <c r="AH19" s="83"/>
      <c r="AI19" s="83"/>
      <c r="AJ19" s="83"/>
      <c r="AK19" s="83" t="inlineStr">
        <is>
          <t xml:space="preserve">NOT VISITED</t>
        </is>
      </c>
      <c r="AL19" s="83"/>
      <c r="AM19" s="83"/>
      <c r="AN19" s="83"/>
      <c r="AO19" s="83"/>
      <c r="AP19" s="87"/>
      <c r="AQ19" s="83"/>
      <c r="AR19" s="83" t="inlineStr">
        <is>
          <t xml:space="preserve">Coral Card</t>
        </is>
      </c>
      <c r="AS19" s="83"/>
      <c r="AT19" s="83"/>
    </row>
    <row r="20">
      <c r="A20" s="82" t="inlineStr">
        <is>
          <t xml:space="preserve">AC28</t>
        </is>
      </c>
      <c r="B20" s="82" t="inlineStr">
        <is>
          <t xml:space="preserve">Cust 28</t>
        </is>
      </c>
      <c r="C20" s="82"/>
      <c r="D20" s="84">
        <v>2</v>
      </c>
      <c r="E20" s="82" t="inlineStr">
        <is>
          <t xml:space="preserve">900</t>
        </is>
      </c>
      <c r="F20" s="82"/>
      <c r="G20" s="86"/>
      <c r="H20" s="86"/>
      <c r="I20" s="86">
        <v>703264.0</v>
      </c>
      <c r="J20" s="86">
        <v>1200.5</v>
      </c>
      <c r="K20" s="86">
        <v>0.0</v>
      </c>
      <c r="L20" s="86">
        <v>0.0</v>
      </c>
      <c r="M20" s="86">
        <v>9000.0</v>
      </c>
      <c r="N20" s="86">
        <v>5000.0</v>
      </c>
      <c r="O20" s="88" t="inlineStr">
        <is>
          <t xml:space="preserve">PAID</t>
        </is>
      </c>
      <c r="P20" s="82" t="inlineStr">
        <is>
          <t xml:space="preserve">NORM</t>
        </is>
      </c>
      <c r="Q20" s="86">
        <v>9000.0</v>
      </c>
      <c r="R20" s="86">
        <v>0.0</v>
      </c>
      <c r="S20" s="82" t="inlineStr">
        <is>
          <t xml:space="preserve">31-10-2026</t>
        </is>
      </c>
      <c r="T20" s="82" t="inlineStr">
        <is>
          <t xml:space="preserve">TC</t>
        </is>
      </c>
      <c r="U20" s="82"/>
      <c r="V20" s="82" t="inlineStr">
        <is>
          <t xml:space="preserve">NAGALLA</t>
        </is>
      </c>
      <c r="W20" s="82" t="inlineStr">
        <is>
          <t xml:space="preserve">DEVI (TC116) / 9000011111</t>
        </is>
      </c>
      <c r="X20" s="82" t="inlineStr">
        <is>
          <t xml:space="preserve">TC116</t>
        </is>
      </c>
      <c r="Y20" s="82" t="inlineStr">
        <is>
          <t xml:space="preserve">CAT I</t>
        </is>
      </c>
      <c r="Z20" s="82"/>
      <c r="AA20" s="82"/>
      <c r="AB20" s="82" t="inlineStr">
        <is>
          <t xml:space="preserve">VIZAG</t>
        </is>
      </c>
      <c r="AC20" s="82" t="inlineStr">
        <is>
          <t xml:space="preserve">KDP</t>
        </is>
      </c>
      <c r="AD20" s="82" t="inlineStr">
        <is>
          <t xml:space="preserve">RAVI KUMAR (FO047) / VSP / 9876543210</t>
        </is>
      </c>
      <c r="AE20" s="82" t="inlineStr">
        <is>
          <t xml:space="preserve">FO047</t>
        </is>
      </c>
      <c r="AF20" s="82"/>
      <c r="AG20" s="82"/>
      <c r="AH20" s="82"/>
      <c r="AI20" s="82"/>
      <c r="AJ20" s="82"/>
      <c r="AK20" s="82" t="inlineStr">
        <is>
          <t xml:space="preserve">NOT VISITED</t>
        </is>
      </c>
      <c r="AL20" s="82"/>
      <c r="AM20" s="82"/>
      <c r="AN20" s="82"/>
      <c r="AO20" s="82"/>
      <c r="AP20" s="86"/>
      <c r="AQ20" s="82"/>
      <c r="AR20" s="82" t="inlineStr">
        <is>
          <t xml:space="preserve">Coral Card</t>
        </is>
      </c>
      <c r="AS20" s="82"/>
      <c r="AT20" s="82"/>
    </row>
    <row r="21">
      <c r="A21" s="83" t="inlineStr">
        <is>
          <t xml:space="preserve">AC29</t>
        </is>
      </c>
      <c r="B21" s="83" t="inlineStr">
        <is>
          <t xml:space="preserve">Cust 29</t>
        </is>
      </c>
      <c r="C21" s="83"/>
      <c r="D21" s="85">
        <v>12</v>
      </c>
      <c r="E21" s="83" t="inlineStr">
        <is>
          <t xml:space="preserve">900</t>
        </is>
      </c>
      <c r="F21" s="83"/>
      <c r="G21" s="87"/>
      <c r="H21" s="87"/>
      <c r="I21" s="87">
        <v>480130.0</v>
      </c>
      <c r="J21" s="87">
        <v>1200.5</v>
      </c>
      <c r="K21" s="87">
        <v>0.0</v>
      </c>
      <c r="L21" s="87">
        <v>0.0</v>
      </c>
      <c r="M21" s="87">
        <v>9000.0</v>
      </c>
      <c r="N21" s="87">
        <v>5000.0</v>
      </c>
      <c r="O21" s="89" t="inlineStr">
        <is>
          <t xml:space="preserve">UNPAID</t>
        </is>
      </c>
      <c r="P21" s="83" t="inlineStr">
        <is>
          <t xml:space="preserve">RF</t>
        </is>
      </c>
      <c r="Q21" s="87">
        <v>0.0</v>
      </c>
      <c r="R21" s="87">
        <v>0.0</v>
      </c>
      <c r="S21" s="83" t="inlineStr">
        <is>
          <t xml:space="preserve">31-10-2026</t>
        </is>
      </c>
      <c r="T21" s="83" t="inlineStr">
        <is>
          <t xml:space="preserve">TC</t>
        </is>
      </c>
      <c r="U21" s="83"/>
      <c r="V21" s="83" t="inlineStr">
        <is>
          <t xml:space="preserve">NAGALLA</t>
        </is>
      </c>
      <c r="W21" s="83" t="inlineStr">
        <is>
          <t xml:space="preserve">DEVI (TC116) / 9000011111</t>
        </is>
      </c>
      <c r="X21" s="83" t="inlineStr">
        <is>
          <t xml:space="preserve">TC116</t>
        </is>
      </c>
      <c r="Y21" s="83" t="inlineStr">
        <is>
          <t xml:space="preserve">CAT J</t>
        </is>
      </c>
      <c r="Z21" s="83"/>
      <c r="AA21" s="83"/>
      <c r="AB21" s="83" t="inlineStr">
        <is>
          <t xml:space="preserve">VIZAG</t>
        </is>
      </c>
      <c r="AC21" s="83" t="inlineStr">
        <is>
          <t xml:space="preserve">TS</t>
        </is>
      </c>
      <c r="AD21" s="83" t="inlineStr">
        <is>
          <t xml:space="preserve">RAVI KUMAR (FO047) / VSP / 9876543210</t>
        </is>
      </c>
      <c r="AE21" s="83" t="inlineStr">
        <is>
          <t xml:space="preserve">FO047</t>
        </is>
      </c>
      <c r="AF21" s="83"/>
      <c r="AG21" s="83"/>
      <c r="AH21" s="83"/>
      <c r="AI21" s="83"/>
      <c r="AJ21" s="83"/>
      <c r="AK21" s="83" t="inlineStr">
        <is>
          <t xml:space="preserve">NOT VISITED</t>
        </is>
      </c>
      <c r="AL21" s="83"/>
      <c r="AM21" s="83"/>
      <c r="AN21" s="83"/>
      <c r="AO21" s="83"/>
      <c r="AP21" s="87"/>
      <c r="AQ21" s="83"/>
      <c r="AR21" s="83" t="inlineStr">
        <is>
          <t xml:space="preserve">Coral Card</t>
        </is>
      </c>
      <c r="AS21" s="83"/>
      <c r="AT21" s="83"/>
    </row>
    <row r="22">
      <c r="A22" s="82" t="inlineStr">
        <is>
          <t xml:space="preserve">AC31</t>
        </is>
      </c>
      <c r="B22" s="82" t="inlineStr">
        <is>
          <t xml:space="preserve">Cust 31</t>
        </is>
      </c>
      <c r="C22" s="82"/>
      <c r="D22" s="84">
        <v>2</v>
      </c>
      <c r="E22" s="82" t="inlineStr">
        <is>
          <t xml:space="preserve">900</t>
        </is>
      </c>
      <c r="F22" s="82"/>
      <c r="G22" s="86"/>
      <c r="H22" s="86"/>
      <c r="I22" s="86">
        <v>542798.0</v>
      </c>
      <c r="J22" s="86">
        <v>1200.5</v>
      </c>
      <c r="K22" s="86">
        <v>0.0</v>
      </c>
      <c r="L22" s="86">
        <v>0.0</v>
      </c>
      <c r="M22" s="86">
        <v>9000.0</v>
      </c>
      <c r="N22" s="86">
        <v>5000.0</v>
      </c>
      <c r="O22" s="89" t="inlineStr">
        <is>
          <t xml:space="preserve">UNPAID</t>
        </is>
      </c>
      <c r="P22" s="82" t="inlineStr">
        <is>
          <t xml:space="preserve">RF</t>
        </is>
      </c>
      <c r="Q22" s="86">
        <v>2000.0</v>
      </c>
      <c r="R22" s="86">
        <v>0.0</v>
      </c>
      <c r="S22" s="82"/>
      <c r="T22" s="82"/>
      <c r="U22" s="82"/>
      <c r="V22" s="82" t="inlineStr">
        <is>
          <t xml:space="preserve">OTHER</t>
        </is>
      </c>
      <c r="W22" s="82" t="inlineStr">
        <is>
          <t xml:space="preserve">DEVI (TC116) / 9000011111</t>
        </is>
      </c>
      <c r="X22" s="82" t="inlineStr">
        <is>
          <t xml:space="preserve">TC116</t>
        </is>
      </c>
      <c r="Y22" s="82" t="inlineStr">
        <is>
          <t xml:space="preserve">CAT I</t>
        </is>
      </c>
      <c r="Z22" s="82"/>
      <c r="AA22" s="82"/>
      <c r="AB22" s="82" t="inlineStr">
        <is>
          <t xml:space="preserve">VIZAG</t>
        </is>
      </c>
      <c r="AC22" s="82" t="inlineStr">
        <is>
          <t xml:space="preserve">TS</t>
        </is>
      </c>
      <c r="AD22" s="82" t="inlineStr">
        <is>
          <t xml:space="preserve">RAVI KUMAR (FO047) / VSP / 9876543210</t>
        </is>
      </c>
      <c r="AE22" s="82" t="inlineStr">
        <is>
          <t xml:space="preserve">FO047</t>
        </is>
      </c>
      <c r="AF22" s="82"/>
      <c r="AG22" s="82"/>
      <c r="AH22" s="82"/>
      <c r="AI22" s="82"/>
      <c r="AJ22" s="82"/>
      <c r="AK22" s="82" t="inlineStr">
        <is>
          <t xml:space="preserve">NOT VISITED</t>
        </is>
      </c>
      <c r="AL22" s="82"/>
      <c r="AM22" s="82"/>
      <c r="AN22" s="82"/>
      <c r="AO22" s="82"/>
      <c r="AP22" s="86"/>
      <c r="AQ22" s="82"/>
      <c r="AR22" s="82" t="inlineStr">
        <is>
          <t xml:space="preserve">Coral Card</t>
        </is>
      </c>
      <c r="AS22" s="82"/>
      <c r="AT22" s="82"/>
    </row>
    <row r="23">
      <c r="A23" s="83" t="inlineStr">
        <is>
          <t xml:space="preserve">AC32</t>
        </is>
      </c>
      <c r="B23" s="83" t="inlineStr">
        <is>
          <t xml:space="preserve">Cust 32</t>
        </is>
      </c>
      <c r="C23" s="83"/>
      <c r="D23" s="85">
        <v>2</v>
      </c>
      <c r="E23" s="83" t="inlineStr">
        <is>
          <t xml:space="preserve">900</t>
        </is>
      </c>
      <c r="F23" s="83"/>
      <c r="G23" s="87"/>
      <c r="H23" s="87"/>
      <c r="I23" s="87">
        <v>285695.0</v>
      </c>
      <c r="J23" s="87">
        <v>1200.5</v>
      </c>
      <c r="K23" s="87">
        <v>0.0</v>
      </c>
      <c r="L23" s="87">
        <v>0.0</v>
      </c>
      <c r="M23" s="87">
        <v>9000.0</v>
      </c>
      <c r="N23" s="87">
        <v>5000.0</v>
      </c>
      <c r="O23" s="89" t="inlineStr">
        <is>
          <t xml:space="preserve">UNPAID</t>
        </is>
      </c>
      <c r="P23" s="83" t="inlineStr">
        <is>
          <t xml:space="preserve">RF</t>
        </is>
      </c>
      <c r="Q23" s="87">
        <v>0.0</v>
      </c>
      <c r="R23" s="87">
        <v>0.0</v>
      </c>
      <c r="S23" s="83"/>
      <c r="T23" s="83"/>
      <c r="U23" s="83"/>
      <c r="V23" s="83" t="inlineStr">
        <is>
          <t xml:space="preserve">OTHER</t>
        </is>
      </c>
      <c r="W23" s="83" t="inlineStr">
        <is>
          <t xml:space="preserve">DEVI (TC116) / 9000011111</t>
        </is>
      </c>
      <c r="X23" s="83" t="inlineStr">
        <is>
          <t xml:space="preserve">TC116</t>
        </is>
      </c>
      <c r="Y23" s="83" t="inlineStr">
        <is>
          <t xml:space="preserve">CAT J</t>
        </is>
      </c>
      <c r="Z23" s="83"/>
      <c r="AA23" s="83"/>
      <c r="AB23" s="83" t="inlineStr">
        <is>
          <t xml:space="preserve">VIZAG</t>
        </is>
      </c>
      <c r="AC23" s="83" t="inlineStr">
        <is>
          <t xml:space="preserve">KDP</t>
        </is>
      </c>
      <c r="AD23" s="83" t="inlineStr">
        <is>
          <t xml:space="preserve">RAVI KUMAR (FO047) / VSP / 9876543210</t>
        </is>
      </c>
      <c r="AE23" s="83" t="inlineStr">
        <is>
          <t xml:space="preserve">FO047</t>
        </is>
      </c>
      <c r="AF23" s="83"/>
      <c r="AG23" s="83"/>
      <c r="AH23" s="83"/>
      <c r="AI23" s="83"/>
      <c r="AJ23" s="83"/>
      <c r="AK23" s="83" t="inlineStr">
        <is>
          <t xml:space="preserve">NOT VISITED</t>
        </is>
      </c>
      <c r="AL23" s="83"/>
      <c r="AM23" s="83"/>
      <c r="AN23" s="83"/>
      <c r="AO23" s="83"/>
      <c r="AP23" s="87"/>
      <c r="AQ23" s="83"/>
      <c r="AR23" s="83" t="inlineStr">
        <is>
          <t xml:space="preserve">Coral Card</t>
        </is>
      </c>
      <c r="AS23" s="83"/>
      <c r="AT23" s="83"/>
    </row>
    <row r="24">
      <c r="A24" s="82" t="inlineStr">
        <is>
          <t xml:space="preserve">AC34</t>
        </is>
      </c>
      <c r="B24" s="82" t="inlineStr">
        <is>
          <t xml:space="preserve">Cust 34</t>
        </is>
      </c>
      <c r="C24" s="82"/>
      <c r="D24" s="84">
        <v>2</v>
      </c>
      <c r="E24" s="82" t="inlineStr">
        <is>
          <t xml:space="preserve">900</t>
        </is>
      </c>
      <c r="F24" s="82"/>
      <c r="G24" s="86"/>
      <c r="H24" s="86"/>
      <c r="I24" s="86">
        <v>349794.0</v>
      </c>
      <c r="J24" s="86">
        <v>1200.5</v>
      </c>
      <c r="K24" s="86">
        <v>0.0</v>
      </c>
      <c r="L24" s="86">
        <v>0.0</v>
      </c>
      <c r="M24" s="86">
        <v>9000.0</v>
      </c>
      <c r="N24" s="86">
        <v>5000.0</v>
      </c>
      <c r="O24" s="89" t="inlineStr">
        <is>
          <t xml:space="preserve">UNPAID</t>
        </is>
      </c>
      <c r="P24" s="82" t="inlineStr">
        <is>
          <t xml:space="preserve">RF</t>
        </is>
      </c>
      <c r="Q24" s="86">
        <v>0.0</v>
      </c>
      <c r="R24" s="86">
        <v>0.0</v>
      </c>
      <c r="S24" s="82"/>
      <c r="T24" s="82"/>
      <c r="U24" s="82"/>
      <c r="V24" s="82" t="inlineStr">
        <is>
          <t xml:space="preserve">OTHER</t>
        </is>
      </c>
      <c r="W24" s="82" t="inlineStr">
        <is>
          <t xml:space="preserve">DEVI (TC116) / 9000011111</t>
        </is>
      </c>
      <c r="X24" s="82" t="inlineStr">
        <is>
          <t xml:space="preserve">TC116</t>
        </is>
      </c>
      <c r="Y24" s="82" t="inlineStr">
        <is>
          <t xml:space="preserve">CAT I</t>
        </is>
      </c>
      <c r="Z24" s="82"/>
      <c r="AA24" s="82"/>
      <c r="AB24" s="82" t="inlineStr">
        <is>
          <t xml:space="preserve">VIZAG</t>
        </is>
      </c>
      <c r="AC24" s="82" t="inlineStr">
        <is>
          <t xml:space="preserve">TS</t>
        </is>
      </c>
      <c r="AD24" s="82" t="inlineStr">
        <is>
          <t xml:space="preserve">RAVI KUMAR (FO047) / VSP / 9876543210</t>
        </is>
      </c>
      <c r="AE24" s="82" t="inlineStr">
        <is>
          <t xml:space="preserve">FO047</t>
        </is>
      </c>
      <c r="AF24" s="82"/>
      <c r="AG24" s="82"/>
      <c r="AH24" s="82"/>
      <c r="AI24" s="82"/>
      <c r="AJ24" s="82"/>
      <c r="AK24" s="82" t="inlineStr">
        <is>
          <t xml:space="preserve">NOT VISITED</t>
        </is>
      </c>
      <c r="AL24" s="82"/>
      <c r="AM24" s="82"/>
      <c r="AN24" s="82"/>
      <c r="AO24" s="82"/>
      <c r="AP24" s="86"/>
      <c r="AQ24" s="82"/>
      <c r="AR24" s="82" t="inlineStr">
        <is>
          <t xml:space="preserve">Coral Card</t>
        </is>
      </c>
      <c r="AS24" s="82"/>
      <c r="AT24" s="82"/>
    </row>
    <row r="25">
      <c r="A25" s="83" t="inlineStr">
        <is>
          <t xml:space="preserve">AC35</t>
        </is>
      </c>
      <c r="B25" s="83" t="inlineStr">
        <is>
          <t xml:space="preserve">Cust 35</t>
        </is>
      </c>
      <c r="C25" s="83"/>
      <c r="D25" s="85">
        <v>21</v>
      </c>
      <c r="E25" s="83" t="inlineStr">
        <is>
          <t xml:space="preserve">900</t>
        </is>
      </c>
      <c r="F25" s="83"/>
      <c r="G25" s="87"/>
      <c r="H25" s="87"/>
      <c r="I25" s="87">
        <v>538298.0</v>
      </c>
      <c r="J25" s="87">
        <v>1200.5</v>
      </c>
      <c r="K25" s="87">
        <v>0.0</v>
      </c>
      <c r="L25" s="87">
        <v>0.0</v>
      </c>
      <c r="M25" s="87">
        <v>9000.0</v>
      </c>
      <c r="N25" s="87">
        <v>5000.0</v>
      </c>
      <c r="O25" s="88" t="inlineStr">
        <is>
          <t xml:space="preserve">PAID</t>
        </is>
      </c>
      <c r="P25" s="83" t="inlineStr">
        <is>
          <t xml:space="preserve">NORM</t>
        </is>
      </c>
      <c r="Q25" s="87">
        <v>9000.0</v>
      </c>
      <c r="R25" s="87">
        <v>0.0</v>
      </c>
      <c r="S25" s="83"/>
      <c r="T25" s="83"/>
      <c r="U25" s="83"/>
      <c r="V25" s="83" t="inlineStr">
        <is>
          <t xml:space="preserve">OTHER</t>
        </is>
      </c>
      <c r="W25" s="83" t="inlineStr">
        <is>
          <t xml:space="preserve">DEVI (TC116) / 9000011111</t>
        </is>
      </c>
      <c r="X25" s="83" t="inlineStr">
        <is>
          <t xml:space="preserve">TC116</t>
        </is>
      </c>
      <c r="Y25" s="83" t="inlineStr">
        <is>
          <t xml:space="preserve">CAT I</t>
        </is>
      </c>
      <c r="Z25" s="83"/>
      <c r="AA25" s="83"/>
      <c r="AB25" s="83" t="inlineStr">
        <is>
          <t xml:space="preserve">VIZAG</t>
        </is>
      </c>
      <c r="AC25" s="83" t="inlineStr">
        <is>
          <t xml:space="preserve">TS</t>
        </is>
      </c>
      <c r="AD25" s="83" t="inlineStr">
        <is>
          <t xml:space="preserve">RAVI KUMAR (FO047) / VSP / 9876543210</t>
        </is>
      </c>
      <c r="AE25" s="83" t="inlineStr">
        <is>
          <t xml:space="preserve">FO047</t>
        </is>
      </c>
      <c r="AF25" s="83"/>
      <c r="AG25" s="83"/>
      <c r="AH25" s="83"/>
      <c r="AI25" s="83"/>
      <c r="AJ25" s="83"/>
      <c r="AK25" s="83" t="inlineStr">
        <is>
          <t xml:space="preserve">NOT VISITED</t>
        </is>
      </c>
      <c r="AL25" s="83"/>
      <c r="AM25" s="83"/>
      <c r="AN25" s="83"/>
      <c r="AO25" s="83"/>
      <c r="AP25" s="87"/>
      <c r="AQ25" s="83"/>
      <c r="AR25" s="83" t="inlineStr">
        <is>
          <t xml:space="preserve">Coral Card</t>
        </is>
      </c>
      <c r="AS25" s="83"/>
      <c r="AT25" s="83"/>
    </row>
    <row r="26">
      <c r="A26" s="82" t="inlineStr">
        <is>
          <t xml:space="preserve">AC37</t>
        </is>
      </c>
      <c r="B26" s="82" t="inlineStr">
        <is>
          <t xml:space="preserve">Cust 37</t>
        </is>
      </c>
      <c r="C26" s="82"/>
      <c r="D26" s="84">
        <v>12</v>
      </c>
      <c r="E26" s="82" t="inlineStr">
        <is>
          <t xml:space="preserve">900</t>
        </is>
      </c>
      <c r="F26" s="82"/>
      <c r="G26" s="86"/>
      <c r="H26" s="86"/>
      <c r="I26" s="86">
        <v>858341.0</v>
      </c>
      <c r="J26" s="86">
        <v>1200.5</v>
      </c>
      <c r="K26" s="86">
        <v>0.0</v>
      </c>
      <c r="L26" s="86">
        <v>0.0</v>
      </c>
      <c r="M26" s="86">
        <v>9000.0</v>
      </c>
      <c r="N26" s="86">
        <v>5000.0</v>
      </c>
      <c r="O26" s="89" t="inlineStr">
        <is>
          <t xml:space="preserve">UNPAID</t>
        </is>
      </c>
      <c r="P26" s="82" t="inlineStr">
        <is>
          <t xml:space="preserve">RF</t>
        </is>
      </c>
      <c r="Q26" s="86">
        <v>0.0</v>
      </c>
      <c r="R26" s="86">
        <v>0.0</v>
      </c>
      <c r="S26" s="82"/>
      <c r="T26" s="82"/>
      <c r="U26" s="82"/>
      <c r="V26" s="82" t="inlineStr">
        <is>
          <t xml:space="preserve">OTHER</t>
        </is>
      </c>
      <c r="W26" s="82" t="inlineStr">
        <is>
          <t xml:space="preserve">DEVI (TC116) / 9000011111</t>
        </is>
      </c>
      <c r="X26" s="82" t="inlineStr">
        <is>
          <t xml:space="preserve">TC116</t>
        </is>
      </c>
      <c r="Y26" s="82" t="inlineStr">
        <is>
          <t xml:space="preserve">CAT I</t>
        </is>
      </c>
      <c r="Z26" s="82"/>
      <c r="AA26" s="82"/>
      <c r="AB26" s="82" t="inlineStr">
        <is>
          <t xml:space="preserve">VIZAG</t>
        </is>
      </c>
      <c r="AC26" s="82" t="inlineStr">
        <is>
          <t xml:space="preserve">KDP</t>
        </is>
      </c>
      <c r="AD26" s="82" t="inlineStr">
        <is>
          <t xml:space="preserve">RAVI KUMAR (FO047) / VSP / 9876543210</t>
        </is>
      </c>
      <c r="AE26" s="82" t="inlineStr">
        <is>
          <t xml:space="preserve">FO047</t>
        </is>
      </c>
      <c r="AF26" s="82"/>
      <c r="AG26" s="82"/>
      <c r="AH26" s="82"/>
      <c r="AI26" s="82"/>
      <c r="AJ26" s="82"/>
      <c r="AK26" s="82" t="inlineStr">
        <is>
          <t xml:space="preserve">NOT VISITED</t>
        </is>
      </c>
      <c r="AL26" s="82"/>
      <c r="AM26" s="82"/>
      <c r="AN26" s="82"/>
      <c r="AO26" s="82"/>
      <c r="AP26" s="86"/>
      <c r="AQ26" s="82"/>
      <c r="AR26" s="82" t="inlineStr">
        <is>
          <t xml:space="preserve">Coral Card</t>
        </is>
      </c>
      <c r="AS26" s="82"/>
      <c r="AT26" s="82"/>
    </row>
    <row r="27">
      <c r="A27" s="83" t="inlineStr">
        <is>
          <t xml:space="preserve">AC38</t>
        </is>
      </c>
      <c r="B27" s="83" t="inlineStr">
        <is>
          <t xml:space="preserve">Cust 38</t>
        </is>
      </c>
      <c r="C27" s="83"/>
      <c r="D27" s="85">
        <v>12</v>
      </c>
      <c r="E27" s="83" t="inlineStr">
        <is>
          <t xml:space="preserve">900</t>
        </is>
      </c>
      <c r="F27" s="83"/>
      <c r="G27" s="87"/>
      <c r="H27" s="87"/>
      <c r="I27" s="87">
        <v>374975.0</v>
      </c>
      <c r="J27" s="87">
        <v>1200.5</v>
      </c>
      <c r="K27" s="87">
        <v>0.0</v>
      </c>
      <c r="L27" s="87">
        <v>0.0</v>
      </c>
      <c r="M27" s="87">
        <v>9000.0</v>
      </c>
      <c r="N27" s="87">
        <v>5000.0</v>
      </c>
      <c r="O27" s="89" t="inlineStr">
        <is>
          <t xml:space="preserve">UNPAID</t>
        </is>
      </c>
      <c r="P27" s="83" t="inlineStr">
        <is>
          <t xml:space="preserve">RF</t>
        </is>
      </c>
      <c r="Q27" s="87">
        <v>0.0</v>
      </c>
      <c r="R27" s="87">
        <v>0.0</v>
      </c>
      <c r="S27" s="83"/>
      <c r="T27" s="83"/>
      <c r="U27" s="83"/>
      <c r="V27" s="83" t="inlineStr">
        <is>
          <t xml:space="preserve">OTHER</t>
        </is>
      </c>
      <c r="W27" s="83" t="inlineStr">
        <is>
          <t xml:space="preserve">DEVI (TC116) / 9000011111</t>
        </is>
      </c>
      <c r="X27" s="83" t="inlineStr">
        <is>
          <t xml:space="preserve">TC116</t>
        </is>
      </c>
      <c r="Y27" s="83" t="inlineStr">
        <is>
          <t xml:space="preserve">CAT J</t>
        </is>
      </c>
      <c r="Z27" s="83"/>
      <c r="AA27" s="83"/>
      <c r="AB27" s="83" t="inlineStr">
        <is>
          <t xml:space="preserve">VIZAG</t>
        </is>
      </c>
      <c r="AC27" s="83" t="inlineStr">
        <is>
          <t xml:space="preserve">KDP</t>
        </is>
      </c>
      <c r="AD27" s="83" t="inlineStr">
        <is>
          <t xml:space="preserve">RAVI KUMAR (FO047) / VSP / 9876543210</t>
        </is>
      </c>
      <c r="AE27" s="83" t="inlineStr">
        <is>
          <t xml:space="preserve">FO047</t>
        </is>
      </c>
      <c r="AF27" s="83"/>
      <c r="AG27" s="83"/>
      <c r="AH27" s="83"/>
      <c r="AI27" s="83"/>
      <c r="AJ27" s="83"/>
      <c r="AK27" s="83" t="inlineStr">
        <is>
          <t xml:space="preserve">NOT VISITED</t>
        </is>
      </c>
      <c r="AL27" s="83"/>
      <c r="AM27" s="83"/>
      <c r="AN27" s="83"/>
      <c r="AO27" s="83"/>
      <c r="AP27" s="87"/>
      <c r="AQ27" s="83"/>
      <c r="AR27" s="83" t="inlineStr">
        <is>
          <t xml:space="preserve">Coral Card</t>
        </is>
      </c>
      <c r="AS27" s="83"/>
      <c r="AT27" s="83"/>
    </row>
    <row r="28">
      <c r="A28" s="82" t="inlineStr">
        <is>
          <t xml:space="preserve">AC4</t>
        </is>
      </c>
      <c r="B28" s="82" t="inlineStr">
        <is>
          <t xml:space="preserve">Cust 4</t>
        </is>
      </c>
      <c r="C28" s="82"/>
      <c r="D28" s="84">
        <v>12</v>
      </c>
      <c r="E28" s="82" t="inlineStr">
        <is>
          <t xml:space="preserve">900</t>
        </is>
      </c>
      <c r="F28" s="82"/>
      <c r="G28" s="86"/>
      <c r="H28" s="86"/>
      <c r="I28" s="86">
        <v>344901.0</v>
      </c>
      <c r="J28" s="86">
        <v>1200.5</v>
      </c>
      <c r="K28" s="86">
        <v>0.0</v>
      </c>
      <c r="L28" s="86">
        <v>0.0</v>
      </c>
      <c r="M28" s="86">
        <v>9000.0</v>
      </c>
      <c r="N28" s="86">
        <v>5000.0</v>
      </c>
      <c r="O28" s="89" t="inlineStr">
        <is>
          <t xml:space="preserve">UNPAID</t>
        </is>
      </c>
      <c r="P28" s="82" t="inlineStr">
        <is>
          <t xml:space="preserve">RF</t>
        </is>
      </c>
      <c r="Q28" s="86">
        <v>0.0</v>
      </c>
      <c r="R28" s="86">
        <v>0.0</v>
      </c>
      <c r="S28" s="82"/>
      <c r="T28" s="82"/>
      <c r="U28" s="82"/>
      <c r="V28" s="82" t="inlineStr">
        <is>
          <t xml:space="preserve">NAGALLA</t>
        </is>
      </c>
      <c r="W28" s="82" t="inlineStr">
        <is>
          <t xml:space="preserve">DEVI (TC116) / 9000011111</t>
        </is>
      </c>
      <c r="X28" s="82" t="inlineStr">
        <is>
          <t xml:space="preserve">TC116</t>
        </is>
      </c>
      <c r="Y28" s="82" t="inlineStr">
        <is>
          <t xml:space="preserve">CAT J</t>
        </is>
      </c>
      <c r="Z28" s="82"/>
      <c r="AA28" s="82"/>
      <c r="AB28" s="82" t="inlineStr">
        <is>
          <t xml:space="preserve">VIZAG</t>
        </is>
      </c>
      <c r="AC28" s="82" t="inlineStr">
        <is>
          <t xml:space="preserve">TS</t>
        </is>
      </c>
      <c r="AD28" s="82" t="inlineStr">
        <is>
          <t xml:space="preserve">RAVI KUMAR (FO047) / VSP / 9876543210</t>
        </is>
      </c>
      <c r="AE28" s="82" t="inlineStr">
        <is>
          <t xml:space="preserve">FO047</t>
        </is>
      </c>
      <c r="AF28" s="82"/>
      <c r="AG28" s="82"/>
      <c r="AH28" s="82"/>
      <c r="AI28" s="82"/>
      <c r="AJ28" s="82"/>
      <c r="AK28" s="82" t="inlineStr">
        <is>
          <t xml:space="preserve">VISITED</t>
        </is>
      </c>
      <c r="AL28" s="82" t="inlineStr">
        <is>
          <t xml:space="preserve">LIVE</t>
        </is>
      </c>
      <c r="AM28" s="82"/>
      <c r="AN28" s="82" t="inlineStr">
        <is>
          <t xml:space="preserve">31-10-2026</t>
        </is>
      </c>
      <c r="AO28" s="82"/>
      <c r="AP28" s="86"/>
      <c r="AQ28" s="82"/>
      <c r="AR28" s="82" t="inlineStr">
        <is>
          <t xml:space="preserve">Coral Card</t>
        </is>
      </c>
      <c r="AS28" s="82"/>
      <c r="AT28" s="82"/>
    </row>
    <row r="29">
      <c r="A29" s="83" t="inlineStr">
        <is>
          <t xml:space="preserve">AC40</t>
        </is>
      </c>
      <c r="B29" s="83" t="inlineStr">
        <is>
          <t xml:space="preserve">Cust 40</t>
        </is>
      </c>
      <c r="C29" s="83"/>
      <c r="D29" s="85">
        <v>2</v>
      </c>
      <c r="E29" s="83" t="inlineStr">
        <is>
          <t xml:space="preserve">900</t>
        </is>
      </c>
      <c r="F29" s="83"/>
      <c r="G29" s="87"/>
      <c r="H29" s="87"/>
      <c r="I29" s="87">
        <v>824069.0</v>
      </c>
      <c r="J29" s="87">
        <v>1200.5</v>
      </c>
      <c r="K29" s="87">
        <v>0.0</v>
      </c>
      <c r="L29" s="87">
        <v>0.0</v>
      </c>
      <c r="M29" s="87">
        <v>9000.0</v>
      </c>
      <c r="N29" s="87">
        <v>5000.0</v>
      </c>
      <c r="O29" s="89" t="inlineStr">
        <is>
          <t xml:space="preserve">UNPAID</t>
        </is>
      </c>
      <c r="P29" s="83" t="inlineStr">
        <is>
          <t xml:space="preserve">RF</t>
        </is>
      </c>
      <c r="Q29" s="87">
        <v>0.0</v>
      </c>
      <c r="R29" s="87">
        <v>0.0</v>
      </c>
      <c r="S29" s="83"/>
      <c r="T29" s="83"/>
      <c r="U29" s="83"/>
      <c r="V29" s="83" t="inlineStr">
        <is>
          <t xml:space="preserve">OTHER</t>
        </is>
      </c>
      <c r="W29" s="83" t="inlineStr">
        <is>
          <t xml:space="preserve">DEVI (TC116) / 9000011111</t>
        </is>
      </c>
      <c r="X29" s="83" t="inlineStr">
        <is>
          <t xml:space="preserve">TC116</t>
        </is>
      </c>
      <c r="Y29" s="83" t="inlineStr">
        <is>
          <t xml:space="preserve">CAT I</t>
        </is>
      </c>
      <c r="Z29" s="83"/>
      <c r="AA29" s="83"/>
      <c r="AB29" s="83" t="inlineStr">
        <is>
          <t xml:space="preserve">VIZAG</t>
        </is>
      </c>
      <c r="AC29" s="83" t="inlineStr">
        <is>
          <t xml:space="preserve">TS</t>
        </is>
      </c>
      <c r="AD29" s="83" t="inlineStr">
        <is>
          <t xml:space="preserve">RAVI KUMAR (FO047) / VSP / 9876543210</t>
        </is>
      </c>
      <c r="AE29" s="83" t="inlineStr">
        <is>
          <t xml:space="preserve">FO047</t>
        </is>
      </c>
      <c r="AF29" s="83"/>
      <c r="AG29" s="83"/>
      <c r="AH29" s="83"/>
      <c r="AI29" s="83"/>
      <c r="AJ29" s="83"/>
      <c r="AK29" s="83" t="inlineStr">
        <is>
          <t xml:space="preserve">NOT VISITED</t>
        </is>
      </c>
      <c r="AL29" s="83"/>
      <c r="AM29" s="83"/>
      <c r="AN29" s="83"/>
      <c r="AO29" s="83"/>
      <c r="AP29" s="87"/>
      <c r="AQ29" s="83"/>
      <c r="AR29" s="83" t="inlineStr">
        <is>
          <t xml:space="preserve">Coral Card</t>
        </is>
      </c>
      <c r="AS29" s="83"/>
      <c r="AT29" s="83"/>
    </row>
    <row r="30">
      <c r="A30" s="82" t="inlineStr">
        <is>
          <t xml:space="preserve">AC41</t>
        </is>
      </c>
      <c r="B30" s="82" t="inlineStr">
        <is>
          <t xml:space="preserve">Cust 41</t>
        </is>
      </c>
      <c r="C30" s="82"/>
      <c r="D30" s="84">
        <v>21</v>
      </c>
      <c r="E30" s="82" t="inlineStr">
        <is>
          <t xml:space="preserve">900</t>
        </is>
      </c>
      <c r="F30" s="82"/>
      <c r="G30" s="86"/>
      <c r="H30" s="86"/>
      <c r="I30" s="86">
        <v>741265.0</v>
      </c>
      <c r="J30" s="86">
        <v>1200.5</v>
      </c>
      <c r="K30" s="86">
        <v>0.0</v>
      </c>
      <c r="L30" s="86">
        <v>0.0</v>
      </c>
      <c r="M30" s="86">
        <v>9000.0</v>
      </c>
      <c r="N30" s="86">
        <v>5000.0</v>
      </c>
      <c r="O30" s="89" t="inlineStr">
        <is>
          <t xml:space="preserve">UNPAID</t>
        </is>
      </c>
      <c r="P30" s="82" t="inlineStr">
        <is>
          <t xml:space="preserve">RF</t>
        </is>
      </c>
      <c r="Q30" s="86">
        <v>0.0</v>
      </c>
      <c r="R30" s="86">
        <v>0.0</v>
      </c>
      <c r="S30" s="82"/>
      <c r="T30" s="82"/>
      <c r="U30" s="82"/>
      <c r="V30" s="82" t="inlineStr">
        <is>
          <t xml:space="preserve">OTHER</t>
        </is>
      </c>
      <c r="W30" s="82" t="inlineStr">
        <is>
          <t xml:space="preserve">DEVI (TC116) / 9000011111</t>
        </is>
      </c>
      <c r="X30" s="82" t="inlineStr">
        <is>
          <t xml:space="preserve">TC116</t>
        </is>
      </c>
      <c r="Y30" s="82" t="inlineStr">
        <is>
          <t xml:space="preserve">CAT J</t>
        </is>
      </c>
      <c r="Z30" s="82"/>
      <c r="AA30" s="82"/>
      <c r="AB30" s="82" t="inlineStr">
        <is>
          <t xml:space="preserve">VIZAG</t>
        </is>
      </c>
      <c r="AC30" s="82" t="inlineStr">
        <is>
          <t xml:space="preserve">TS</t>
        </is>
      </c>
      <c r="AD30" s="82" t="inlineStr">
        <is>
          <t xml:space="preserve">RAVI KUMAR (FO047) / VSP / 9876543210</t>
        </is>
      </c>
      <c r="AE30" s="82" t="inlineStr">
        <is>
          <t xml:space="preserve">FO047</t>
        </is>
      </c>
      <c r="AF30" s="82"/>
      <c r="AG30" s="82"/>
      <c r="AH30" s="82"/>
      <c r="AI30" s="82"/>
      <c r="AJ30" s="82"/>
      <c r="AK30" s="82" t="inlineStr">
        <is>
          <t xml:space="preserve">NOT VISITED</t>
        </is>
      </c>
      <c r="AL30" s="82"/>
      <c r="AM30" s="82"/>
      <c r="AN30" s="82"/>
      <c r="AO30" s="82"/>
      <c r="AP30" s="86"/>
      <c r="AQ30" s="82"/>
      <c r="AR30" s="82" t="inlineStr">
        <is>
          <t xml:space="preserve">Coral Card</t>
        </is>
      </c>
      <c r="AS30" s="82"/>
      <c r="AT30" s="82"/>
    </row>
    <row r="31">
      <c r="A31" s="83" t="inlineStr">
        <is>
          <t xml:space="preserve">AC43</t>
        </is>
      </c>
      <c r="B31" s="83" t="inlineStr">
        <is>
          <t xml:space="preserve">Cust 43</t>
        </is>
      </c>
      <c r="C31" s="83"/>
      <c r="D31" s="85">
        <v>2</v>
      </c>
      <c r="E31" s="83" t="inlineStr">
        <is>
          <t xml:space="preserve">900</t>
        </is>
      </c>
      <c r="F31" s="83"/>
      <c r="G31" s="87"/>
      <c r="H31" s="87"/>
      <c r="I31" s="87">
        <v>33747.0</v>
      </c>
      <c r="J31" s="87">
        <v>1200.5</v>
      </c>
      <c r="K31" s="87">
        <v>0.0</v>
      </c>
      <c r="L31" s="87">
        <v>0.0</v>
      </c>
      <c r="M31" s="87">
        <v>9000.0</v>
      </c>
      <c r="N31" s="87">
        <v>5000.0</v>
      </c>
      <c r="O31" s="89" t="inlineStr">
        <is>
          <t xml:space="preserve">UNPAID</t>
        </is>
      </c>
      <c r="P31" s="83" t="inlineStr">
        <is>
          <t xml:space="preserve">RF</t>
        </is>
      </c>
      <c r="Q31" s="87">
        <v>0.0</v>
      </c>
      <c r="R31" s="87">
        <v>0.0</v>
      </c>
      <c r="S31" s="83"/>
      <c r="T31" s="83"/>
      <c r="U31" s="83"/>
      <c r="V31" s="83" t="inlineStr">
        <is>
          <t xml:space="preserve">OTHER</t>
        </is>
      </c>
      <c r="W31" s="83" t="inlineStr">
        <is>
          <t xml:space="preserve">DEVI (TC116) / 9000011111</t>
        </is>
      </c>
      <c r="X31" s="83" t="inlineStr">
        <is>
          <t xml:space="preserve">TC116</t>
        </is>
      </c>
      <c r="Y31" s="83" t="inlineStr">
        <is>
          <t xml:space="preserve">CAT J</t>
        </is>
      </c>
      <c r="Z31" s="83"/>
      <c r="AA31" s="83"/>
      <c r="AB31" s="83" t="inlineStr">
        <is>
          <t xml:space="preserve">VIZAG</t>
        </is>
      </c>
      <c r="AC31" s="83" t="inlineStr">
        <is>
          <t xml:space="preserve">TS</t>
        </is>
      </c>
      <c r="AD31" s="83" t="inlineStr">
        <is>
          <t xml:space="preserve">RAVI KUMAR (FO047) / VSP / 9876543210</t>
        </is>
      </c>
      <c r="AE31" s="83" t="inlineStr">
        <is>
          <t xml:space="preserve">FO047</t>
        </is>
      </c>
      <c r="AF31" s="83"/>
      <c r="AG31" s="83"/>
      <c r="AH31" s="83"/>
      <c r="AI31" s="83"/>
      <c r="AJ31" s="83"/>
      <c r="AK31" s="83" t="inlineStr">
        <is>
          <t xml:space="preserve">NOT VISITED</t>
        </is>
      </c>
      <c r="AL31" s="83"/>
      <c r="AM31" s="83"/>
      <c r="AN31" s="83"/>
      <c r="AO31" s="83"/>
      <c r="AP31" s="87"/>
      <c r="AQ31" s="83"/>
      <c r="AR31" s="83" t="inlineStr">
        <is>
          <t xml:space="preserve">Coral Card</t>
        </is>
      </c>
      <c r="AS31" s="83"/>
      <c r="AT31" s="83"/>
    </row>
    <row r="32">
      <c r="A32" s="82" t="inlineStr">
        <is>
          <t xml:space="preserve">AC44</t>
        </is>
      </c>
      <c r="B32" s="82" t="inlineStr">
        <is>
          <t xml:space="preserve">Cust 44</t>
        </is>
      </c>
      <c r="C32" s="82"/>
      <c r="D32" s="84">
        <v>2</v>
      </c>
      <c r="E32" s="82" t="inlineStr">
        <is>
          <t xml:space="preserve">900</t>
        </is>
      </c>
      <c r="F32" s="82"/>
      <c r="G32" s="86"/>
      <c r="H32" s="86"/>
      <c r="I32" s="86">
        <v>253135.0</v>
      </c>
      <c r="J32" s="86">
        <v>1200.5</v>
      </c>
      <c r="K32" s="86">
        <v>0.0</v>
      </c>
      <c r="L32" s="86">
        <v>0.0</v>
      </c>
      <c r="M32" s="86">
        <v>9000.0</v>
      </c>
      <c r="N32" s="86">
        <v>5000.0</v>
      </c>
      <c r="O32" s="89" t="inlineStr">
        <is>
          <t xml:space="preserve">UNPAID</t>
        </is>
      </c>
      <c r="P32" s="82" t="inlineStr">
        <is>
          <t xml:space="preserve">RF</t>
        </is>
      </c>
      <c r="Q32" s="86">
        <v>0.0</v>
      </c>
      <c r="R32" s="86">
        <v>0.0</v>
      </c>
      <c r="S32" s="82"/>
      <c r="T32" s="82"/>
      <c r="U32" s="82"/>
      <c r="V32" s="82" t="inlineStr">
        <is>
          <t xml:space="preserve">OTHER</t>
        </is>
      </c>
      <c r="W32" s="82" t="inlineStr">
        <is>
          <t xml:space="preserve">DEVI (TC116) / 9000011111</t>
        </is>
      </c>
      <c r="X32" s="82" t="inlineStr">
        <is>
          <t xml:space="preserve">TC116</t>
        </is>
      </c>
      <c r="Y32" s="82" t="inlineStr">
        <is>
          <t xml:space="preserve">CAT I</t>
        </is>
      </c>
      <c r="Z32" s="82"/>
      <c r="AA32" s="82"/>
      <c r="AB32" s="82" t="inlineStr">
        <is>
          <t xml:space="preserve">VIZAG</t>
        </is>
      </c>
      <c r="AC32" s="82" t="inlineStr">
        <is>
          <t xml:space="preserve">KDP</t>
        </is>
      </c>
      <c r="AD32" s="82" t="inlineStr">
        <is>
          <t xml:space="preserve">RAVI KUMAR (FO047) / VSP / 9876543210</t>
        </is>
      </c>
      <c r="AE32" s="82" t="inlineStr">
        <is>
          <t xml:space="preserve">FO047</t>
        </is>
      </c>
      <c r="AF32" s="82"/>
      <c r="AG32" s="82"/>
      <c r="AH32" s="82"/>
      <c r="AI32" s="82"/>
      <c r="AJ32" s="82"/>
      <c r="AK32" s="82" t="inlineStr">
        <is>
          <t xml:space="preserve">NOT VISITED</t>
        </is>
      </c>
      <c r="AL32" s="82"/>
      <c r="AM32" s="82"/>
      <c r="AN32" s="82"/>
      <c r="AO32" s="82"/>
      <c r="AP32" s="86"/>
      <c r="AQ32" s="82"/>
      <c r="AR32" s="82" t="inlineStr">
        <is>
          <t xml:space="preserve">Coral Card</t>
        </is>
      </c>
      <c r="AS32" s="82"/>
      <c r="AT32" s="82"/>
    </row>
    <row r="33">
      <c r="A33" s="83" t="inlineStr">
        <is>
          <t xml:space="preserve">AC46</t>
        </is>
      </c>
      <c r="B33" s="83" t="inlineStr">
        <is>
          <t xml:space="preserve">Cust 46</t>
        </is>
      </c>
      <c r="C33" s="83"/>
      <c r="D33" s="85">
        <v>21</v>
      </c>
      <c r="E33" s="83" t="inlineStr">
        <is>
          <t xml:space="preserve">900</t>
        </is>
      </c>
      <c r="F33" s="83"/>
      <c r="G33" s="87"/>
      <c r="H33" s="87"/>
      <c r="I33" s="87">
        <v>102826.0</v>
      </c>
      <c r="J33" s="87">
        <v>1200.5</v>
      </c>
      <c r="K33" s="87">
        <v>0.0</v>
      </c>
      <c r="L33" s="87">
        <v>0.0</v>
      </c>
      <c r="M33" s="87">
        <v>9000.0</v>
      </c>
      <c r="N33" s="87">
        <v>5000.0</v>
      </c>
      <c r="O33" s="89" t="inlineStr">
        <is>
          <t xml:space="preserve">UNPAID</t>
        </is>
      </c>
      <c r="P33" s="83" t="inlineStr">
        <is>
          <t xml:space="preserve">RF</t>
        </is>
      </c>
      <c r="Q33" s="87">
        <v>2000.0</v>
      </c>
      <c r="R33" s="87">
        <v>0.0</v>
      </c>
      <c r="S33" s="83"/>
      <c r="T33" s="83"/>
      <c r="U33" s="83"/>
      <c r="V33" s="83" t="inlineStr">
        <is>
          <t xml:space="preserve">OTHER</t>
        </is>
      </c>
      <c r="W33" s="83" t="inlineStr">
        <is>
          <t xml:space="preserve">DEVI (TC116) / 9000011111</t>
        </is>
      </c>
      <c r="X33" s="83" t="inlineStr">
        <is>
          <t xml:space="preserve">TC116</t>
        </is>
      </c>
      <c r="Y33" s="83" t="inlineStr">
        <is>
          <t xml:space="preserve">CAT I</t>
        </is>
      </c>
      <c r="Z33" s="83"/>
      <c r="AA33" s="83"/>
      <c r="AB33" s="83" t="inlineStr">
        <is>
          <t xml:space="preserve">VIZAG</t>
        </is>
      </c>
      <c r="AC33" s="83" t="inlineStr">
        <is>
          <t xml:space="preserve">TS</t>
        </is>
      </c>
      <c r="AD33" s="83" t="inlineStr">
        <is>
          <t xml:space="preserve">RAVI KUMAR (FO047) / VSP / 9876543210</t>
        </is>
      </c>
      <c r="AE33" s="83" t="inlineStr">
        <is>
          <t xml:space="preserve">FO047</t>
        </is>
      </c>
      <c r="AF33" s="83"/>
      <c r="AG33" s="83"/>
      <c r="AH33" s="83"/>
      <c r="AI33" s="83"/>
      <c r="AJ33" s="83"/>
      <c r="AK33" s="83" t="inlineStr">
        <is>
          <t xml:space="preserve">NOT VISITED</t>
        </is>
      </c>
      <c r="AL33" s="83"/>
      <c r="AM33" s="83"/>
      <c r="AN33" s="83"/>
      <c r="AO33" s="83"/>
      <c r="AP33" s="87"/>
      <c r="AQ33" s="83"/>
      <c r="AR33" s="83" t="inlineStr">
        <is>
          <t xml:space="preserve">Coral Card</t>
        </is>
      </c>
      <c r="AS33" s="83"/>
      <c r="AT33" s="83"/>
    </row>
    <row r="34">
      <c r="A34" s="82" t="inlineStr">
        <is>
          <t xml:space="preserve">AC47</t>
        </is>
      </c>
      <c r="B34" s="82" t="inlineStr">
        <is>
          <t xml:space="preserve">Cust 47</t>
        </is>
      </c>
      <c r="C34" s="82"/>
      <c r="D34" s="84">
        <v>21</v>
      </c>
      <c r="E34" s="82" t="inlineStr">
        <is>
          <t xml:space="preserve">900</t>
        </is>
      </c>
      <c r="F34" s="82"/>
      <c r="G34" s="86"/>
      <c r="H34" s="86"/>
      <c r="I34" s="86">
        <v>608047.0</v>
      </c>
      <c r="J34" s="86">
        <v>1200.5</v>
      </c>
      <c r="K34" s="86">
        <v>0.0</v>
      </c>
      <c r="L34" s="86">
        <v>0.0</v>
      </c>
      <c r="M34" s="86">
        <v>9000.0</v>
      </c>
      <c r="N34" s="86">
        <v>5000.0</v>
      </c>
      <c r="O34" s="88" t="inlineStr">
        <is>
          <t xml:space="preserve">PAID</t>
        </is>
      </c>
      <c r="P34" s="82" t="inlineStr">
        <is>
          <t xml:space="preserve">NORM</t>
        </is>
      </c>
      <c r="Q34" s="86">
        <v>9000.0</v>
      </c>
      <c r="R34" s="86">
        <v>0.0</v>
      </c>
      <c r="S34" s="82"/>
      <c r="T34" s="82"/>
      <c r="U34" s="82"/>
      <c r="V34" s="82" t="inlineStr">
        <is>
          <t xml:space="preserve">OTHER</t>
        </is>
      </c>
      <c r="W34" s="82" t="inlineStr">
        <is>
          <t xml:space="preserve">DEVI (TC116) / 9000011111</t>
        </is>
      </c>
      <c r="X34" s="82" t="inlineStr">
        <is>
          <t xml:space="preserve">TC116</t>
        </is>
      </c>
      <c r="Y34" s="82" t="inlineStr">
        <is>
          <t xml:space="preserve">CAT J</t>
        </is>
      </c>
      <c r="Z34" s="82"/>
      <c r="AA34" s="82"/>
      <c r="AB34" s="82" t="inlineStr">
        <is>
          <t xml:space="preserve">VIZAG</t>
        </is>
      </c>
      <c r="AC34" s="82" t="inlineStr">
        <is>
          <t xml:space="preserve">KDP</t>
        </is>
      </c>
      <c r="AD34" s="82" t="inlineStr">
        <is>
          <t xml:space="preserve">RAVI KUMAR (FO047) / VSP / 9876543210</t>
        </is>
      </c>
      <c r="AE34" s="82" t="inlineStr">
        <is>
          <t xml:space="preserve">FO047</t>
        </is>
      </c>
      <c r="AF34" s="82"/>
      <c r="AG34" s="82"/>
      <c r="AH34" s="82"/>
      <c r="AI34" s="82"/>
      <c r="AJ34" s="82"/>
      <c r="AK34" s="82" t="inlineStr">
        <is>
          <t xml:space="preserve">NOT VISITED</t>
        </is>
      </c>
      <c r="AL34" s="82"/>
      <c r="AM34" s="82"/>
      <c r="AN34" s="82"/>
      <c r="AO34" s="82"/>
      <c r="AP34" s="86"/>
      <c r="AQ34" s="82"/>
      <c r="AR34" s="82" t="inlineStr">
        <is>
          <t xml:space="preserve">Coral Card</t>
        </is>
      </c>
      <c r="AS34" s="82"/>
      <c r="AT34" s="82"/>
    </row>
    <row r="35">
      <c r="A35" s="83" t="inlineStr">
        <is>
          <t xml:space="preserve">AC49</t>
        </is>
      </c>
      <c r="B35" s="83" t="inlineStr">
        <is>
          <t xml:space="preserve">Cust 49</t>
        </is>
      </c>
      <c r="C35" s="83"/>
      <c r="D35" s="85">
        <v>21</v>
      </c>
      <c r="E35" s="83" t="inlineStr">
        <is>
          <t xml:space="preserve">900</t>
        </is>
      </c>
      <c r="F35" s="83"/>
      <c r="G35" s="87"/>
      <c r="H35" s="87"/>
      <c r="I35" s="87">
        <v>898380.0</v>
      </c>
      <c r="J35" s="87">
        <v>1200.5</v>
      </c>
      <c r="K35" s="87">
        <v>0.0</v>
      </c>
      <c r="L35" s="87">
        <v>0.0</v>
      </c>
      <c r="M35" s="87">
        <v>9000.0</v>
      </c>
      <c r="N35" s="87">
        <v>5000.0</v>
      </c>
      <c r="O35" s="88" t="inlineStr">
        <is>
          <t xml:space="preserve">PAID</t>
        </is>
      </c>
      <c r="P35" s="83" t="inlineStr">
        <is>
          <t xml:space="preserve">NORM</t>
        </is>
      </c>
      <c r="Q35" s="87">
        <v>9000.0</v>
      </c>
      <c r="R35" s="87">
        <v>0.0</v>
      </c>
      <c r="S35" s="83"/>
      <c r="T35" s="83"/>
      <c r="U35" s="83"/>
      <c r="V35" s="83" t="inlineStr">
        <is>
          <t xml:space="preserve">OTHER</t>
        </is>
      </c>
      <c r="W35" s="83" t="inlineStr">
        <is>
          <t xml:space="preserve">DEVI (TC116) / 9000011111</t>
        </is>
      </c>
      <c r="X35" s="83" t="inlineStr">
        <is>
          <t xml:space="preserve">TC116</t>
        </is>
      </c>
      <c r="Y35" s="83" t="inlineStr">
        <is>
          <t xml:space="preserve">CAT J</t>
        </is>
      </c>
      <c r="Z35" s="83"/>
      <c r="AA35" s="83"/>
      <c r="AB35" s="83" t="inlineStr">
        <is>
          <t xml:space="preserve">VIZAG</t>
        </is>
      </c>
      <c r="AC35" s="83" t="inlineStr">
        <is>
          <t xml:space="preserve">KDP</t>
        </is>
      </c>
      <c r="AD35" s="83" t="inlineStr">
        <is>
          <t xml:space="preserve">RAVI KUMAR (FO047) / VSP / 9876543210</t>
        </is>
      </c>
      <c r="AE35" s="83" t="inlineStr">
        <is>
          <t xml:space="preserve">FO047</t>
        </is>
      </c>
      <c r="AF35" s="83"/>
      <c r="AG35" s="83"/>
      <c r="AH35" s="83"/>
      <c r="AI35" s="83"/>
      <c r="AJ35" s="83"/>
      <c r="AK35" s="83" t="inlineStr">
        <is>
          <t xml:space="preserve">NOT VISITED</t>
        </is>
      </c>
      <c r="AL35" s="83"/>
      <c r="AM35" s="83"/>
      <c r="AN35" s="83"/>
      <c r="AO35" s="83"/>
      <c r="AP35" s="87"/>
      <c r="AQ35" s="83"/>
      <c r="AR35" s="83" t="inlineStr">
        <is>
          <t xml:space="preserve">Coral Card</t>
        </is>
      </c>
      <c r="AS35" s="83"/>
      <c r="AT35" s="83"/>
    </row>
    <row r="36">
      <c r="A36" s="82" t="inlineStr">
        <is>
          <t xml:space="preserve">AC5</t>
        </is>
      </c>
      <c r="B36" s="82" t="inlineStr">
        <is>
          <t xml:space="preserve">Cust 5</t>
        </is>
      </c>
      <c r="C36" s="82"/>
      <c r="D36" s="84">
        <v>21</v>
      </c>
      <c r="E36" s="82" t="inlineStr">
        <is>
          <t xml:space="preserve">900</t>
        </is>
      </c>
      <c r="F36" s="82"/>
      <c r="G36" s="86"/>
      <c r="H36" s="86"/>
      <c r="I36" s="86">
        <v>655281.0</v>
      </c>
      <c r="J36" s="86">
        <v>1200.5</v>
      </c>
      <c r="K36" s="86">
        <v>0.0</v>
      </c>
      <c r="L36" s="86">
        <v>0.0</v>
      </c>
      <c r="M36" s="86">
        <v>9000.0</v>
      </c>
      <c r="N36" s="86">
        <v>5000.0</v>
      </c>
      <c r="O36" s="89" t="inlineStr">
        <is>
          <t xml:space="preserve">UNPAID</t>
        </is>
      </c>
      <c r="P36" s="82" t="inlineStr">
        <is>
          <t xml:space="preserve">RF</t>
        </is>
      </c>
      <c r="Q36" s="86">
        <v>0.0</v>
      </c>
      <c r="R36" s="86">
        <v>0.0</v>
      </c>
      <c r="S36" s="82"/>
      <c r="T36" s="82"/>
      <c r="U36" s="82"/>
      <c r="V36" s="82" t="inlineStr">
        <is>
          <t xml:space="preserve">NAGALLA</t>
        </is>
      </c>
      <c r="W36" s="82" t="inlineStr">
        <is>
          <t xml:space="preserve">DEVI (TC116) / 9000011111</t>
        </is>
      </c>
      <c r="X36" s="82" t="inlineStr">
        <is>
          <t xml:space="preserve">TC116</t>
        </is>
      </c>
      <c r="Y36" s="82" t="inlineStr">
        <is>
          <t xml:space="preserve">CAT I</t>
        </is>
      </c>
      <c r="Z36" s="82"/>
      <c r="AA36" s="82"/>
      <c r="AB36" s="82" t="inlineStr">
        <is>
          <t xml:space="preserve">VIZAG</t>
        </is>
      </c>
      <c r="AC36" s="82" t="inlineStr">
        <is>
          <t xml:space="preserve">TS</t>
        </is>
      </c>
      <c r="AD36" s="82" t="inlineStr">
        <is>
          <t xml:space="preserve">RAVI KUMAR (FO047) / VSP / 9876543210</t>
        </is>
      </c>
      <c r="AE36" s="82" t="inlineStr">
        <is>
          <t xml:space="preserve">FO047</t>
        </is>
      </c>
      <c r="AF36" s="82"/>
      <c r="AG36" s="82"/>
      <c r="AH36" s="82"/>
      <c r="AI36" s="82"/>
      <c r="AJ36" s="82"/>
      <c r="AK36" s="82" t="inlineStr">
        <is>
          <t xml:space="preserve">VISITED</t>
        </is>
      </c>
      <c r="AL36" s="82" t="inlineStr">
        <is>
          <t xml:space="preserve">LIVE</t>
        </is>
      </c>
      <c r="AM36" s="82"/>
      <c r="AN36" s="82" t="inlineStr">
        <is>
          <t xml:space="preserve">31-10-2026</t>
        </is>
      </c>
      <c r="AO36" s="82"/>
      <c r="AP36" s="86"/>
      <c r="AQ36" s="82"/>
      <c r="AR36" s="82" t="inlineStr">
        <is>
          <t xml:space="preserve">Coral Card</t>
        </is>
      </c>
      <c r="AS36" s="82"/>
      <c r="AT36" s="82"/>
    </row>
    <row r="37">
      <c r="A37" s="83" t="inlineStr">
        <is>
          <t xml:space="preserve">AC50</t>
        </is>
      </c>
      <c r="B37" s="83" t="inlineStr">
        <is>
          <t xml:space="preserve">Cust 50</t>
        </is>
      </c>
      <c r="C37" s="83"/>
      <c r="D37" s="85">
        <v>2</v>
      </c>
      <c r="E37" s="83" t="inlineStr">
        <is>
          <t xml:space="preserve">900</t>
        </is>
      </c>
      <c r="F37" s="83"/>
      <c r="G37" s="87"/>
      <c r="H37" s="87"/>
      <c r="I37" s="87">
        <v>419673.0</v>
      </c>
      <c r="J37" s="87">
        <v>1200.5</v>
      </c>
      <c r="K37" s="87">
        <v>0.0</v>
      </c>
      <c r="L37" s="87">
        <v>0.0</v>
      </c>
      <c r="M37" s="87">
        <v>9000.0</v>
      </c>
      <c r="N37" s="87">
        <v>5000.0</v>
      </c>
      <c r="O37" s="89" t="inlineStr">
        <is>
          <t xml:space="preserve">UNPAID</t>
        </is>
      </c>
      <c r="P37" s="83" t="inlineStr">
        <is>
          <t xml:space="preserve">RF</t>
        </is>
      </c>
      <c r="Q37" s="87">
        <v>0.0</v>
      </c>
      <c r="R37" s="87">
        <v>0.0</v>
      </c>
      <c r="S37" s="83"/>
      <c r="T37" s="83"/>
      <c r="U37" s="83"/>
      <c r="V37" s="83" t="inlineStr">
        <is>
          <t xml:space="preserve">OTHER</t>
        </is>
      </c>
      <c r="W37" s="83" t="inlineStr">
        <is>
          <t xml:space="preserve">DEVI (TC116) / 9000011111</t>
        </is>
      </c>
      <c r="X37" s="83" t="inlineStr">
        <is>
          <t xml:space="preserve">TC116</t>
        </is>
      </c>
      <c r="Y37" s="83" t="inlineStr">
        <is>
          <t xml:space="preserve">CAT J</t>
        </is>
      </c>
      <c r="Z37" s="83"/>
      <c r="AA37" s="83"/>
      <c r="AB37" s="83" t="inlineStr">
        <is>
          <t xml:space="preserve">VIZAG</t>
        </is>
      </c>
      <c r="AC37" s="83" t="inlineStr">
        <is>
          <t xml:space="preserve">KDP</t>
        </is>
      </c>
      <c r="AD37" s="83" t="inlineStr">
        <is>
          <t xml:space="preserve">RAVI KUMAR (FO047) / VSP / 9876543210</t>
        </is>
      </c>
      <c r="AE37" s="83" t="inlineStr">
        <is>
          <t xml:space="preserve">FO047</t>
        </is>
      </c>
      <c r="AF37" s="83"/>
      <c r="AG37" s="83"/>
      <c r="AH37" s="83"/>
      <c r="AI37" s="83"/>
      <c r="AJ37" s="83"/>
      <c r="AK37" s="83" t="inlineStr">
        <is>
          <t xml:space="preserve">NOT VISITED</t>
        </is>
      </c>
      <c r="AL37" s="83"/>
      <c r="AM37" s="83"/>
      <c r="AN37" s="83"/>
      <c r="AO37" s="83"/>
      <c r="AP37" s="87"/>
      <c r="AQ37" s="83"/>
      <c r="AR37" s="83" t="inlineStr">
        <is>
          <t xml:space="preserve">Coral Card</t>
        </is>
      </c>
      <c r="AS37" s="83"/>
      <c r="AT37" s="83"/>
    </row>
    <row r="38">
      <c r="A38" s="82" t="inlineStr">
        <is>
          <t xml:space="preserve">AC52</t>
        </is>
      </c>
      <c r="B38" s="82" t="inlineStr">
        <is>
          <t xml:space="preserve">Cust 52</t>
        </is>
      </c>
      <c r="C38" s="82"/>
      <c r="D38" s="84">
        <v>12</v>
      </c>
      <c r="E38" s="82" t="inlineStr">
        <is>
          <t xml:space="preserve">900</t>
        </is>
      </c>
      <c r="F38" s="82"/>
      <c r="G38" s="86"/>
      <c r="H38" s="86"/>
      <c r="I38" s="86">
        <v>140010.0</v>
      </c>
      <c r="J38" s="86">
        <v>1200.5</v>
      </c>
      <c r="K38" s="86">
        <v>0.0</v>
      </c>
      <c r="L38" s="86">
        <v>0.0</v>
      </c>
      <c r="M38" s="86">
        <v>9000.0</v>
      </c>
      <c r="N38" s="86">
        <v>5000.0</v>
      </c>
      <c r="O38" s="89" t="inlineStr">
        <is>
          <t xml:space="preserve">UNPAID</t>
        </is>
      </c>
      <c r="P38" s="82" t="inlineStr">
        <is>
          <t xml:space="preserve">RF</t>
        </is>
      </c>
      <c r="Q38" s="86">
        <v>2000.0</v>
      </c>
      <c r="R38" s="86">
        <v>0.0</v>
      </c>
      <c r="S38" s="82"/>
      <c r="T38" s="82"/>
      <c r="U38" s="82"/>
      <c r="V38" s="82" t="inlineStr">
        <is>
          <t xml:space="preserve">OTHER</t>
        </is>
      </c>
      <c r="W38" s="82" t="inlineStr">
        <is>
          <t xml:space="preserve">DEVI (TC116) / 9000011111</t>
        </is>
      </c>
      <c r="X38" s="82" t="inlineStr">
        <is>
          <t xml:space="preserve">TC116</t>
        </is>
      </c>
      <c r="Y38" s="82" t="inlineStr">
        <is>
          <t xml:space="preserve">CAT J</t>
        </is>
      </c>
      <c r="Z38" s="82"/>
      <c r="AA38" s="82"/>
      <c r="AB38" s="82" t="inlineStr">
        <is>
          <t xml:space="preserve">VIZAG</t>
        </is>
      </c>
      <c r="AC38" s="82" t="inlineStr">
        <is>
          <t xml:space="preserve">TS</t>
        </is>
      </c>
      <c r="AD38" s="82" t="inlineStr">
        <is>
          <t xml:space="preserve">RAVI KUMAR (FO047) / VSP / 9876543210</t>
        </is>
      </c>
      <c r="AE38" s="82" t="inlineStr">
        <is>
          <t xml:space="preserve">FO047</t>
        </is>
      </c>
      <c r="AF38" s="82"/>
      <c r="AG38" s="82"/>
      <c r="AH38" s="82"/>
      <c r="AI38" s="82"/>
      <c r="AJ38" s="82"/>
      <c r="AK38" s="82" t="inlineStr">
        <is>
          <t xml:space="preserve">NOT VISITED</t>
        </is>
      </c>
      <c r="AL38" s="82"/>
      <c r="AM38" s="82"/>
      <c r="AN38" s="82"/>
      <c r="AO38" s="82"/>
      <c r="AP38" s="86"/>
      <c r="AQ38" s="82"/>
      <c r="AR38" s="82" t="inlineStr">
        <is>
          <t xml:space="preserve">Coral Card</t>
        </is>
      </c>
      <c r="AS38" s="82"/>
      <c r="AT38" s="82"/>
    </row>
    <row r="39">
      <c r="A39" s="83" t="inlineStr">
        <is>
          <t xml:space="preserve">AC53</t>
        </is>
      </c>
      <c r="B39" s="83" t="inlineStr">
        <is>
          <t xml:space="preserve">Cust 53</t>
        </is>
      </c>
      <c r="C39" s="83"/>
      <c r="D39" s="85">
        <v>21</v>
      </c>
      <c r="E39" s="83" t="inlineStr">
        <is>
          <t xml:space="preserve">900</t>
        </is>
      </c>
      <c r="F39" s="83"/>
      <c r="G39" s="87"/>
      <c r="H39" s="87"/>
      <c r="I39" s="87">
        <v>765783.0</v>
      </c>
      <c r="J39" s="87">
        <v>1200.5</v>
      </c>
      <c r="K39" s="87">
        <v>0.0</v>
      </c>
      <c r="L39" s="87">
        <v>0.0</v>
      </c>
      <c r="M39" s="87">
        <v>9000.0</v>
      </c>
      <c r="N39" s="87">
        <v>5000.0</v>
      </c>
      <c r="O39" s="89" t="inlineStr">
        <is>
          <t xml:space="preserve">UNPAID</t>
        </is>
      </c>
      <c r="P39" s="83" t="inlineStr">
        <is>
          <t xml:space="preserve">RF</t>
        </is>
      </c>
      <c r="Q39" s="87">
        <v>0.0</v>
      </c>
      <c r="R39" s="87">
        <v>0.0</v>
      </c>
      <c r="S39" s="83"/>
      <c r="T39" s="83"/>
      <c r="U39" s="83"/>
      <c r="V39" s="83" t="inlineStr">
        <is>
          <t xml:space="preserve">OTHER</t>
        </is>
      </c>
      <c r="W39" s="83" t="inlineStr">
        <is>
          <t xml:space="preserve">DEVI (TC116) / 9000011111</t>
        </is>
      </c>
      <c r="X39" s="83" t="inlineStr">
        <is>
          <t xml:space="preserve">TC116</t>
        </is>
      </c>
      <c r="Y39" s="83" t="inlineStr">
        <is>
          <t xml:space="preserve">CAT I</t>
        </is>
      </c>
      <c r="Z39" s="83"/>
      <c r="AA39" s="83"/>
      <c r="AB39" s="83" t="inlineStr">
        <is>
          <t xml:space="preserve">VIZAG</t>
        </is>
      </c>
      <c r="AC39" s="83" t="inlineStr">
        <is>
          <t xml:space="preserve">KDP</t>
        </is>
      </c>
      <c r="AD39" s="83" t="inlineStr">
        <is>
          <t xml:space="preserve">RAVI KUMAR (FO047) / VSP / 9876543210</t>
        </is>
      </c>
      <c r="AE39" s="83" t="inlineStr">
        <is>
          <t xml:space="preserve">FO047</t>
        </is>
      </c>
      <c r="AF39" s="83"/>
      <c r="AG39" s="83"/>
      <c r="AH39" s="83"/>
      <c r="AI39" s="83"/>
      <c r="AJ39" s="83"/>
      <c r="AK39" s="83" t="inlineStr">
        <is>
          <t xml:space="preserve">NOT VISITED</t>
        </is>
      </c>
      <c r="AL39" s="83"/>
      <c r="AM39" s="83"/>
      <c r="AN39" s="83"/>
      <c r="AO39" s="83"/>
      <c r="AP39" s="87"/>
      <c r="AQ39" s="83"/>
      <c r="AR39" s="83" t="inlineStr">
        <is>
          <t xml:space="preserve">Coral Card</t>
        </is>
      </c>
      <c r="AS39" s="83"/>
      <c r="AT39" s="83"/>
    </row>
    <row r="40">
      <c r="A40" s="82" t="inlineStr">
        <is>
          <t xml:space="preserve">AC55</t>
        </is>
      </c>
      <c r="B40" s="82" t="inlineStr">
        <is>
          <t xml:space="preserve">Cust 55</t>
        </is>
      </c>
      <c r="C40" s="82"/>
      <c r="D40" s="84">
        <v>12</v>
      </c>
      <c r="E40" s="82" t="inlineStr">
        <is>
          <t xml:space="preserve">900</t>
        </is>
      </c>
      <c r="F40" s="82"/>
      <c r="G40" s="86"/>
      <c r="H40" s="86"/>
      <c r="I40" s="86">
        <v>409653.0</v>
      </c>
      <c r="J40" s="86">
        <v>1200.5</v>
      </c>
      <c r="K40" s="86">
        <v>0.0</v>
      </c>
      <c r="L40" s="86">
        <v>0.0</v>
      </c>
      <c r="M40" s="86">
        <v>9000.0</v>
      </c>
      <c r="N40" s="86">
        <v>5000.0</v>
      </c>
      <c r="O40" s="89" t="inlineStr">
        <is>
          <t xml:space="preserve">UNPAID</t>
        </is>
      </c>
      <c r="P40" s="82" t="inlineStr">
        <is>
          <t xml:space="preserve">RF</t>
        </is>
      </c>
      <c r="Q40" s="86">
        <v>2000.0</v>
      </c>
      <c r="R40" s="86">
        <v>0.0</v>
      </c>
      <c r="S40" s="82"/>
      <c r="T40" s="82"/>
      <c r="U40" s="82"/>
      <c r="V40" s="82" t="inlineStr">
        <is>
          <t xml:space="preserve">OTHER</t>
        </is>
      </c>
      <c r="W40" s="82" t="inlineStr">
        <is>
          <t xml:space="preserve">DEVI (TC116) / 9000011111</t>
        </is>
      </c>
      <c r="X40" s="82" t="inlineStr">
        <is>
          <t xml:space="preserve">TC116</t>
        </is>
      </c>
      <c r="Y40" s="82" t="inlineStr">
        <is>
          <t xml:space="preserve">CAT J</t>
        </is>
      </c>
      <c r="Z40" s="82"/>
      <c r="AA40" s="82"/>
      <c r="AB40" s="82" t="inlineStr">
        <is>
          <t xml:space="preserve">VIZAG</t>
        </is>
      </c>
      <c r="AC40" s="82" t="inlineStr">
        <is>
          <t xml:space="preserve">TS</t>
        </is>
      </c>
      <c r="AD40" s="82" t="inlineStr">
        <is>
          <t xml:space="preserve">RAVI KUMAR (FO047) / VSP / 9876543210</t>
        </is>
      </c>
      <c r="AE40" s="82" t="inlineStr">
        <is>
          <t xml:space="preserve">FO047</t>
        </is>
      </c>
      <c r="AF40" s="82"/>
      <c r="AG40" s="82"/>
      <c r="AH40" s="82"/>
      <c r="AI40" s="82"/>
      <c r="AJ40" s="82"/>
      <c r="AK40" s="82" t="inlineStr">
        <is>
          <t xml:space="preserve">NOT VISITED</t>
        </is>
      </c>
      <c r="AL40" s="82"/>
      <c r="AM40" s="82"/>
      <c r="AN40" s="82"/>
      <c r="AO40" s="82"/>
      <c r="AP40" s="86"/>
      <c r="AQ40" s="82"/>
      <c r="AR40" s="82" t="inlineStr">
        <is>
          <t xml:space="preserve">Coral Card</t>
        </is>
      </c>
      <c r="AS40" s="82"/>
      <c r="AT40" s="82"/>
    </row>
    <row r="41">
      <c r="A41" s="83" t="inlineStr">
        <is>
          <t xml:space="preserve">AC56</t>
        </is>
      </c>
      <c r="B41" s="83" t="inlineStr">
        <is>
          <t xml:space="preserve">Cust 56</t>
        </is>
      </c>
      <c r="C41" s="83"/>
      <c r="D41" s="85">
        <v>2</v>
      </c>
      <c r="E41" s="83" t="inlineStr">
        <is>
          <t xml:space="preserve">900</t>
        </is>
      </c>
      <c r="F41" s="83"/>
      <c r="G41" s="87"/>
      <c r="H41" s="87"/>
      <c r="I41" s="87">
        <v>538264.0</v>
      </c>
      <c r="J41" s="87">
        <v>1200.5</v>
      </c>
      <c r="K41" s="87">
        <v>0.0</v>
      </c>
      <c r="L41" s="87">
        <v>0.0</v>
      </c>
      <c r="M41" s="87">
        <v>9000.0</v>
      </c>
      <c r="N41" s="87">
        <v>5000.0</v>
      </c>
      <c r="O41" s="89" t="inlineStr">
        <is>
          <t xml:space="preserve">UNPAID</t>
        </is>
      </c>
      <c r="P41" s="83" t="inlineStr">
        <is>
          <t xml:space="preserve">RF</t>
        </is>
      </c>
      <c r="Q41" s="87">
        <v>0.0</v>
      </c>
      <c r="R41" s="87">
        <v>0.0</v>
      </c>
      <c r="S41" s="83"/>
      <c r="T41" s="83"/>
      <c r="U41" s="83"/>
      <c r="V41" s="83" t="inlineStr">
        <is>
          <t xml:space="preserve">OTHER</t>
        </is>
      </c>
      <c r="W41" s="83" t="inlineStr">
        <is>
          <t xml:space="preserve">DEVI (TC116) / 9000011111</t>
        </is>
      </c>
      <c r="X41" s="83" t="inlineStr">
        <is>
          <t xml:space="preserve">TC116</t>
        </is>
      </c>
      <c r="Y41" s="83" t="inlineStr">
        <is>
          <t xml:space="preserve">CAT J</t>
        </is>
      </c>
      <c r="Z41" s="83"/>
      <c r="AA41" s="83"/>
      <c r="AB41" s="83" t="inlineStr">
        <is>
          <t xml:space="preserve">VIZAG</t>
        </is>
      </c>
      <c r="AC41" s="83" t="inlineStr">
        <is>
          <t xml:space="preserve">KDP</t>
        </is>
      </c>
      <c r="AD41" s="83" t="inlineStr">
        <is>
          <t xml:space="preserve">RAVI KUMAR (FO047) / VSP / 9876543210</t>
        </is>
      </c>
      <c r="AE41" s="83" t="inlineStr">
        <is>
          <t xml:space="preserve">FO047</t>
        </is>
      </c>
      <c r="AF41" s="83"/>
      <c r="AG41" s="83"/>
      <c r="AH41" s="83"/>
      <c r="AI41" s="83"/>
      <c r="AJ41" s="83"/>
      <c r="AK41" s="83" t="inlineStr">
        <is>
          <t xml:space="preserve">NOT VISITED</t>
        </is>
      </c>
      <c r="AL41" s="83"/>
      <c r="AM41" s="83"/>
      <c r="AN41" s="83"/>
      <c r="AO41" s="83"/>
      <c r="AP41" s="87"/>
      <c r="AQ41" s="83"/>
      <c r="AR41" s="83" t="inlineStr">
        <is>
          <t xml:space="preserve">Coral Card</t>
        </is>
      </c>
      <c r="AS41" s="83"/>
      <c r="AT41" s="83"/>
    </row>
    <row r="42">
      <c r="A42" s="82" t="inlineStr">
        <is>
          <t xml:space="preserve">AC58</t>
        </is>
      </c>
      <c r="B42" s="82" t="inlineStr">
        <is>
          <t xml:space="preserve">Cust 58</t>
        </is>
      </c>
      <c r="C42" s="82"/>
      <c r="D42" s="84">
        <v>2</v>
      </c>
      <c r="E42" s="82" t="inlineStr">
        <is>
          <t xml:space="preserve">900</t>
        </is>
      </c>
      <c r="F42" s="82"/>
      <c r="G42" s="86"/>
      <c r="H42" s="86"/>
      <c r="I42" s="86">
        <v>844411.0</v>
      </c>
      <c r="J42" s="86">
        <v>1200.5</v>
      </c>
      <c r="K42" s="86">
        <v>0.0</v>
      </c>
      <c r="L42" s="86">
        <v>0.0</v>
      </c>
      <c r="M42" s="86">
        <v>9000.0</v>
      </c>
      <c r="N42" s="86">
        <v>5000.0</v>
      </c>
      <c r="O42" s="89" t="inlineStr">
        <is>
          <t xml:space="preserve">UNPAID</t>
        </is>
      </c>
      <c r="P42" s="82" t="inlineStr">
        <is>
          <t xml:space="preserve">RF</t>
        </is>
      </c>
      <c r="Q42" s="86">
        <v>0.0</v>
      </c>
      <c r="R42" s="86">
        <v>0.0</v>
      </c>
      <c r="S42" s="82"/>
      <c r="T42" s="82"/>
      <c r="U42" s="82"/>
      <c r="V42" s="82" t="inlineStr">
        <is>
          <t xml:space="preserve">OTHER</t>
        </is>
      </c>
      <c r="W42" s="82" t="inlineStr">
        <is>
          <t xml:space="preserve">DEVI (TC116) / 9000011111</t>
        </is>
      </c>
      <c r="X42" s="82" t="inlineStr">
        <is>
          <t xml:space="preserve">TC116</t>
        </is>
      </c>
      <c r="Y42" s="82" t="inlineStr">
        <is>
          <t xml:space="preserve">CAT J</t>
        </is>
      </c>
      <c r="Z42" s="82"/>
      <c r="AA42" s="82"/>
      <c r="AB42" s="82" t="inlineStr">
        <is>
          <t xml:space="preserve">VIZAG</t>
        </is>
      </c>
      <c r="AC42" s="82" t="inlineStr">
        <is>
          <t xml:space="preserve">KDP</t>
        </is>
      </c>
      <c r="AD42" s="82" t="inlineStr">
        <is>
          <t xml:space="preserve">RAVI KUMAR (FO047) / VSP / 9876543210</t>
        </is>
      </c>
      <c r="AE42" s="82" t="inlineStr">
        <is>
          <t xml:space="preserve">FO047</t>
        </is>
      </c>
      <c r="AF42" s="82"/>
      <c r="AG42" s="82"/>
      <c r="AH42" s="82"/>
      <c r="AI42" s="82"/>
      <c r="AJ42" s="82"/>
      <c r="AK42" s="82" t="inlineStr">
        <is>
          <t xml:space="preserve">NOT VISITED</t>
        </is>
      </c>
      <c r="AL42" s="82"/>
      <c r="AM42" s="82"/>
      <c r="AN42" s="82"/>
      <c r="AO42" s="82"/>
      <c r="AP42" s="86"/>
      <c r="AQ42" s="82"/>
      <c r="AR42" s="82" t="inlineStr">
        <is>
          <t xml:space="preserve">Coral Card</t>
        </is>
      </c>
      <c r="AS42" s="82"/>
      <c r="AT42" s="82"/>
    </row>
    <row r="43">
      <c r="A43" s="83" t="inlineStr">
        <is>
          <t xml:space="preserve">AC59</t>
        </is>
      </c>
      <c r="B43" s="83" t="inlineStr">
        <is>
          <t xml:space="preserve">Cust 59</t>
        </is>
      </c>
      <c r="C43" s="83"/>
      <c r="D43" s="85">
        <v>21</v>
      </c>
      <c r="E43" s="83" t="inlineStr">
        <is>
          <t xml:space="preserve">900</t>
        </is>
      </c>
      <c r="F43" s="83"/>
      <c r="G43" s="87"/>
      <c r="H43" s="87"/>
      <c r="I43" s="87">
        <v>451150.0</v>
      </c>
      <c r="J43" s="87">
        <v>1200.5</v>
      </c>
      <c r="K43" s="87">
        <v>0.0</v>
      </c>
      <c r="L43" s="87">
        <v>0.0</v>
      </c>
      <c r="M43" s="87">
        <v>9000.0</v>
      </c>
      <c r="N43" s="87">
        <v>5000.0</v>
      </c>
      <c r="O43" s="89" t="inlineStr">
        <is>
          <t xml:space="preserve">UNPAID</t>
        </is>
      </c>
      <c r="P43" s="83" t="inlineStr">
        <is>
          <t xml:space="preserve">RF</t>
        </is>
      </c>
      <c r="Q43" s="87">
        <v>2000.0</v>
      </c>
      <c r="R43" s="87">
        <v>0.0</v>
      </c>
      <c r="S43" s="83"/>
      <c r="T43" s="83"/>
      <c r="U43" s="83"/>
      <c r="V43" s="83" t="inlineStr">
        <is>
          <t xml:space="preserve">OTHER</t>
        </is>
      </c>
      <c r="W43" s="83" t="inlineStr">
        <is>
          <t xml:space="preserve">DEVI (TC116) / 9000011111</t>
        </is>
      </c>
      <c r="X43" s="83" t="inlineStr">
        <is>
          <t xml:space="preserve">TC116</t>
        </is>
      </c>
      <c r="Y43" s="83" t="inlineStr">
        <is>
          <t xml:space="preserve">CAT J</t>
        </is>
      </c>
      <c r="Z43" s="83"/>
      <c r="AA43" s="83"/>
      <c r="AB43" s="83" t="inlineStr">
        <is>
          <t xml:space="preserve">VIZAG</t>
        </is>
      </c>
      <c r="AC43" s="83" t="inlineStr">
        <is>
          <t xml:space="preserve">TS</t>
        </is>
      </c>
      <c r="AD43" s="83" t="inlineStr">
        <is>
          <t xml:space="preserve">RAVI KUMAR (FO047) / VSP / 9876543210</t>
        </is>
      </c>
      <c r="AE43" s="83" t="inlineStr">
        <is>
          <t xml:space="preserve">FO047</t>
        </is>
      </c>
      <c r="AF43" s="83"/>
      <c r="AG43" s="83"/>
      <c r="AH43" s="83"/>
      <c r="AI43" s="83"/>
      <c r="AJ43" s="83"/>
      <c r="AK43" s="83" t="inlineStr">
        <is>
          <t xml:space="preserve">NOT VISITED</t>
        </is>
      </c>
      <c r="AL43" s="83"/>
      <c r="AM43" s="83"/>
      <c r="AN43" s="83"/>
      <c r="AO43" s="83"/>
      <c r="AP43" s="87"/>
      <c r="AQ43" s="83"/>
      <c r="AR43" s="83" t="inlineStr">
        <is>
          <t xml:space="preserve">Coral Card</t>
        </is>
      </c>
      <c r="AS43" s="83"/>
      <c r="AT43" s="83"/>
    </row>
    <row r="44">
      <c r="A44" s="82" t="inlineStr">
        <is>
          <t xml:space="preserve">AC7</t>
        </is>
      </c>
      <c r="B44" s="82" t="inlineStr">
        <is>
          <t xml:space="preserve">Cust 7</t>
        </is>
      </c>
      <c r="C44" s="82"/>
      <c r="D44" s="84">
        <v>12</v>
      </c>
      <c r="E44" s="82" t="inlineStr">
        <is>
          <t xml:space="preserve">900</t>
        </is>
      </c>
      <c r="F44" s="82"/>
      <c r="G44" s="86"/>
      <c r="H44" s="86"/>
      <c r="I44" s="86">
        <v>877612.0</v>
      </c>
      <c r="J44" s="86">
        <v>1200.5</v>
      </c>
      <c r="K44" s="86">
        <v>0.0</v>
      </c>
      <c r="L44" s="86">
        <v>0.0</v>
      </c>
      <c r="M44" s="86">
        <v>9000.0</v>
      </c>
      <c r="N44" s="86">
        <v>5000.0</v>
      </c>
      <c r="O44" s="89" t="inlineStr">
        <is>
          <t xml:space="preserve">UNPAID</t>
        </is>
      </c>
      <c r="P44" s="82" t="inlineStr">
        <is>
          <t xml:space="preserve">RF</t>
        </is>
      </c>
      <c r="Q44" s="86">
        <v>0.0</v>
      </c>
      <c r="R44" s="86">
        <v>0.0</v>
      </c>
      <c r="S44" s="82" t="inlineStr">
        <is>
          <t xml:space="preserve">31-10-2026</t>
        </is>
      </c>
      <c r="T44" s="82" t="inlineStr">
        <is>
          <t xml:space="preserve">FE</t>
        </is>
      </c>
      <c r="U44" s="82"/>
      <c r="V44" s="82" t="inlineStr">
        <is>
          <t xml:space="preserve">NAGALLA</t>
        </is>
      </c>
      <c r="W44" s="82" t="inlineStr">
        <is>
          <t xml:space="preserve">DEVI (TC116) / 9000011111</t>
        </is>
      </c>
      <c r="X44" s="82" t="inlineStr">
        <is>
          <t xml:space="preserve">TC116</t>
        </is>
      </c>
      <c r="Y44" s="82" t="inlineStr">
        <is>
          <t xml:space="preserve">CAT I</t>
        </is>
      </c>
      <c r="Z44" s="82"/>
      <c r="AA44" s="82"/>
      <c r="AB44" s="82" t="inlineStr">
        <is>
          <t xml:space="preserve">VIZAG</t>
        </is>
      </c>
      <c r="AC44" s="82" t="inlineStr">
        <is>
          <t xml:space="preserve">TS</t>
        </is>
      </c>
      <c r="AD44" s="82" t="inlineStr">
        <is>
          <t xml:space="preserve">RAVI KUMAR (FO047) / VSP / 9876543210</t>
        </is>
      </c>
      <c r="AE44" s="82" t="inlineStr">
        <is>
          <t xml:space="preserve">FO047</t>
        </is>
      </c>
      <c r="AF44" s="82"/>
      <c r="AG44" s="82"/>
      <c r="AH44" s="82"/>
      <c r="AI44" s="82"/>
      <c r="AJ44" s="82"/>
      <c r="AK44" s="82" t="inlineStr">
        <is>
          <t xml:space="preserve">VISITED</t>
        </is>
      </c>
      <c r="AL44" s="82" t="inlineStr">
        <is>
          <t xml:space="preserve">LIVE</t>
        </is>
      </c>
      <c r="AM44" s="82"/>
      <c r="AN44" s="82" t="inlineStr">
        <is>
          <t xml:space="preserve">31-10-2026</t>
        </is>
      </c>
      <c r="AO44" s="82"/>
      <c r="AP44" s="86"/>
      <c r="AQ44" s="82"/>
      <c r="AR44" s="82" t="inlineStr">
        <is>
          <t xml:space="preserve">Coral Card</t>
        </is>
      </c>
      <c r="AS44" s="82"/>
      <c r="AT44" s="82"/>
    </row>
    <row r="45">
      <c r="A45" s="83" t="inlineStr">
        <is>
          <t xml:space="preserve">AC8</t>
        </is>
      </c>
      <c r="B45" s="83" t="inlineStr">
        <is>
          <t xml:space="preserve">Cust 8</t>
        </is>
      </c>
      <c r="C45" s="83"/>
      <c r="D45" s="85">
        <v>2</v>
      </c>
      <c r="E45" s="83" t="inlineStr">
        <is>
          <t xml:space="preserve">900</t>
        </is>
      </c>
      <c r="F45" s="83"/>
      <c r="G45" s="87"/>
      <c r="H45" s="87"/>
      <c r="I45" s="87">
        <v>822378.0</v>
      </c>
      <c r="J45" s="87">
        <v>1200.5</v>
      </c>
      <c r="K45" s="87">
        <v>0.0</v>
      </c>
      <c r="L45" s="87">
        <v>0.0</v>
      </c>
      <c r="M45" s="87">
        <v>9000.0</v>
      </c>
      <c r="N45" s="87">
        <v>5000.0</v>
      </c>
      <c r="O45" s="89" t="inlineStr">
        <is>
          <t xml:space="preserve">UNPAID</t>
        </is>
      </c>
      <c r="P45" s="83" t="inlineStr">
        <is>
          <t xml:space="preserve">RF</t>
        </is>
      </c>
      <c r="Q45" s="87">
        <v>0.0</v>
      </c>
      <c r="R45" s="87">
        <v>0.0</v>
      </c>
      <c r="S45" s="83"/>
      <c r="T45" s="83"/>
      <c r="U45" s="83"/>
      <c r="V45" s="83" t="inlineStr">
        <is>
          <t xml:space="preserve">NAGALLA</t>
        </is>
      </c>
      <c r="W45" s="83" t="inlineStr">
        <is>
          <t xml:space="preserve">DEVI (TC116) / 9000011111</t>
        </is>
      </c>
      <c r="X45" s="83" t="inlineStr">
        <is>
          <t xml:space="preserve">TC116</t>
        </is>
      </c>
      <c r="Y45" s="83" t="inlineStr">
        <is>
          <t xml:space="preserve">CAT I</t>
        </is>
      </c>
      <c r="Z45" s="83"/>
      <c r="AA45" s="83"/>
      <c r="AB45" s="83" t="inlineStr">
        <is>
          <t xml:space="preserve">VIZAG</t>
        </is>
      </c>
      <c r="AC45" s="83" t="inlineStr">
        <is>
          <t xml:space="preserve">KDP</t>
        </is>
      </c>
      <c r="AD45" s="83" t="inlineStr">
        <is>
          <t xml:space="preserve">RAVI KUMAR (FO047) / VSP / 9876543210</t>
        </is>
      </c>
      <c r="AE45" s="83" t="inlineStr">
        <is>
          <t xml:space="preserve">FO047</t>
        </is>
      </c>
      <c r="AF45" s="83"/>
      <c r="AG45" s="83"/>
      <c r="AH45" s="83"/>
      <c r="AI45" s="83"/>
      <c r="AJ45" s="83"/>
      <c r="AK45" s="83" t="inlineStr">
        <is>
          <t xml:space="preserve">VISITED</t>
        </is>
      </c>
      <c r="AL45" s="83" t="inlineStr">
        <is>
          <t xml:space="preserve">LIVE</t>
        </is>
      </c>
      <c r="AM45" s="83"/>
      <c r="AN45" s="83" t="inlineStr">
        <is>
          <t xml:space="preserve">31-10-2026</t>
        </is>
      </c>
      <c r="AO45" s="83"/>
      <c r="AP45" s="87"/>
      <c r="AQ45" s="83"/>
      <c r="AR45" s="83" t="inlineStr">
        <is>
          <t xml:space="preserve">Coral Card</t>
        </is>
      </c>
      <c r="AS45" s="83"/>
      <c r="AT45" s="83"/>
    </row>
    <row r="46">
      <c r="A46" s="82" t="inlineStr">
        <is>
          <t xml:space="preserve">AC12</t>
        </is>
      </c>
      <c r="B46" s="82" t="inlineStr">
        <is>
          <t xml:space="preserve">Cust 12</t>
        </is>
      </c>
      <c r="C46" s="82"/>
      <c r="D46" s="84">
        <v>21</v>
      </c>
      <c r="E46" s="82" t="inlineStr">
        <is>
          <t xml:space="preserve">900</t>
        </is>
      </c>
      <c r="F46" s="82"/>
      <c r="G46" s="86"/>
      <c r="H46" s="86"/>
      <c r="I46" s="86">
        <v>172109.0</v>
      </c>
      <c r="J46" s="86">
        <v>1200.5</v>
      </c>
      <c r="K46" s="86">
        <v>0.0</v>
      </c>
      <c r="L46" s="86">
        <v>0.0</v>
      </c>
      <c r="M46" s="86">
        <v>9000.0</v>
      </c>
      <c r="N46" s="86">
        <v>5000.0</v>
      </c>
      <c r="O46" s="89" t="inlineStr">
        <is>
          <t xml:space="preserve">UNPAID</t>
        </is>
      </c>
      <c r="P46" s="82" t="inlineStr">
        <is>
          <t xml:space="preserve">RF</t>
        </is>
      </c>
      <c r="Q46" s="86">
        <v>0.0</v>
      </c>
      <c r="R46" s="86">
        <v>0.0</v>
      </c>
      <c r="S46" s="82"/>
      <c r="T46" s="82"/>
      <c r="U46" s="82"/>
      <c r="V46" s="82" t="inlineStr">
        <is>
          <t xml:space="preserve">NAGALLA</t>
        </is>
      </c>
      <c r="W46" s="82" t="inlineStr">
        <is>
          <t xml:space="preserve">DEVI (TC116) / 9000011111</t>
        </is>
      </c>
      <c r="X46" s="82" t="inlineStr">
        <is>
          <t xml:space="preserve">TC116</t>
        </is>
      </c>
      <c r="Y46" s="82" t="inlineStr">
        <is>
          <t xml:space="preserve">CAT I</t>
        </is>
      </c>
      <c r="Z46" s="82"/>
      <c r="AA46" s="82"/>
      <c r="AB46" s="82" t="inlineStr">
        <is>
          <t xml:space="preserve">VIZAG</t>
        </is>
      </c>
      <c r="AC46" s="82" t="inlineStr">
        <is>
          <t xml:space="preserve">KDP</t>
        </is>
      </c>
      <c r="AD46" s="82" t="inlineStr">
        <is>
          <t xml:space="preserve">SURESH (FO050)</t>
        </is>
      </c>
      <c r="AE46" s="82" t="inlineStr">
        <is>
          <t xml:space="preserve">FO050</t>
        </is>
      </c>
      <c r="AF46" s="82"/>
      <c r="AG46" s="82"/>
      <c r="AH46" s="82"/>
      <c r="AI46" s="82"/>
      <c r="AJ46" s="82"/>
      <c r="AK46" s="82" t="inlineStr">
        <is>
          <t xml:space="preserve">VISITED</t>
        </is>
      </c>
      <c r="AL46" s="82" t="inlineStr">
        <is>
          <t xml:space="preserve">LIVE</t>
        </is>
      </c>
      <c r="AM46" s="82"/>
      <c r="AN46" s="82" t="inlineStr">
        <is>
          <t xml:space="preserve">31-10-2026</t>
        </is>
      </c>
      <c r="AO46" s="82"/>
      <c r="AP46" s="86"/>
      <c r="AQ46" s="82"/>
      <c r="AR46" s="82" t="inlineStr">
        <is>
          <t xml:space="preserve">Coral Card</t>
        </is>
      </c>
      <c r="AS46" s="82"/>
      <c r="AT46" s="82"/>
    </row>
    <row r="47">
      <c r="A47" s="83" t="inlineStr">
        <is>
          <t xml:space="preserve">AC18</t>
        </is>
      </c>
      <c r="B47" s="83" t="inlineStr">
        <is>
          <t xml:space="preserve">Cust 18</t>
        </is>
      </c>
      <c r="C47" s="83"/>
      <c r="D47" s="85">
        <v>2</v>
      </c>
      <c r="E47" s="83" t="inlineStr">
        <is>
          <t xml:space="preserve">900</t>
        </is>
      </c>
      <c r="F47" s="83"/>
      <c r="G47" s="87"/>
      <c r="H47" s="87"/>
      <c r="I47" s="87">
        <v>751163.0</v>
      </c>
      <c r="J47" s="87">
        <v>1200.5</v>
      </c>
      <c r="K47" s="87">
        <v>0.0</v>
      </c>
      <c r="L47" s="87">
        <v>0.0</v>
      </c>
      <c r="M47" s="87">
        <v>9000.0</v>
      </c>
      <c r="N47" s="87">
        <v>5000.0</v>
      </c>
      <c r="O47" s="89" t="inlineStr">
        <is>
          <t xml:space="preserve">UNPAID</t>
        </is>
      </c>
      <c r="P47" s="83" t="inlineStr">
        <is>
          <t xml:space="preserve">RF</t>
        </is>
      </c>
      <c r="Q47" s="87">
        <v>2000.0</v>
      </c>
      <c r="R47" s="87">
        <v>0.0</v>
      </c>
      <c r="S47" s="83"/>
      <c r="T47" s="83"/>
      <c r="U47" s="83"/>
      <c r="V47" s="83" t="inlineStr">
        <is>
          <t xml:space="preserve">NAGALLA</t>
        </is>
      </c>
      <c r="W47" s="83" t="inlineStr">
        <is>
          <t xml:space="preserve">DEVI (TC116) / 9000011111</t>
        </is>
      </c>
      <c r="X47" s="83" t="inlineStr">
        <is>
          <t xml:space="preserve">TC116</t>
        </is>
      </c>
      <c r="Y47" s="83" t="inlineStr">
        <is>
          <t xml:space="preserve">CAT J</t>
        </is>
      </c>
      <c r="Z47" s="83"/>
      <c r="AA47" s="83"/>
      <c r="AB47" s="83" t="inlineStr">
        <is>
          <t xml:space="preserve">VIZAG</t>
        </is>
      </c>
      <c r="AC47" s="83" t="inlineStr">
        <is>
          <t xml:space="preserve">KDP</t>
        </is>
      </c>
      <c r="AD47" s="83" t="inlineStr">
        <is>
          <t xml:space="preserve">SURESH (FO050)</t>
        </is>
      </c>
      <c r="AE47" s="83" t="inlineStr">
        <is>
          <t xml:space="preserve">FO050</t>
        </is>
      </c>
      <c r="AF47" s="83"/>
      <c r="AG47" s="83"/>
      <c r="AH47" s="83"/>
      <c r="AI47" s="83"/>
      <c r="AJ47" s="83"/>
      <c r="AK47" s="83" t="inlineStr">
        <is>
          <t xml:space="preserve">VISITED</t>
        </is>
      </c>
      <c r="AL47" s="83" t="inlineStr">
        <is>
          <t xml:space="preserve">LIVE</t>
        </is>
      </c>
      <c r="AM47" s="83"/>
      <c r="AN47" s="83" t="inlineStr">
        <is>
          <t xml:space="preserve">31-10-2026</t>
        </is>
      </c>
      <c r="AO47" s="83"/>
      <c r="AP47" s="87"/>
      <c r="AQ47" s="83"/>
      <c r="AR47" s="83" t="inlineStr">
        <is>
          <t xml:space="preserve">Coral Card</t>
        </is>
      </c>
      <c r="AS47" s="83"/>
      <c r="AT47" s="83"/>
    </row>
    <row r="48">
      <c r="A48" s="82" t="inlineStr">
        <is>
          <t xml:space="preserve">AC21</t>
        </is>
      </c>
      <c r="B48" s="82" t="inlineStr">
        <is>
          <t xml:space="preserve">Cust 21</t>
        </is>
      </c>
      <c r="C48" s="82"/>
      <c r="D48" s="84">
        <v>12</v>
      </c>
      <c r="E48" s="82" t="inlineStr">
        <is>
          <t xml:space="preserve">900</t>
        </is>
      </c>
      <c r="F48" s="82"/>
      <c r="G48" s="86"/>
      <c r="H48" s="86"/>
      <c r="I48" s="86">
        <v>326179.0</v>
      </c>
      <c r="J48" s="86">
        <v>1200.5</v>
      </c>
      <c r="K48" s="86">
        <v>0.0</v>
      </c>
      <c r="L48" s="86">
        <v>0.0</v>
      </c>
      <c r="M48" s="86">
        <v>9000.0</v>
      </c>
      <c r="N48" s="86">
        <v>5000.0</v>
      </c>
      <c r="O48" s="88" t="inlineStr">
        <is>
          <t xml:space="preserve">PAID</t>
        </is>
      </c>
      <c r="P48" s="82" t="inlineStr">
        <is>
          <t xml:space="preserve">NORM</t>
        </is>
      </c>
      <c r="Q48" s="86">
        <v>9000.0</v>
      </c>
      <c r="R48" s="86">
        <v>0.0</v>
      </c>
      <c r="S48" s="82" t="inlineStr">
        <is>
          <t xml:space="preserve">31-10-2026</t>
        </is>
      </c>
      <c r="T48" s="82" t="inlineStr">
        <is>
          <t xml:space="preserve">TC</t>
        </is>
      </c>
      <c r="U48" s="82"/>
      <c r="V48" s="82" t="inlineStr">
        <is>
          <t xml:space="preserve">NAGALLA</t>
        </is>
      </c>
      <c r="W48" s="82" t="inlineStr">
        <is>
          <t xml:space="preserve">DEVI (TC116) / 9000011111</t>
        </is>
      </c>
      <c r="X48" s="82" t="inlineStr">
        <is>
          <t xml:space="preserve">TC116</t>
        </is>
      </c>
      <c r="Y48" s="82" t="inlineStr">
        <is>
          <t xml:space="preserve">CAT J</t>
        </is>
      </c>
      <c r="Z48" s="82"/>
      <c r="AA48" s="82"/>
      <c r="AB48" s="82" t="inlineStr">
        <is>
          <t xml:space="preserve">VIZAG</t>
        </is>
      </c>
      <c r="AC48" s="82" t="inlineStr">
        <is>
          <t xml:space="preserve">KDP</t>
        </is>
      </c>
      <c r="AD48" s="82" t="inlineStr">
        <is>
          <t xml:space="preserve">SURESH (FO050)</t>
        </is>
      </c>
      <c r="AE48" s="82" t="inlineStr">
        <is>
          <t xml:space="preserve">FO050</t>
        </is>
      </c>
      <c r="AF48" s="82"/>
      <c r="AG48" s="82"/>
      <c r="AH48" s="82"/>
      <c r="AI48" s="82"/>
      <c r="AJ48" s="82"/>
      <c r="AK48" s="82" t="inlineStr">
        <is>
          <t xml:space="preserve">NOT VISITED</t>
        </is>
      </c>
      <c r="AL48" s="82"/>
      <c r="AM48" s="82"/>
      <c r="AN48" s="82"/>
      <c r="AO48" s="82"/>
      <c r="AP48" s="86"/>
      <c r="AQ48" s="82"/>
      <c r="AR48" s="82" t="inlineStr">
        <is>
          <t xml:space="preserve">Coral Card</t>
        </is>
      </c>
      <c r="AS48" s="82"/>
      <c r="AT48" s="82"/>
    </row>
    <row r="49">
      <c r="A49" s="83" t="inlineStr">
        <is>
          <t xml:space="preserve">AC24</t>
        </is>
      </c>
      <c r="B49" s="83" t="inlineStr">
        <is>
          <t xml:space="preserve">Cust 24</t>
        </is>
      </c>
      <c r="C49" s="83"/>
      <c r="D49" s="85">
        <v>12</v>
      </c>
      <c r="E49" s="83" t="inlineStr">
        <is>
          <t xml:space="preserve">900</t>
        </is>
      </c>
      <c r="F49" s="83"/>
      <c r="G49" s="87"/>
      <c r="H49" s="87"/>
      <c r="I49" s="87">
        <v>480667.0</v>
      </c>
      <c r="J49" s="87">
        <v>1200.5</v>
      </c>
      <c r="K49" s="87">
        <v>0.0</v>
      </c>
      <c r="L49" s="87">
        <v>0.0</v>
      </c>
      <c r="M49" s="87">
        <v>9000.0</v>
      </c>
      <c r="N49" s="87">
        <v>5000.0</v>
      </c>
      <c r="O49" s="89" t="inlineStr">
        <is>
          <t xml:space="preserve">UNPAID</t>
        </is>
      </c>
      <c r="P49" s="83" t="inlineStr">
        <is>
          <t xml:space="preserve">RF</t>
        </is>
      </c>
      <c r="Q49" s="87">
        <v>0.0</v>
      </c>
      <c r="R49" s="87">
        <v>0.0</v>
      </c>
      <c r="S49" s="83" t="inlineStr">
        <is>
          <t xml:space="preserve">31-10-2026</t>
        </is>
      </c>
      <c r="T49" s="83" t="inlineStr">
        <is>
          <t xml:space="preserve">TC</t>
        </is>
      </c>
      <c r="U49" s="83"/>
      <c r="V49" s="83" t="inlineStr">
        <is>
          <t xml:space="preserve">NAGALLA</t>
        </is>
      </c>
      <c r="W49" s="83" t="inlineStr">
        <is>
          <t xml:space="preserve">DEVI (TC116) / 9000011111</t>
        </is>
      </c>
      <c r="X49" s="83" t="inlineStr">
        <is>
          <t xml:space="preserve">TC116</t>
        </is>
      </c>
      <c r="Y49" s="83" t="inlineStr">
        <is>
          <t xml:space="preserve">CAT I</t>
        </is>
      </c>
      <c r="Z49" s="83"/>
      <c r="AA49" s="83"/>
      <c r="AB49" s="83" t="inlineStr">
        <is>
          <t xml:space="preserve">VIZAG</t>
        </is>
      </c>
      <c r="AC49" s="83" t="inlineStr">
        <is>
          <t xml:space="preserve">TS</t>
        </is>
      </c>
      <c r="AD49" s="83" t="inlineStr">
        <is>
          <t xml:space="preserve">SURESH (FO050)</t>
        </is>
      </c>
      <c r="AE49" s="83" t="inlineStr">
        <is>
          <t xml:space="preserve">FO050</t>
        </is>
      </c>
      <c r="AF49" s="83"/>
      <c r="AG49" s="83"/>
      <c r="AH49" s="83"/>
      <c r="AI49" s="83"/>
      <c r="AJ49" s="83"/>
      <c r="AK49" s="83" t="inlineStr">
        <is>
          <t xml:space="preserve">NOT VISITED</t>
        </is>
      </c>
      <c r="AL49" s="83"/>
      <c r="AM49" s="83"/>
      <c r="AN49" s="83"/>
      <c r="AO49" s="83"/>
      <c r="AP49" s="87"/>
      <c r="AQ49" s="83"/>
      <c r="AR49" s="83" t="inlineStr">
        <is>
          <t xml:space="preserve">Coral Card</t>
        </is>
      </c>
      <c r="AS49" s="83"/>
      <c r="AT49" s="83"/>
    </row>
    <row r="50">
      <c r="A50" s="82" t="inlineStr">
        <is>
          <t xml:space="preserve">AC27</t>
        </is>
      </c>
      <c r="B50" s="82" t="inlineStr">
        <is>
          <t xml:space="preserve">Cust 27</t>
        </is>
      </c>
      <c r="C50" s="82"/>
      <c r="D50" s="84">
        <v>21</v>
      </c>
      <c r="E50" s="82" t="inlineStr">
        <is>
          <t xml:space="preserve">900</t>
        </is>
      </c>
      <c r="F50" s="82"/>
      <c r="G50" s="86"/>
      <c r="H50" s="86"/>
      <c r="I50" s="86">
        <v>357046.0</v>
      </c>
      <c r="J50" s="86">
        <v>1200.5</v>
      </c>
      <c r="K50" s="86">
        <v>0.0</v>
      </c>
      <c r="L50" s="86">
        <v>0.0</v>
      </c>
      <c r="M50" s="86">
        <v>9000.0</v>
      </c>
      <c r="N50" s="86">
        <v>5000.0</v>
      </c>
      <c r="O50" s="88" t="inlineStr">
        <is>
          <t xml:space="preserve">PAID</t>
        </is>
      </c>
      <c r="P50" s="82" t="inlineStr">
        <is>
          <t xml:space="preserve">NORM</t>
        </is>
      </c>
      <c r="Q50" s="86">
        <v>9000.0</v>
      </c>
      <c r="R50" s="86">
        <v>0.0</v>
      </c>
      <c r="S50" s="82" t="inlineStr">
        <is>
          <t xml:space="preserve">31-10-2026</t>
        </is>
      </c>
      <c r="T50" s="82" t="inlineStr">
        <is>
          <t xml:space="preserve">TC</t>
        </is>
      </c>
      <c r="U50" s="82"/>
      <c r="V50" s="82" t="inlineStr">
        <is>
          <t xml:space="preserve">NAGALLA</t>
        </is>
      </c>
      <c r="W50" s="82" t="inlineStr">
        <is>
          <t xml:space="preserve">DEVI (TC116) / 9000011111</t>
        </is>
      </c>
      <c r="X50" s="82" t="inlineStr">
        <is>
          <t xml:space="preserve">TC116</t>
        </is>
      </c>
      <c r="Y50" s="82" t="inlineStr">
        <is>
          <t xml:space="preserve">CAT I</t>
        </is>
      </c>
      <c r="Z50" s="82"/>
      <c r="AA50" s="82"/>
      <c r="AB50" s="82" t="inlineStr">
        <is>
          <t xml:space="preserve">VIZAG</t>
        </is>
      </c>
      <c r="AC50" s="82" t="inlineStr">
        <is>
          <t xml:space="preserve">TS</t>
        </is>
      </c>
      <c r="AD50" s="82" t="inlineStr">
        <is>
          <t xml:space="preserve">SURESH (FO050)</t>
        </is>
      </c>
      <c r="AE50" s="82" t="inlineStr">
        <is>
          <t xml:space="preserve">FO050</t>
        </is>
      </c>
      <c r="AF50" s="82"/>
      <c r="AG50" s="82"/>
      <c r="AH50" s="82"/>
      <c r="AI50" s="82"/>
      <c r="AJ50" s="82"/>
      <c r="AK50" s="82" t="inlineStr">
        <is>
          <t xml:space="preserve">NOT VISITED</t>
        </is>
      </c>
      <c r="AL50" s="82"/>
      <c r="AM50" s="82"/>
      <c r="AN50" s="82"/>
      <c r="AO50" s="82"/>
      <c r="AP50" s="86"/>
      <c r="AQ50" s="82"/>
      <c r="AR50" s="82" t="inlineStr">
        <is>
          <t xml:space="preserve">Coral Card</t>
        </is>
      </c>
      <c r="AS50" s="82"/>
      <c r="AT50" s="82"/>
    </row>
    <row r="51">
      <c r="A51" s="83" t="inlineStr">
        <is>
          <t xml:space="preserve">AC3</t>
        </is>
      </c>
      <c r="B51" s="83" t="inlineStr">
        <is>
          <t xml:space="preserve">Cust 3</t>
        </is>
      </c>
      <c r="C51" s="83"/>
      <c r="D51" s="85">
        <v>2</v>
      </c>
      <c r="E51" s="83" t="inlineStr">
        <is>
          <t xml:space="preserve">900</t>
        </is>
      </c>
      <c r="F51" s="83"/>
      <c r="G51" s="87"/>
      <c r="H51" s="87"/>
      <c r="I51" s="87">
        <v>46885.0</v>
      </c>
      <c r="J51" s="87">
        <v>1200.5</v>
      </c>
      <c r="K51" s="87">
        <v>0.0</v>
      </c>
      <c r="L51" s="87">
        <v>0.0</v>
      </c>
      <c r="M51" s="87">
        <v>9000.0</v>
      </c>
      <c r="N51" s="87">
        <v>5000.0</v>
      </c>
      <c r="O51" s="89" t="inlineStr">
        <is>
          <t xml:space="preserve">UNPAID</t>
        </is>
      </c>
      <c r="P51" s="83" t="inlineStr">
        <is>
          <t xml:space="preserve">RF</t>
        </is>
      </c>
      <c r="Q51" s="87">
        <v>0.0</v>
      </c>
      <c r="R51" s="87">
        <v>0.0</v>
      </c>
      <c r="S51" s="83" t="inlineStr">
        <is>
          <t xml:space="preserve">31-10-2026</t>
        </is>
      </c>
      <c r="T51" s="83" t="inlineStr">
        <is>
          <t xml:space="preserve">FE</t>
        </is>
      </c>
      <c r="U51" s="83"/>
      <c r="V51" s="83" t="inlineStr">
        <is>
          <t xml:space="preserve">NAGALLA</t>
        </is>
      </c>
      <c r="W51" s="83" t="inlineStr">
        <is>
          <t xml:space="preserve">DEVI (TC116) / 9000011111</t>
        </is>
      </c>
      <c r="X51" s="83" t="inlineStr">
        <is>
          <t xml:space="preserve">TC116</t>
        </is>
      </c>
      <c r="Y51" s="83" t="inlineStr">
        <is>
          <t xml:space="preserve">CAT I</t>
        </is>
      </c>
      <c r="Z51" s="83"/>
      <c r="AA51" s="83"/>
      <c r="AB51" s="83" t="inlineStr">
        <is>
          <t xml:space="preserve">VIZAG</t>
        </is>
      </c>
      <c r="AC51" s="83" t="inlineStr">
        <is>
          <t xml:space="preserve">TS</t>
        </is>
      </c>
      <c r="AD51" s="83" t="inlineStr">
        <is>
          <t xml:space="preserve">SURESH (FO050)</t>
        </is>
      </c>
      <c r="AE51" s="83" t="inlineStr">
        <is>
          <t xml:space="preserve">FO050</t>
        </is>
      </c>
      <c r="AF51" s="83"/>
      <c r="AG51" s="83"/>
      <c r="AH51" s="83"/>
      <c r="AI51" s="83"/>
      <c r="AJ51" s="83"/>
      <c r="AK51" s="83" t="inlineStr">
        <is>
          <t xml:space="preserve">VISITED</t>
        </is>
      </c>
      <c r="AL51" s="83" t="inlineStr">
        <is>
          <t xml:space="preserve">LIVE</t>
        </is>
      </c>
      <c r="AM51" s="83"/>
      <c r="AN51" s="83" t="inlineStr">
        <is>
          <t xml:space="preserve">31-10-2026</t>
        </is>
      </c>
      <c r="AO51" s="83"/>
      <c r="AP51" s="87"/>
      <c r="AQ51" s="83"/>
      <c r="AR51" s="83" t="inlineStr">
        <is>
          <t xml:space="preserve">Coral Card</t>
        </is>
      </c>
      <c r="AS51" s="83"/>
      <c r="AT51" s="83"/>
    </row>
    <row r="52">
      <c r="A52" s="82" t="inlineStr">
        <is>
          <t xml:space="preserve">AC33</t>
        </is>
      </c>
      <c r="B52" s="82" t="inlineStr">
        <is>
          <t xml:space="preserve">Cust 33</t>
        </is>
      </c>
      <c r="C52" s="82"/>
      <c r="D52" s="84">
        <v>21</v>
      </c>
      <c r="E52" s="82" t="inlineStr">
        <is>
          <t xml:space="preserve">900</t>
        </is>
      </c>
      <c r="F52" s="82"/>
      <c r="G52" s="86"/>
      <c r="H52" s="86"/>
      <c r="I52" s="86">
        <v>457397.0</v>
      </c>
      <c r="J52" s="86">
        <v>1200.5</v>
      </c>
      <c r="K52" s="86">
        <v>0.0</v>
      </c>
      <c r="L52" s="86">
        <v>0.0</v>
      </c>
      <c r="M52" s="86">
        <v>9000.0</v>
      </c>
      <c r="N52" s="86">
        <v>5000.0</v>
      </c>
      <c r="O52" s="89" t="inlineStr">
        <is>
          <t xml:space="preserve">UNPAID</t>
        </is>
      </c>
      <c r="P52" s="82" t="inlineStr">
        <is>
          <t xml:space="preserve">RF</t>
        </is>
      </c>
      <c r="Q52" s="86">
        <v>0.0</v>
      </c>
      <c r="R52" s="86">
        <v>0.0</v>
      </c>
      <c r="S52" s="82"/>
      <c r="T52" s="82"/>
      <c r="U52" s="82"/>
      <c r="V52" s="82" t="inlineStr">
        <is>
          <t xml:space="preserve">OTHER</t>
        </is>
      </c>
      <c r="W52" s="82" t="inlineStr">
        <is>
          <t xml:space="preserve">DEVI (TC116) / 9000011111</t>
        </is>
      </c>
      <c r="X52" s="82" t="inlineStr">
        <is>
          <t xml:space="preserve">TC116</t>
        </is>
      </c>
      <c r="Y52" s="82" t="inlineStr">
        <is>
          <t xml:space="preserve">CAT J</t>
        </is>
      </c>
      <c r="Z52" s="82"/>
      <c r="AA52" s="82"/>
      <c r="AB52" s="82" t="inlineStr">
        <is>
          <t xml:space="preserve">VIZAG</t>
        </is>
      </c>
      <c r="AC52" s="82" t="inlineStr">
        <is>
          <t xml:space="preserve">TS</t>
        </is>
      </c>
      <c r="AD52" s="82" t="inlineStr">
        <is>
          <t xml:space="preserve">SURESH (FO050)</t>
        </is>
      </c>
      <c r="AE52" s="82" t="inlineStr">
        <is>
          <t xml:space="preserve">FO050</t>
        </is>
      </c>
      <c r="AF52" s="82"/>
      <c r="AG52" s="82"/>
      <c r="AH52" s="82"/>
      <c r="AI52" s="82"/>
      <c r="AJ52" s="82"/>
      <c r="AK52" s="82" t="inlineStr">
        <is>
          <t xml:space="preserve">NOT VISITED</t>
        </is>
      </c>
      <c r="AL52" s="82"/>
      <c r="AM52" s="82"/>
      <c r="AN52" s="82"/>
      <c r="AO52" s="82"/>
      <c r="AP52" s="86"/>
      <c r="AQ52" s="82"/>
      <c r="AR52" s="82" t="inlineStr">
        <is>
          <t xml:space="preserve">Coral Card</t>
        </is>
      </c>
      <c r="AS52" s="82"/>
      <c r="AT52" s="82"/>
    </row>
    <row r="53">
      <c r="A53" s="83" t="inlineStr">
        <is>
          <t xml:space="preserve">AC36</t>
        </is>
      </c>
      <c r="B53" s="83" t="inlineStr">
        <is>
          <t xml:space="preserve">Cust 36</t>
        </is>
      </c>
      <c r="C53" s="83"/>
      <c r="D53" s="85">
        <v>2</v>
      </c>
      <c r="E53" s="83" t="inlineStr">
        <is>
          <t xml:space="preserve">900</t>
        </is>
      </c>
      <c r="F53" s="83"/>
      <c r="G53" s="87"/>
      <c r="H53" s="87"/>
      <c r="I53" s="87">
        <v>620105.0</v>
      </c>
      <c r="J53" s="87">
        <v>1200.5</v>
      </c>
      <c r="K53" s="87">
        <v>0.0</v>
      </c>
      <c r="L53" s="87">
        <v>0.0</v>
      </c>
      <c r="M53" s="87">
        <v>9000.0</v>
      </c>
      <c r="N53" s="87">
        <v>5000.0</v>
      </c>
      <c r="O53" s="89" t="inlineStr">
        <is>
          <t xml:space="preserve">UNPAID</t>
        </is>
      </c>
      <c r="P53" s="83" t="inlineStr">
        <is>
          <t xml:space="preserve">RF</t>
        </is>
      </c>
      <c r="Q53" s="87">
        <v>2000.0</v>
      </c>
      <c r="R53" s="87">
        <v>0.0</v>
      </c>
      <c r="S53" s="83"/>
      <c r="T53" s="83"/>
      <c r="U53" s="83"/>
      <c r="V53" s="83" t="inlineStr">
        <is>
          <t xml:space="preserve">OTHER</t>
        </is>
      </c>
      <c r="W53" s="83" t="inlineStr">
        <is>
          <t xml:space="preserve">DEVI (TC116) / 9000011111</t>
        </is>
      </c>
      <c r="X53" s="83" t="inlineStr">
        <is>
          <t xml:space="preserve">TC116</t>
        </is>
      </c>
      <c r="Y53" s="83" t="inlineStr">
        <is>
          <t xml:space="preserve">CAT I</t>
        </is>
      </c>
      <c r="Z53" s="83"/>
      <c r="AA53" s="83"/>
      <c r="AB53" s="83" t="inlineStr">
        <is>
          <t xml:space="preserve">VIZAG</t>
        </is>
      </c>
      <c r="AC53" s="83" t="inlineStr">
        <is>
          <t xml:space="preserve">TS</t>
        </is>
      </c>
      <c r="AD53" s="83" t="inlineStr">
        <is>
          <t xml:space="preserve">SURESH (FO050)</t>
        </is>
      </c>
      <c r="AE53" s="83" t="inlineStr">
        <is>
          <t xml:space="preserve">FO050</t>
        </is>
      </c>
      <c r="AF53" s="83"/>
      <c r="AG53" s="83"/>
      <c r="AH53" s="83"/>
      <c r="AI53" s="83"/>
      <c r="AJ53" s="83"/>
      <c r="AK53" s="83" t="inlineStr">
        <is>
          <t xml:space="preserve">NOT VISITED</t>
        </is>
      </c>
      <c r="AL53" s="83"/>
      <c r="AM53" s="83"/>
      <c r="AN53" s="83"/>
      <c r="AO53" s="83"/>
      <c r="AP53" s="87"/>
      <c r="AQ53" s="83"/>
      <c r="AR53" s="83" t="inlineStr">
        <is>
          <t xml:space="preserve">Coral Card</t>
        </is>
      </c>
      <c r="AS53" s="83"/>
      <c r="AT53" s="83"/>
    </row>
    <row r="54">
      <c r="A54" s="82" t="inlineStr">
        <is>
          <t xml:space="preserve">AC39</t>
        </is>
      </c>
      <c r="B54" s="82" t="inlineStr">
        <is>
          <t xml:space="preserve">Cust 39</t>
        </is>
      </c>
      <c r="C54" s="82"/>
      <c r="D54" s="84">
        <v>12</v>
      </c>
      <c r="E54" s="82" t="inlineStr">
        <is>
          <t xml:space="preserve">900</t>
        </is>
      </c>
      <c r="F54" s="82"/>
      <c r="G54" s="86"/>
      <c r="H54" s="86"/>
      <c r="I54" s="86">
        <v>678359.0</v>
      </c>
      <c r="J54" s="86">
        <v>1200.5</v>
      </c>
      <c r="K54" s="86">
        <v>0.0</v>
      </c>
      <c r="L54" s="86">
        <v>0.0</v>
      </c>
      <c r="M54" s="86">
        <v>9000.0</v>
      </c>
      <c r="N54" s="86">
        <v>5000.0</v>
      </c>
      <c r="O54" s="89" t="inlineStr">
        <is>
          <t xml:space="preserve">UNPAID</t>
        </is>
      </c>
      <c r="P54" s="82" t="inlineStr">
        <is>
          <t xml:space="preserve">RF</t>
        </is>
      </c>
      <c r="Q54" s="86">
        <v>2000.0</v>
      </c>
      <c r="R54" s="86">
        <v>0.0</v>
      </c>
      <c r="S54" s="82"/>
      <c r="T54" s="82"/>
      <c r="U54" s="82"/>
      <c r="V54" s="82" t="inlineStr">
        <is>
          <t xml:space="preserve">OTHER</t>
        </is>
      </c>
      <c r="W54" s="82" t="inlineStr">
        <is>
          <t xml:space="preserve">DEVI (TC116) / 9000011111</t>
        </is>
      </c>
      <c r="X54" s="82" t="inlineStr">
        <is>
          <t xml:space="preserve">TC116</t>
        </is>
      </c>
      <c r="Y54" s="82" t="inlineStr">
        <is>
          <t xml:space="preserve">CAT J</t>
        </is>
      </c>
      <c r="Z54" s="82"/>
      <c r="AA54" s="82"/>
      <c r="AB54" s="82" t="inlineStr">
        <is>
          <t xml:space="preserve">VIZAG</t>
        </is>
      </c>
      <c r="AC54" s="82" t="inlineStr">
        <is>
          <t xml:space="preserve">KDP</t>
        </is>
      </c>
      <c r="AD54" s="82" t="inlineStr">
        <is>
          <t xml:space="preserve">SURESH (FO050)</t>
        </is>
      </c>
      <c r="AE54" s="82" t="inlineStr">
        <is>
          <t xml:space="preserve">FO050</t>
        </is>
      </c>
      <c r="AF54" s="82"/>
      <c r="AG54" s="82"/>
      <c r="AH54" s="82"/>
      <c r="AI54" s="82"/>
      <c r="AJ54" s="82"/>
      <c r="AK54" s="82" t="inlineStr">
        <is>
          <t xml:space="preserve">NOT VISITED</t>
        </is>
      </c>
      <c r="AL54" s="82"/>
      <c r="AM54" s="82"/>
      <c r="AN54" s="82"/>
      <c r="AO54" s="82"/>
      <c r="AP54" s="86"/>
      <c r="AQ54" s="82"/>
      <c r="AR54" s="82" t="inlineStr">
        <is>
          <t xml:space="preserve">Coral Card</t>
        </is>
      </c>
      <c r="AS54" s="82"/>
      <c r="AT54" s="82"/>
    </row>
    <row r="55">
      <c r="A55" s="83" t="inlineStr">
        <is>
          <t xml:space="preserve">AC42</t>
        </is>
      </c>
      <c r="B55" s="83" t="inlineStr">
        <is>
          <t xml:space="preserve">Cust 42</t>
        </is>
      </c>
      <c r="C55" s="83"/>
      <c r="D55" s="85">
        <v>21</v>
      </c>
      <c r="E55" s="83" t="inlineStr">
        <is>
          <t xml:space="preserve">900</t>
        </is>
      </c>
      <c r="F55" s="83"/>
      <c r="G55" s="87"/>
      <c r="H55" s="87"/>
      <c r="I55" s="87">
        <v>429408.0</v>
      </c>
      <c r="J55" s="87">
        <v>1200.5</v>
      </c>
      <c r="K55" s="87">
        <v>0.0</v>
      </c>
      <c r="L55" s="87">
        <v>0.0</v>
      </c>
      <c r="M55" s="87">
        <v>9000.0</v>
      </c>
      <c r="N55" s="87">
        <v>5000.0</v>
      </c>
      <c r="O55" s="89" t="inlineStr">
        <is>
          <t xml:space="preserve">UNPAID</t>
        </is>
      </c>
      <c r="P55" s="83" t="inlineStr">
        <is>
          <t xml:space="preserve">RF</t>
        </is>
      </c>
      <c r="Q55" s="87">
        <v>2000.0</v>
      </c>
      <c r="R55" s="87">
        <v>0.0</v>
      </c>
      <c r="S55" s="83"/>
      <c r="T55" s="83"/>
      <c r="U55" s="83"/>
      <c r="V55" s="83" t="inlineStr">
        <is>
          <t xml:space="preserve">OTHER</t>
        </is>
      </c>
      <c r="W55" s="83" t="inlineStr">
        <is>
          <t xml:space="preserve">DEVI (TC116) / 9000011111</t>
        </is>
      </c>
      <c r="X55" s="83" t="inlineStr">
        <is>
          <t xml:space="preserve">TC116</t>
        </is>
      </c>
      <c r="Y55" s="83" t="inlineStr">
        <is>
          <t xml:space="preserve">CAT I</t>
        </is>
      </c>
      <c r="Z55" s="83"/>
      <c r="AA55" s="83"/>
      <c r="AB55" s="83" t="inlineStr">
        <is>
          <t xml:space="preserve">VIZAG</t>
        </is>
      </c>
      <c r="AC55" s="83" t="inlineStr">
        <is>
          <t xml:space="preserve">KDP</t>
        </is>
      </c>
      <c r="AD55" s="83" t="inlineStr">
        <is>
          <t xml:space="preserve">SURESH (FO050)</t>
        </is>
      </c>
      <c r="AE55" s="83" t="inlineStr">
        <is>
          <t xml:space="preserve">FO050</t>
        </is>
      </c>
      <c r="AF55" s="83"/>
      <c r="AG55" s="83"/>
      <c r="AH55" s="83"/>
      <c r="AI55" s="83"/>
      <c r="AJ55" s="83"/>
      <c r="AK55" s="83" t="inlineStr">
        <is>
          <t xml:space="preserve">NOT VISITED</t>
        </is>
      </c>
      <c r="AL55" s="83"/>
      <c r="AM55" s="83"/>
      <c r="AN55" s="83"/>
      <c r="AO55" s="83"/>
      <c r="AP55" s="87"/>
      <c r="AQ55" s="83"/>
      <c r="AR55" s="83" t="inlineStr">
        <is>
          <t xml:space="preserve">Coral Card</t>
        </is>
      </c>
      <c r="AS55" s="83"/>
      <c r="AT55" s="83"/>
    </row>
    <row r="56">
      <c r="A56" s="82" t="inlineStr">
        <is>
          <t xml:space="preserve">AC48</t>
        </is>
      </c>
      <c r="B56" s="82" t="inlineStr">
        <is>
          <t xml:space="preserve">Cust 48</t>
        </is>
      </c>
      <c r="C56" s="82"/>
      <c r="D56" s="84">
        <v>21</v>
      </c>
      <c r="E56" s="82" t="inlineStr">
        <is>
          <t xml:space="preserve">900</t>
        </is>
      </c>
      <c r="F56" s="82"/>
      <c r="G56" s="86"/>
      <c r="H56" s="86"/>
      <c r="I56" s="86">
        <v>400181.0</v>
      </c>
      <c r="J56" s="86">
        <v>1200.5</v>
      </c>
      <c r="K56" s="86">
        <v>0.0</v>
      </c>
      <c r="L56" s="86">
        <v>0.0</v>
      </c>
      <c r="M56" s="86">
        <v>9000.0</v>
      </c>
      <c r="N56" s="86">
        <v>5000.0</v>
      </c>
      <c r="O56" s="89" t="inlineStr">
        <is>
          <t xml:space="preserve">UNPAID</t>
        </is>
      </c>
      <c r="P56" s="82" t="inlineStr">
        <is>
          <t xml:space="preserve">RF</t>
        </is>
      </c>
      <c r="Q56" s="86">
        <v>0.0</v>
      </c>
      <c r="R56" s="86">
        <v>0.0</v>
      </c>
      <c r="S56" s="82"/>
      <c r="T56" s="82"/>
      <c r="U56" s="82"/>
      <c r="V56" s="82" t="inlineStr">
        <is>
          <t xml:space="preserve">OTHER</t>
        </is>
      </c>
      <c r="W56" s="82" t="inlineStr">
        <is>
          <t xml:space="preserve">DEVI (TC116) / 9000011111</t>
        </is>
      </c>
      <c r="X56" s="82" t="inlineStr">
        <is>
          <t xml:space="preserve">TC116</t>
        </is>
      </c>
      <c r="Y56" s="82" t="inlineStr">
        <is>
          <t xml:space="preserve">CAT J</t>
        </is>
      </c>
      <c r="Z56" s="82"/>
      <c r="AA56" s="82"/>
      <c r="AB56" s="82" t="inlineStr">
        <is>
          <t xml:space="preserve">VIZAG</t>
        </is>
      </c>
      <c r="AC56" s="82" t="inlineStr">
        <is>
          <t xml:space="preserve">TS</t>
        </is>
      </c>
      <c r="AD56" s="82" t="inlineStr">
        <is>
          <t xml:space="preserve">SURESH (FO050)</t>
        </is>
      </c>
      <c r="AE56" s="82" t="inlineStr">
        <is>
          <t xml:space="preserve">FO050</t>
        </is>
      </c>
      <c r="AF56" s="82"/>
      <c r="AG56" s="82"/>
      <c r="AH56" s="82"/>
      <c r="AI56" s="82"/>
      <c r="AJ56" s="82"/>
      <c r="AK56" s="82" t="inlineStr">
        <is>
          <t xml:space="preserve">NOT VISITED</t>
        </is>
      </c>
      <c r="AL56" s="82"/>
      <c r="AM56" s="82"/>
      <c r="AN56" s="82"/>
      <c r="AO56" s="82"/>
      <c r="AP56" s="86"/>
      <c r="AQ56" s="82"/>
      <c r="AR56" s="82" t="inlineStr">
        <is>
          <t xml:space="preserve">Coral Card</t>
        </is>
      </c>
      <c r="AS56" s="82"/>
      <c r="AT56" s="82"/>
    </row>
    <row r="57">
      <c r="A57" s="83" t="inlineStr">
        <is>
          <t xml:space="preserve">AC51</t>
        </is>
      </c>
      <c r="B57" s="83" t="inlineStr">
        <is>
          <t xml:space="preserve">Cust 51</t>
        </is>
      </c>
      <c r="C57" s="83"/>
      <c r="D57" s="85">
        <v>12</v>
      </c>
      <c r="E57" s="83" t="inlineStr">
        <is>
          <t xml:space="preserve">900</t>
        </is>
      </c>
      <c r="F57" s="83"/>
      <c r="G57" s="87"/>
      <c r="H57" s="87"/>
      <c r="I57" s="87">
        <v>815566.0</v>
      </c>
      <c r="J57" s="87">
        <v>1200.5</v>
      </c>
      <c r="K57" s="87">
        <v>0.0</v>
      </c>
      <c r="L57" s="87">
        <v>0.0</v>
      </c>
      <c r="M57" s="87">
        <v>9000.0</v>
      </c>
      <c r="N57" s="87">
        <v>5000.0</v>
      </c>
      <c r="O57" s="89" t="inlineStr">
        <is>
          <t xml:space="preserve">UNPAID</t>
        </is>
      </c>
      <c r="P57" s="83" t="inlineStr">
        <is>
          <t xml:space="preserve">RF</t>
        </is>
      </c>
      <c r="Q57" s="87">
        <v>0.0</v>
      </c>
      <c r="R57" s="87">
        <v>0.0</v>
      </c>
      <c r="S57" s="83"/>
      <c r="T57" s="83"/>
      <c r="U57" s="83"/>
      <c r="V57" s="83" t="inlineStr">
        <is>
          <t xml:space="preserve">OTHER</t>
        </is>
      </c>
      <c r="W57" s="83" t="inlineStr">
        <is>
          <t xml:space="preserve">DEVI (TC116) / 9000011111</t>
        </is>
      </c>
      <c r="X57" s="83" t="inlineStr">
        <is>
          <t xml:space="preserve">TC116</t>
        </is>
      </c>
      <c r="Y57" s="83" t="inlineStr">
        <is>
          <t xml:space="preserve">CAT I</t>
        </is>
      </c>
      <c r="Z57" s="83"/>
      <c r="AA57" s="83"/>
      <c r="AB57" s="83" t="inlineStr">
        <is>
          <t xml:space="preserve">VIZAG</t>
        </is>
      </c>
      <c r="AC57" s="83" t="inlineStr">
        <is>
          <t xml:space="preserve">TS</t>
        </is>
      </c>
      <c r="AD57" s="83" t="inlineStr">
        <is>
          <t xml:space="preserve">SURESH (FO050)</t>
        </is>
      </c>
      <c r="AE57" s="83" t="inlineStr">
        <is>
          <t xml:space="preserve">FO050</t>
        </is>
      </c>
      <c r="AF57" s="83"/>
      <c r="AG57" s="83"/>
      <c r="AH57" s="83"/>
      <c r="AI57" s="83"/>
      <c r="AJ57" s="83"/>
      <c r="AK57" s="83" t="inlineStr">
        <is>
          <t xml:space="preserve">NOT VISITED</t>
        </is>
      </c>
      <c r="AL57" s="83"/>
      <c r="AM57" s="83"/>
      <c r="AN57" s="83"/>
      <c r="AO57" s="83"/>
      <c r="AP57" s="87"/>
      <c r="AQ57" s="83"/>
      <c r="AR57" s="83" t="inlineStr">
        <is>
          <t xml:space="preserve">Coral Card</t>
        </is>
      </c>
      <c r="AS57" s="83"/>
      <c r="AT57" s="83"/>
    </row>
    <row r="58">
      <c r="A58" s="82" t="inlineStr">
        <is>
          <t xml:space="preserve">AC54</t>
        </is>
      </c>
      <c r="B58" s="82" t="inlineStr">
        <is>
          <t xml:space="preserve">Cust 54</t>
        </is>
      </c>
      <c r="C58" s="82"/>
      <c r="D58" s="84">
        <v>2</v>
      </c>
      <c r="E58" s="82" t="inlineStr">
        <is>
          <t xml:space="preserve">900</t>
        </is>
      </c>
      <c r="F58" s="82"/>
      <c r="G58" s="86"/>
      <c r="H58" s="86"/>
      <c r="I58" s="86">
        <v>897072.0</v>
      </c>
      <c r="J58" s="86">
        <v>1200.5</v>
      </c>
      <c r="K58" s="86">
        <v>0.0</v>
      </c>
      <c r="L58" s="86">
        <v>0.0</v>
      </c>
      <c r="M58" s="86">
        <v>9000.0</v>
      </c>
      <c r="N58" s="86">
        <v>5000.0</v>
      </c>
      <c r="O58" s="89" t="inlineStr">
        <is>
          <t xml:space="preserve">UNPAID</t>
        </is>
      </c>
      <c r="P58" s="82" t="inlineStr">
        <is>
          <t xml:space="preserve">RF</t>
        </is>
      </c>
      <c r="Q58" s="86">
        <v>2000.0</v>
      </c>
      <c r="R58" s="86">
        <v>0.0</v>
      </c>
      <c r="S58" s="82"/>
      <c r="T58" s="82"/>
      <c r="U58" s="82"/>
      <c r="V58" s="82" t="inlineStr">
        <is>
          <t xml:space="preserve">OTHER</t>
        </is>
      </c>
      <c r="W58" s="82" t="inlineStr">
        <is>
          <t xml:space="preserve">DEVI (TC116) / 9000011111</t>
        </is>
      </c>
      <c r="X58" s="82" t="inlineStr">
        <is>
          <t xml:space="preserve">TC116</t>
        </is>
      </c>
      <c r="Y58" s="82" t="inlineStr">
        <is>
          <t xml:space="preserve">CAT J</t>
        </is>
      </c>
      <c r="Z58" s="82"/>
      <c r="AA58" s="82"/>
      <c r="AB58" s="82" t="inlineStr">
        <is>
          <t xml:space="preserve">VIZAG</t>
        </is>
      </c>
      <c r="AC58" s="82" t="inlineStr">
        <is>
          <t xml:space="preserve">KDP</t>
        </is>
      </c>
      <c r="AD58" s="82" t="inlineStr">
        <is>
          <t xml:space="preserve">SURESH (FO050)</t>
        </is>
      </c>
      <c r="AE58" s="82" t="inlineStr">
        <is>
          <t xml:space="preserve">FO050</t>
        </is>
      </c>
      <c r="AF58" s="82"/>
      <c r="AG58" s="82"/>
      <c r="AH58" s="82"/>
      <c r="AI58" s="82"/>
      <c r="AJ58" s="82"/>
      <c r="AK58" s="82" t="inlineStr">
        <is>
          <t xml:space="preserve">NOT VISITED</t>
        </is>
      </c>
      <c r="AL58" s="82"/>
      <c r="AM58" s="82"/>
      <c r="AN58" s="82"/>
      <c r="AO58" s="82"/>
      <c r="AP58" s="86"/>
      <c r="AQ58" s="82"/>
      <c r="AR58" s="82" t="inlineStr">
        <is>
          <t xml:space="preserve">Coral Card</t>
        </is>
      </c>
      <c r="AS58" s="82"/>
      <c r="AT58" s="82"/>
    </row>
    <row r="59">
      <c r="A59" s="83" t="inlineStr">
        <is>
          <t xml:space="preserve">AC57</t>
        </is>
      </c>
      <c r="B59" s="83" t="inlineStr">
        <is>
          <t xml:space="preserve">Cust 57</t>
        </is>
      </c>
      <c r="C59" s="83"/>
      <c r="D59" s="85">
        <v>12</v>
      </c>
      <c r="E59" s="83" t="inlineStr">
        <is>
          <t xml:space="preserve">900</t>
        </is>
      </c>
      <c r="F59" s="83"/>
      <c r="G59" s="87"/>
      <c r="H59" s="87"/>
      <c r="I59" s="87">
        <v>25832.0</v>
      </c>
      <c r="J59" s="87">
        <v>1200.5</v>
      </c>
      <c r="K59" s="87">
        <v>0.0</v>
      </c>
      <c r="L59" s="87">
        <v>0.0</v>
      </c>
      <c r="M59" s="87">
        <v>9000.0</v>
      </c>
      <c r="N59" s="87">
        <v>5000.0</v>
      </c>
      <c r="O59" s="89" t="inlineStr">
        <is>
          <t xml:space="preserve">UNPAID</t>
        </is>
      </c>
      <c r="P59" s="83" t="inlineStr">
        <is>
          <t xml:space="preserve">RF</t>
        </is>
      </c>
      <c r="Q59" s="87">
        <v>0.0</v>
      </c>
      <c r="R59" s="87">
        <v>0.0</v>
      </c>
      <c r="S59" s="83"/>
      <c r="T59" s="83"/>
      <c r="U59" s="83"/>
      <c r="V59" s="83" t="inlineStr">
        <is>
          <t xml:space="preserve">OTHER</t>
        </is>
      </c>
      <c r="W59" s="83" t="inlineStr">
        <is>
          <t xml:space="preserve">DEVI (TC116) / 9000011111</t>
        </is>
      </c>
      <c r="X59" s="83" t="inlineStr">
        <is>
          <t xml:space="preserve">TC116</t>
        </is>
      </c>
      <c r="Y59" s="83" t="inlineStr">
        <is>
          <t xml:space="preserve">CAT J</t>
        </is>
      </c>
      <c r="Z59" s="83"/>
      <c r="AA59" s="83"/>
      <c r="AB59" s="83" t="inlineStr">
        <is>
          <t xml:space="preserve">VIZAG</t>
        </is>
      </c>
      <c r="AC59" s="83" t="inlineStr">
        <is>
          <t xml:space="preserve">TS</t>
        </is>
      </c>
      <c r="AD59" s="83" t="inlineStr">
        <is>
          <t xml:space="preserve">SURESH (FO050)</t>
        </is>
      </c>
      <c r="AE59" s="83" t="inlineStr">
        <is>
          <t xml:space="preserve">FO050</t>
        </is>
      </c>
      <c r="AF59" s="83"/>
      <c r="AG59" s="83"/>
      <c r="AH59" s="83"/>
      <c r="AI59" s="83"/>
      <c r="AJ59" s="83"/>
      <c r="AK59" s="83" t="inlineStr">
        <is>
          <t xml:space="preserve">NOT VISITED</t>
        </is>
      </c>
      <c r="AL59" s="83"/>
      <c r="AM59" s="83"/>
      <c r="AN59" s="83"/>
      <c r="AO59" s="83"/>
      <c r="AP59" s="87"/>
      <c r="AQ59" s="83"/>
      <c r="AR59" s="83" t="inlineStr">
        <is>
          <t xml:space="preserve">Coral Card</t>
        </is>
      </c>
      <c r="AS59" s="83"/>
      <c r="AT59" s="83"/>
    </row>
    <row r="60">
      <c r="A60" s="82" t="inlineStr">
        <is>
          <t xml:space="preserve">AC6</t>
        </is>
      </c>
      <c r="B60" s="82" t="inlineStr">
        <is>
          <t xml:space="preserve">Cust 6</t>
        </is>
      </c>
      <c r="C60" s="82"/>
      <c r="D60" s="84">
        <v>21</v>
      </c>
      <c r="E60" s="82" t="inlineStr">
        <is>
          <t xml:space="preserve">900</t>
        </is>
      </c>
      <c r="F60" s="82"/>
      <c r="G60" s="86"/>
      <c r="H60" s="86"/>
      <c r="I60" s="86">
        <v>206426.0</v>
      </c>
      <c r="J60" s="86">
        <v>1200.5</v>
      </c>
      <c r="K60" s="86">
        <v>0.0</v>
      </c>
      <c r="L60" s="86">
        <v>0.0</v>
      </c>
      <c r="M60" s="86">
        <v>9000.0</v>
      </c>
      <c r="N60" s="86">
        <v>5000.0</v>
      </c>
      <c r="O60" s="89" t="inlineStr">
        <is>
          <t xml:space="preserve">UNPAID</t>
        </is>
      </c>
      <c r="P60" s="82" t="inlineStr">
        <is>
          <t xml:space="preserve">RF</t>
        </is>
      </c>
      <c r="Q60" s="86">
        <v>0.0</v>
      </c>
      <c r="R60" s="86">
        <v>0.0</v>
      </c>
      <c r="S60" s="82"/>
      <c r="T60" s="82"/>
      <c r="U60" s="82"/>
      <c r="V60" s="82" t="inlineStr">
        <is>
          <t xml:space="preserve">NAGALLA</t>
        </is>
      </c>
      <c r="W60" s="82" t="inlineStr">
        <is>
          <t xml:space="preserve">DEVI (TC116) / 9000011111</t>
        </is>
      </c>
      <c r="X60" s="82" t="inlineStr">
        <is>
          <t xml:space="preserve">TC116</t>
        </is>
      </c>
      <c r="Y60" s="82" t="inlineStr">
        <is>
          <t xml:space="preserve">CAT I</t>
        </is>
      </c>
      <c r="Z60" s="82"/>
      <c r="AA60" s="82"/>
      <c r="AB60" s="82" t="inlineStr">
        <is>
          <t xml:space="preserve">VIZAG</t>
        </is>
      </c>
      <c r="AC60" s="82" t="inlineStr">
        <is>
          <t xml:space="preserve">TS</t>
        </is>
      </c>
      <c r="AD60" s="82" t="inlineStr">
        <is>
          <t xml:space="preserve">SURESH (FO050)</t>
        </is>
      </c>
      <c r="AE60" s="82" t="inlineStr">
        <is>
          <t xml:space="preserve">FO050</t>
        </is>
      </c>
      <c r="AF60" s="82"/>
      <c r="AG60" s="82"/>
      <c r="AH60" s="82"/>
      <c r="AI60" s="82"/>
      <c r="AJ60" s="82"/>
      <c r="AK60" s="82" t="inlineStr">
        <is>
          <t xml:space="preserve">VISITED</t>
        </is>
      </c>
      <c r="AL60" s="82" t="inlineStr">
        <is>
          <t xml:space="preserve">LIVE</t>
        </is>
      </c>
      <c r="AM60" s="82"/>
      <c r="AN60" s="82" t="inlineStr">
        <is>
          <t xml:space="preserve">31-10-2026</t>
        </is>
      </c>
      <c r="AO60" s="82"/>
      <c r="AP60" s="86"/>
      <c r="AQ60" s="82"/>
      <c r="AR60" s="82" t="inlineStr">
        <is>
          <t xml:space="preserve">Coral Card</t>
        </is>
      </c>
      <c r="AS60" s="82"/>
      <c r="AT60" s="82"/>
    </row>
    <row r="61">
      <c r="A61" s="83" t="inlineStr">
        <is>
          <t xml:space="preserve">AC9</t>
        </is>
      </c>
      <c r="B61" s="83" t="inlineStr">
        <is>
          <t xml:space="preserve">Cust 9</t>
        </is>
      </c>
      <c r="C61" s="83"/>
      <c r="D61" s="85">
        <v>12</v>
      </c>
      <c r="E61" s="83" t="inlineStr">
        <is>
          <t xml:space="preserve">900</t>
        </is>
      </c>
      <c r="F61" s="83"/>
      <c r="G61" s="87"/>
      <c r="H61" s="87"/>
      <c r="I61" s="87">
        <v>471981.0</v>
      </c>
      <c r="J61" s="87">
        <v>1200.5</v>
      </c>
      <c r="K61" s="87">
        <v>0.0</v>
      </c>
      <c r="L61" s="87">
        <v>0.0</v>
      </c>
      <c r="M61" s="87">
        <v>9000.0</v>
      </c>
      <c r="N61" s="87">
        <v>5000.0</v>
      </c>
      <c r="O61" s="89" t="inlineStr">
        <is>
          <t xml:space="preserve">UNPAID</t>
        </is>
      </c>
      <c r="P61" s="83" t="inlineStr">
        <is>
          <t xml:space="preserve">RF</t>
        </is>
      </c>
      <c r="Q61" s="87">
        <v>0.0</v>
      </c>
      <c r="R61" s="87">
        <v>0.0</v>
      </c>
      <c r="S61" s="83"/>
      <c r="T61" s="83"/>
      <c r="U61" s="83"/>
      <c r="V61" s="83" t="inlineStr">
        <is>
          <t xml:space="preserve">NAGALLA</t>
        </is>
      </c>
      <c r="W61" s="83" t="inlineStr">
        <is>
          <t xml:space="preserve">DEVI (TC116) / 9000011111</t>
        </is>
      </c>
      <c r="X61" s="83" t="inlineStr">
        <is>
          <t xml:space="preserve">TC116</t>
        </is>
      </c>
      <c r="Y61" s="83" t="inlineStr">
        <is>
          <t xml:space="preserve">CAT I</t>
        </is>
      </c>
      <c r="Z61" s="83"/>
      <c r="AA61" s="83"/>
      <c r="AB61" s="83" t="inlineStr">
        <is>
          <t xml:space="preserve">VIZAG</t>
        </is>
      </c>
      <c r="AC61" s="83" t="inlineStr">
        <is>
          <t xml:space="preserve">KDP</t>
        </is>
      </c>
      <c r="AD61" s="83" t="inlineStr">
        <is>
          <t xml:space="preserve">SURESH (FO050)</t>
        </is>
      </c>
      <c r="AE61" s="83" t="inlineStr">
        <is>
          <t xml:space="preserve">FO050</t>
        </is>
      </c>
      <c r="AF61" s="83"/>
      <c r="AG61" s="83"/>
      <c r="AH61" s="83"/>
      <c r="AI61" s="83"/>
      <c r="AJ61" s="83"/>
      <c r="AK61" s="83" t="inlineStr">
        <is>
          <t xml:space="preserve">VISITED</t>
        </is>
      </c>
      <c r="AL61" s="83" t="inlineStr">
        <is>
          <t xml:space="preserve">LIVE</t>
        </is>
      </c>
      <c r="AM61" s="83"/>
      <c r="AN61" s="83" t="inlineStr">
        <is>
          <t xml:space="preserve">31-10-2026</t>
        </is>
      </c>
      <c r="AO61" s="83"/>
      <c r="AP61" s="87"/>
      <c r="AQ61" s="83"/>
      <c r="AR61" s="83" t="inlineStr">
        <is>
          <t xml:space="preserve">Coral Card</t>
        </is>
      </c>
      <c r="AS61" s="83"/>
      <c r="AT61" s="83"/>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MIS</vt:lpstr>
      <vt:lpstr>MAIN</vt:lpstr>
      <vt:lpstr>RE</vt:lpstr>
      <vt:lpstr>Sheet2</vt:lpstr>
      <vt:lpstr>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SRAVS</cp:lastModifiedBy>
  <dcterms:created xsi:type="dcterms:W3CDTF">2025-11-07T11:49:26Z</dcterms:created>
  <dcterms:modified xsi:type="dcterms:W3CDTF">2026-10-30T11:41:38Z</dcterms:modified>
</cp:coreProperties>
</file>