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7FEF86F-C3BE-4D76-8EF9-524A30C3E1D8}" xr6:coauthVersionLast="47" xr6:coauthVersionMax="47" xr10:uidLastSave="{00000000-0000-0000-0000-000000000000}"/>
  <bookViews>
    <workbookView xWindow="-120" yWindow="-120" windowWidth="20730" windowHeight="11040" activeTab="1" xr2:uid="{C3CA165C-7445-4569-BD2B-AE1E69F1ED66}"/>
  </bookViews>
  <sheets>
    <sheet name="dec to feb''26" sheetId="2" r:id="rId1"/>
    <sheet name="march to may''26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767" i="2" l="1"/>
  <c r="T766" i="2"/>
  <c r="S765" i="2"/>
  <c r="T764" i="2"/>
  <c r="T763" i="2"/>
  <c r="T762" i="2"/>
  <c r="S761" i="2"/>
  <c r="T760" i="2"/>
  <c r="T759" i="2"/>
  <c r="T758" i="2"/>
  <c r="T757" i="2"/>
  <c r="T756" i="2"/>
  <c r="T755" i="2"/>
  <c r="T754" i="2"/>
  <c r="T753" i="2"/>
  <c r="T752" i="2"/>
  <c r="T751" i="2"/>
  <c r="T750" i="2"/>
  <c r="T749" i="2"/>
  <c r="T748" i="2"/>
  <c r="T747" i="2"/>
  <c r="T746" i="2"/>
  <c r="T745" i="2"/>
  <c r="T744" i="2"/>
  <c r="T743" i="2"/>
  <c r="T742" i="2"/>
  <c r="T741" i="2"/>
  <c r="T740" i="2"/>
  <c r="T739" i="2"/>
  <c r="T738" i="2"/>
  <c r="T737" i="2"/>
  <c r="T736" i="2"/>
  <c r="T735" i="2"/>
  <c r="T734" i="2"/>
  <c r="T733" i="2"/>
  <c r="T732" i="2"/>
  <c r="T731" i="2"/>
  <c r="T730" i="2"/>
  <c r="S729" i="2"/>
  <c r="T728" i="2"/>
  <c r="T727" i="2"/>
  <c r="T726" i="2"/>
  <c r="T725" i="2"/>
  <c r="T724" i="2"/>
  <c r="T723" i="2"/>
  <c r="T722" i="2"/>
  <c r="T721" i="2"/>
  <c r="T720" i="2"/>
  <c r="T719" i="2"/>
  <c r="T718" i="2"/>
  <c r="T717" i="2"/>
  <c r="T716" i="2"/>
  <c r="T715" i="2"/>
  <c r="T714" i="2"/>
  <c r="T713" i="2"/>
  <c r="T712" i="2"/>
  <c r="T711" i="2"/>
  <c r="T710" i="2"/>
  <c r="T709" i="2"/>
  <c r="S708" i="2"/>
  <c r="S707" i="2"/>
  <c r="T706" i="2"/>
  <c r="T705" i="2"/>
  <c r="T704" i="2"/>
  <c r="T703" i="2"/>
  <c r="T702" i="2"/>
  <c r="T701" i="2"/>
  <c r="T700" i="2"/>
  <c r="T699" i="2"/>
  <c r="T698" i="2"/>
  <c r="T697" i="2"/>
  <c r="T696" i="2"/>
  <c r="T695" i="2"/>
  <c r="T694" i="2"/>
  <c r="T693" i="2"/>
  <c r="T692" i="2"/>
  <c r="T691" i="2"/>
  <c r="T690" i="2"/>
  <c r="T689" i="2"/>
  <c r="T688" i="2"/>
  <c r="T687" i="2"/>
  <c r="T686" i="2"/>
  <c r="T685" i="2"/>
  <c r="T684" i="2"/>
  <c r="T683" i="2"/>
  <c r="T682" i="2"/>
  <c r="T681" i="2"/>
  <c r="T680" i="2"/>
  <c r="T679" i="2"/>
  <c r="T678" i="2"/>
  <c r="T677" i="2"/>
  <c r="T676" i="2"/>
  <c r="T675" i="2"/>
  <c r="T674" i="2"/>
  <c r="T673" i="2"/>
  <c r="T672" i="2"/>
  <c r="T671" i="2"/>
  <c r="T670" i="2"/>
  <c r="T669" i="2"/>
  <c r="T668" i="2"/>
  <c r="T667" i="2"/>
  <c r="T666" i="2"/>
  <c r="T665" i="2"/>
  <c r="T664" i="2"/>
  <c r="T663" i="2"/>
  <c r="T662" i="2"/>
  <c r="T661" i="2"/>
  <c r="T660" i="2"/>
  <c r="T659" i="2"/>
  <c r="T658" i="2"/>
  <c r="T657" i="2"/>
  <c r="S657" i="2"/>
  <c r="T656" i="2"/>
  <c r="T655" i="2"/>
  <c r="T654" i="2"/>
  <c r="T653" i="2"/>
  <c r="T652" i="2"/>
  <c r="T651" i="2"/>
  <c r="S650" i="2"/>
  <c r="T649" i="2"/>
  <c r="T648" i="2"/>
  <c r="T647" i="2"/>
  <c r="T646" i="2"/>
  <c r="T645" i="2"/>
  <c r="T644" i="2"/>
  <c r="T643" i="2"/>
  <c r="T642" i="2"/>
  <c r="T641" i="2"/>
  <c r="T640" i="2"/>
  <c r="T639" i="2"/>
  <c r="T638" i="2"/>
  <c r="T637" i="2"/>
  <c r="T636" i="2"/>
  <c r="T635" i="2"/>
  <c r="S635" i="2"/>
  <c r="T634" i="2"/>
  <c r="S633" i="2"/>
  <c r="T632" i="2"/>
  <c r="T631" i="2"/>
  <c r="T630" i="2"/>
  <c r="T629" i="2"/>
  <c r="T628" i="2"/>
  <c r="T627" i="2"/>
  <c r="T626" i="2"/>
  <c r="T625" i="2"/>
  <c r="T624" i="2"/>
  <c r="T623" i="2"/>
  <c r="T622" i="2"/>
  <c r="T621" i="2"/>
  <c r="T620" i="2"/>
  <c r="T619" i="2"/>
  <c r="T618" i="2"/>
  <c r="T617" i="2"/>
  <c r="T616" i="2"/>
  <c r="T615" i="2"/>
  <c r="T614" i="2"/>
  <c r="T613" i="2"/>
  <c r="T612" i="2"/>
  <c r="T611" i="2"/>
  <c r="T610" i="2"/>
  <c r="T609" i="2"/>
  <c r="T608" i="2"/>
  <c r="S607" i="2"/>
  <c r="S606" i="2"/>
  <c r="T605" i="2"/>
  <c r="T604" i="2"/>
  <c r="T603" i="2"/>
  <c r="T602" i="2"/>
  <c r="T601" i="2"/>
  <c r="T600" i="2"/>
  <c r="T599" i="2"/>
  <c r="T598" i="2"/>
  <c r="T597" i="2"/>
  <c r="T596" i="2"/>
  <c r="T595" i="2"/>
  <c r="T594" i="2"/>
  <c r="T593" i="2"/>
  <c r="T592" i="2"/>
  <c r="T591" i="2"/>
  <c r="T590" i="2"/>
  <c r="T589" i="2"/>
  <c r="T588" i="2"/>
  <c r="T587" i="2"/>
  <c r="T586" i="2"/>
  <c r="T585" i="2"/>
  <c r="T584" i="2"/>
  <c r="T583" i="2"/>
  <c r="T582" i="2"/>
  <c r="T581" i="2"/>
  <c r="T580" i="2"/>
  <c r="T579" i="2"/>
  <c r="T578" i="2"/>
  <c r="T577" i="2"/>
  <c r="T576" i="2"/>
  <c r="T575" i="2"/>
  <c r="T574" i="2"/>
  <c r="T573" i="2"/>
  <c r="T572" i="2"/>
  <c r="T571" i="2"/>
  <c r="T570" i="2"/>
  <c r="T569" i="2"/>
  <c r="T568" i="2"/>
  <c r="T567" i="2"/>
  <c r="S566" i="2"/>
  <c r="T565" i="2"/>
  <c r="T564" i="2"/>
  <c r="T563" i="2"/>
  <c r="T562" i="2"/>
  <c r="T561" i="2"/>
  <c r="T560" i="2"/>
  <c r="T559" i="2"/>
  <c r="T558" i="2"/>
  <c r="T557" i="2"/>
  <c r="T556" i="2"/>
  <c r="T555" i="2"/>
  <c r="T554" i="2"/>
  <c r="T553" i="2"/>
  <c r="S553" i="2"/>
  <c r="T552" i="2"/>
  <c r="T551" i="2"/>
  <c r="T550" i="2"/>
  <c r="T549" i="2"/>
  <c r="T548" i="2"/>
  <c r="T547" i="2"/>
  <c r="T546" i="2"/>
  <c r="T545" i="2"/>
  <c r="T544" i="2"/>
  <c r="T543" i="2"/>
  <c r="T542" i="2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S359" i="2"/>
  <c r="T358" i="2"/>
  <c r="T357" i="2"/>
  <c r="T356" i="2"/>
  <c r="T355" i="2"/>
  <c r="S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S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S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S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S278" i="2"/>
  <c r="S277" i="2"/>
  <c r="T276" i="2"/>
  <c r="T275" i="2"/>
  <c r="T274" i="2"/>
  <c r="T273" i="2"/>
  <c r="T272" i="2"/>
  <c r="S271" i="2"/>
  <c r="T270" i="2"/>
  <c r="T269" i="2"/>
  <c r="T268" i="2"/>
  <c r="T267" i="2"/>
  <c r="T266" i="2"/>
  <c r="T265" i="2"/>
  <c r="T264" i="2"/>
  <c r="T263" i="2"/>
  <c r="S262" i="2"/>
  <c r="T261" i="2"/>
  <c r="T260" i="2"/>
  <c r="T259" i="2"/>
  <c r="T258" i="2"/>
  <c r="T257" i="2"/>
  <c r="T256" i="2"/>
  <c r="T255" i="2"/>
  <c r="T254" i="2"/>
  <c r="T253" i="2"/>
  <c r="S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S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S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R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R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R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R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R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R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R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R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R580" i="1"/>
  <c r="R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R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R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R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R311" i="1"/>
  <c r="R310" i="1"/>
  <c r="S309" i="1"/>
  <c r="S308" i="1"/>
  <c r="R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R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R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R182" i="1"/>
  <c r="R181" i="1"/>
  <c r="S180" i="1"/>
  <c r="S179" i="1"/>
  <c r="R179" i="1"/>
  <c r="R178" i="1"/>
  <c r="S177" i="1"/>
  <c r="S176" i="1"/>
  <c r="S175" i="1"/>
  <c r="S174" i="1"/>
  <c r="S173" i="1"/>
  <c r="S172" i="1"/>
  <c r="S171" i="1"/>
  <c r="R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R141" i="1"/>
  <c r="R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R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R78" i="1"/>
  <c r="S77" i="1"/>
  <c r="S76" i="1"/>
  <c r="S75" i="1"/>
  <c r="S74" i="1"/>
  <c r="R73" i="1"/>
  <c r="S72" i="1"/>
  <c r="S71" i="1"/>
  <c r="S70" i="1"/>
  <c r="S69" i="1"/>
  <c r="S68" i="1"/>
  <c r="R67" i="1"/>
  <c r="S66" i="1"/>
  <c r="S65" i="1"/>
  <c r="S64" i="1"/>
  <c r="S63" i="1"/>
  <c r="S62" i="1"/>
  <c r="R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T707" i="2" l="1"/>
  <c r="T359" i="2"/>
  <c r="T354" i="2"/>
  <c r="T278" i="2"/>
  <c r="T277" i="2"/>
  <c r="T271" i="2"/>
  <c r="T262" i="2"/>
  <c r="T252" i="2"/>
  <c r="T216" i="2"/>
  <c r="T185" i="2"/>
  <c r="T708" i="2"/>
  <c r="T650" i="2"/>
  <c r="T607" i="2"/>
  <c r="T765" i="2"/>
  <c r="T729" i="2"/>
  <c r="T566" i="2"/>
  <c r="T314" i="2"/>
  <c r="T294" i="2"/>
  <c r="T761" i="2"/>
  <c r="T633" i="2"/>
  <c r="T606" i="2"/>
  <c r="T328" i="2"/>
  <c r="S840" i="1"/>
  <c r="S744" i="1"/>
  <c r="S369" i="1"/>
  <c r="S878" i="1"/>
  <c r="S968" i="1"/>
  <c r="S580" i="1"/>
  <c r="S527" i="1"/>
  <c r="S311" i="1"/>
  <c r="S310" i="1"/>
  <c r="S307" i="1"/>
  <c r="S178" i="1"/>
  <c r="S170" i="1"/>
  <c r="S141" i="1"/>
  <c r="S125" i="1"/>
  <c r="S73" i="1"/>
  <c r="S67" i="1"/>
  <c r="S61" i="1"/>
  <c r="S707" i="1"/>
  <c r="S277" i="1"/>
  <c r="S241" i="1"/>
  <c r="S181" i="1"/>
  <c r="S140" i="1"/>
  <c r="S687" i="1"/>
  <c r="S645" i="1"/>
  <c r="S579" i="1"/>
  <c r="S328" i="1"/>
  <c r="S182" i="1"/>
  <c r="S1044" i="1"/>
</calcChain>
</file>

<file path=xl/sharedStrings.xml><?xml version="1.0" encoding="utf-8"?>
<sst xmlns="http://schemas.openxmlformats.org/spreadsheetml/2006/main" count="29105" uniqueCount="6610">
  <si>
    <t>S.NO</t>
  </si>
  <si>
    <t>RECEIPT RAISE PERSON</t>
  </si>
  <si>
    <t>DATE</t>
  </si>
  <si>
    <t>BANK</t>
  </si>
  <si>
    <t>MONTH</t>
  </si>
  <si>
    <t>BKT</t>
  </si>
  <si>
    <t>CYC</t>
  </si>
  <si>
    <t>CUS NAME</t>
  </si>
  <si>
    <t>PHONE NO</t>
  </si>
  <si>
    <t>ACCOUNT NO</t>
  </si>
  <si>
    <t>CC NO</t>
  </si>
  <si>
    <t>STAB</t>
  </si>
  <si>
    <t>FUNDING AMOUNT</t>
  </si>
  <si>
    <t>Date Commited Date</t>
  </si>
  <si>
    <t xml:space="preserve">Responsible person </t>
  </si>
  <si>
    <t>Funding Status (Refundable//Non-Refundable)</t>
  </si>
  <si>
    <t>TL Name</t>
  </si>
  <si>
    <t>RECEIVED AMOUNT</t>
  </si>
  <si>
    <t>PENDING AMOUNT</t>
  </si>
  <si>
    <t>RECEIVED Date</t>
  </si>
  <si>
    <t>REMARKS</t>
  </si>
  <si>
    <t>FINAL STATUS</t>
  </si>
  <si>
    <t xml:space="preserve">CALLER </t>
  </si>
  <si>
    <t xml:space="preserve">FOS </t>
  </si>
  <si>
    <t>ADDRESS</t>
  </si>
  <si>
    <t>LOCATION</t>
  </si>
  <si>
    <t>``</t>
  </si>
  <si>
    <t>KRISHNA SAI</t>
  </si>
  <si>
    <t>BRBL</t>
  </si>
  <si>
    <t>MAR''26</t>
  </si>
  <si>
    <t>3RD BKT</t>
  </si>
  <si>
    <t>MS BODDAPU SWATHI</t>
  </si>
  <si>
    <t>9392962095</t>
  </si>
  <si>
    <t>0007478700073244777</t>
  </si>
  <si>
    <t>xx1496</t>
  </si>
  <si>
    <t>50-50</t>
  </si>
  <si>
    <t>KRISHNASAI</t>
  </si>
  <si>
    <t>ANIL</t>
  </si>
  <si>
    <t>H NO 6 173 YSR COLONYNEAR WALIBALL PLAY GROUND 531173</t>
  </si>
  <si>
    <t>PENDHURTHY</t>
  </si>
  <si>
    <t>VIJAYAWADA</t>
  </si>
  <si>
    <t>NARAYANARAO KORADA</t>
  </si>
  <si>
    <t>7331153428</t>
  </si>
  <si>
    <t>0007477250017947854</t>
  </si>
  <si>
    <t>xx8887</t>
  </si>
  <si>
    <t>RACHANA</t>
  </si>
  <si>
    <t>DNO 151255 2ND FLOORKRISHNAVN PURAM 521102</t>
  </si>
  <si>
    <t>KESARAPALLI</t>
  </si>
  <si>
    <t>BHANU TEJA MALLELA</t>
  </si>
  <si>
    <t>9951643982</t>
  </si>
  <si>
    <t>0007470470001248609</t>
  </si>
  <si>
    <t>xx2378</t>
  </si>
  <si>
    <t>Refundable</t>
  </si>
  <si>
    <t>SGR RECEIVED 504/- 7TH MAR''26</t>
  </si>
  <si>
    <t>RECEIVED</t>
  </si>
  <si>
    <t>SUNITHA</t>
  </si>
  <si>
    <t>D NO 56/19-1ITACIRCLEAKKAYAPALLIAREANRBYVIKASSTREETBACKSIDE 516001</t>
  </si>
  <si>
    <t>CUDDAPAH</t>
  </si>
  <si>
    <t>RAJU PONNAKAYALA</t>
  </si>
  <si>
    <t>6305174650</t>
  </si>
  <si>
    <t>0007476760003014148</t>
  </si>
  <si>
    <t>xx9045</t>
  </si>
  <si>
    <t>GOWRI</t>
  </si>
  <si>
    <t>HNO 36-90-43/1DEVENDERA NAGAR BESIDE RYTHUBAZAR STREETVISAKHAPATNAM 530008</t>
  </si>
  <si>
    <t>KANCHARAPALEM</t>
  </si>
  <si>
    <t>LAKSHMI SENAPATHI</t>
  </si>
  <si>
    <t>7660996628</t>
  </si>
  <si>
    <t>0007478830002629952</t>
  </si>
  <si>
    <t>xx2777</t>
  </si>
  <si>
    <t>JERUSHA</t>
  </si>
  <si>
    <t>D NO 2-25-26 NULL OPPBUS STOP MINDI BHPV MADHURICHICKEN CENTER 530012</t>
  </si>
  <si>
    <t>GAJUWAKA</t>
  </si>
  <si>
    <t>ATCHYUTA RAO THOTA</t>
  </si>
  <si>
    <t>9701050170</t>
  </si>
  <si>
    <t>0007476760006833775</t>
  </si>
  <si>
    <t>xx4441</t>
  </si>
  <si>
    <t>AKHIL</t>
  </si>
  <si>
    <t>NEW GAJUWAKA KANITHIROAD 11 24 0411 24 04 LALITHA BAVAN 530026</t>
  </si>
  <si>
    <t>FARID SALEEM</t>
  </si>
  <si>
    <t>9642291540</t>
  </si>
  <si>
    <t>0007478700078154278</t>
  </si>
  <si>
    <t>xx6132</t>
  </si>
  <si>
    <t>ALEKYA</t>
  </si>
  <si>
    <t>DOOR NO112MEDIKONDURU TURAKAPALEMNEAR SAI BABA TEMPLE 522438</t>
  </si>
  <si>
    <t>NARASARAOPET</t>
  </si>
  <si>
    <t>GEDDAM KARTHIKEYA</t>
  </si>
  <si>
    <t>9493776643</t>
  </si>
  <si>
    <t>0007478730001520485</t>
  </si>
  <si>
    <t>xx5660</t>
  </si>
  <si>
    <t>VISHNUPRIYA</t>
  </si>
  <si>
    <t>HNO 11911 KADAKATLA AREAPOTLA VAARI STREETTADEPALLIGUDEMNEAR BY RAILWAY GATE 534101</t>
  </si>
  <si>
    <t>TADEPALLIGUDEM</t>
  </si>
  <si>
    <t>PALLIRAJU BORRA</t>
  </si>
  <si>
    <t>9866954570</t>
  </si>
  <si>
    <t>0007470450001785800</t>
  </si>
  <si>
    <t>xx6289</t>
  </si>
  <si>
    <t>HARIKA</t>
  </si>
  <si>
    <t>60 10 6 6 F4 PAVITA PLAZAP AND T COLONYOPP PRATIBHA SCHOOL 533105</t>
  </si>
  <si>
    <t>KETHERU</t>
  </si>
  <si>
    <t>KOLLATI RAMESH</t>
  </si>
  <si>
    <t>9553170777</t>
  </si>
  <si>
    <t>0007476300018321996</t>
  </si>
  <si>
    <t>xx0319</t>
  </si>
  <si>
    <t>RUPA</t>
  </si>
  <si>
    <t>4 104 DUMPAGADAPAPALLIPALEM 534236</t>
  </si>
  <si>
    <t>KALAVAPUDI</t>
  </si>
  <si>
    <t>PAGADALA SRINU</t>
  </si>
  <si>
    <t>9848504629</t>
  </si>
  <si>
    <t>0007477250006439251</t>
  </si>
  <si>
    <t>xx3110</t>
  </si>
  <si>
    <t>POORNIMA</t>
  </si>
  <si>
    <t>HNO:42-14-12 BLOCKNO:67 AJITHSINGHNAGARLENIN CENTER VIJAYAWADA KRISHNADIST NEAR PEDDA MASJID 520015</t>
  </si>
  <si>
    <t>PATAMATALANKA</t>
  </si>
  <si>
    <t>KOTNI MANIRAM</t>
  </si>
  <si>
    <t>9491935464</t>
  </si>
  <si>
    <t>0007477350017754704</t>
  </si>
  <si>
    <t>xx4894</t>
  </si>
  <si>
    <t>PREM</t>
  </si>
  <si>
    <t>13-50-55COMPOST COLONYZ P BACKSIDE 532001</t>
  </si>
  <si>
    <t>SRIKAKULAM</t>
  </si>
  <si>
    <t>MS BAVIRISETTI DURGA</t>
  </si>
  <si>
    <t>9989669188</t>
  </si>
  <si>
    <t>0007470830001442157</t>
  </si>
  <si>
    <t>xx5238</t>
  </si>
  <si>
    <t>VENKAT</t>
  </si>
  <si>
    <t>HOUSE NO 825 SUNKARA VARI THOTAVENKATAPURAM PANCHAYITI ELURUNR MASJID 534001</t>
  </si>
  <si>
    <t>ELURU</t>
  </si>
  <si>
    <t>SUNNY RAYI</t>
  </si>
  <si>
    <t>9494624912</t>
  </si>
  <si>
    <t>0007470830014037176</t>
  </si>
  <si>
    <t>xx1257</t>
  </si>
  <si>
    <t>4-246/B NALLI VARI PETA CHURCHNARSAPURNARSAPUR 534280</t>
  </si>
  <si>
    <t>NARASAPUR</t>
  </si>
  <si>
    <t>DURGA PRASAD KHANDAVILLI</t>
  </si>
  <si>
    <t>9030543963</t>
  </si>
  <si>
    <t>0007477350010041760</t>
  </si>
  <si>
    <t>xx3471</t>
  </si>
  <si>
    <t>#497 KRISHNA NAGAR AYYAPPA NAGARSANTHI STREET NEAR BHAIRAVIVIJAYAWADA URBAN KRISHNAGAR 520007</t>
  </si>
  <si>
    <t>KANURU</t>
  </si>
  <si>
    <t>RAVITEJA BANDREDDY</t>
  </si>
  <si>
    <t>7989774282</t>
  </si>
  <si>
    <t>0007470870006216263</t>
  </si>
  <si>
    <t>xx0466</t>
  </si>
  <si>
    <t>HNO 1-47-93/1 WEEKERS COLONYWEEKERS COLONY TADEAPALLIGUDEM- NEAR AROOMA SCHOOL 534101</t>
  </si>
  <si>
    <t>GANESH SAGARAPU</t>
  </si>
  <si>
    <t>9010246367</t>
  </si>
  <si>
    <t>0007478830002665097</t>
  </si>
  <si>
    <t>xx9601</t>
  </si>
  <si>
    <t>D NO 71-45-21, JAI ANDHRA COLONY,SCINDIA, GANDHIGRAM PEDAGANTYADANEAR AUTO STAND 530005</t>
  </si>
  <si>
    <t>SOUMYA RANJAN DASH</t>
  </si>
  <si>
    <t>7409996445</t>
  </si>
  <si>
    <t>0007478730000570721</t>
  </si>
  <si>
    <t>xx3974</t>
  </si>
  <si>
    <t>HOUSE NO 14 EZHIMALA KERALANEAR INDIAN NAVEL ACADEMY 518145</t>
  </si>
  <si>
    <t>AKKAMPALLI</t>
  </si>
  <si>
    <t>MALIK MALIK PATAN</t>
  </si>
  <si>
    <t>9640065160</t>
  </si>
  <si>
    <t>0007470870006126462</t>
  </si>
  <si>
    <t>xx8206</t>
  </si>
  <si>
    <t>H NO 8-64 , S/O HASIM BASHACHIGURUVADA , VIJAYA NAGAR COLONYOPP CANARA BANK 517507</t>
  </si>
  <si>
    <t>TIRUPATHI</t>
  </si>
  <si>
    <t>RAMBABU NAKKA</t>
  </si>
  <si>
    <t>9000931913</t>
  </si>
  <si>
    <t>0007470470001233031</t>
  </si>
  <si>
    <t>xx9587</t>
  </si>
  <si>
    <t>HOUSE NO 9-285/7VELPUR ROADNWAR SCHOOL 534211</t>
  </si>
  <si>
    <t>TANUKU</t>
  </si>
  <si>
    <t>SYED JAMEEL</t>
  </si>
  <si>
    <t>9440488413</t>
  </si>
  <si>
    <t>0007478800034128372</t>
  </si>
  <si>
    <t>xx8576</t>
  </si>
  <si>
    <t>2-7-86 PARUCHURI VARI STREETNAWABPETA - NEAR BASHEER HOSPITAL 524002</t>
  </si>
  <si>
    <t>NELLORE</t>
  </si>
  <si>
    <t>KONDAPALLI SATYANARAYANA</t>
  </si>
  <si>
    <t>8639447758</t>
  </si>
  <si>
    <t>0007470650006665994</t>
  </si>
  <si>
    <t>xx5722</t>
  </si>
  <si>
    <t>D NO 2 22 REPPURU ROADKOWWEDA KAKINADA ANDHRA PRADESHNEAR SIVALAIYAM 533006</t>
  </si>
  <si>
    <t>KAKINADA</t>
  </si>
  <si>
    <t>APPIKONDA SRINU</t>
  </si>
  <si>
    <t>9885889929</t>
  </si>
  <si>
    <t>0007476600034667201</t>
  </si>
  <si>
    <t>xx4359</t>
  </si>
  <si>
    <t>FLAT NO 590 NEW RR PETA VIJAYAWADA URBANKRISHNA DISTRICT AP 520003</t>
  </si>
  <si>
    <t>PURNANDAMPET</t>
  </si>
  <si>
    <t>GOUNDA MAHABOOB BASHA</t>
  </si>
  <si>
    <t>9440174384</t>
  </si>
  <si>
    <t>0007476600028121538</t>
  </si>
  <si>
    <t>xx3256</t>
  </si>
  <si>
    <t>HNO4-102 GOUNDA STREET BALAGANAPALU 518124</t>
  </si>
  <si>
    <t>NANDYAL</t>
  </si>
  <si>
    <t>MULINTI MANISH</t>
  </si>
  <si>
    <t>8056586847</t>
  </si>
  <si>
    <t>0007476840000238757</t>
  </si>
  <si>
    <t>xx0159</t>
  </si>
  <si>
    <t>H NO 9 11 C MPL ROAD CHINTHAPARTHY,VAYALPAD,CHITTOR DIS AP 517277</t>
  </si>
  <si>
    <t>CHITTOR</t>
  </si>
  <si>
    <t>SHABHARANI KOMMU</t>
  </si>
  <si>
    <t>0007470890004964615</t>
  </si>
  <si>
    <t>xx6531</t>
  </si>
  <si>
    <t>HOSUE NUMER 188YANANALA PALLE VILAGE PENT APADDU MANDALNEAR BY CHURHCI STREET 534166</t>
  </si>
  <si>
    <t>PENTAPADU</t>
  </si>
  <si>
    <t>MR AYINAMPUDI VENKATA VENKATA MUNEENDRA</t>
  </si>
  <si>
    <t>9441481149</t>
  </si>
  <si>
    <t>0007476840000497114</t>
  </si>
  <si>
    <t>xx7667</t>
  </si>
  <si>
    <t>HOUSE NO 27-3-50 NEAR RAGHVENDA SCHOOLSRINAGAR VISAKHAPATNAM 530046</t>
  </si>
  <si>
    <t>SRINUVASU DAASIREDDY</t>
  </si>
  <si>
    <t>0007478700130562864</t>
  </si>
  <si>
    <t>xx3957</t>
  </si>
  <si>
    <t>S/O SANJEEV RAO H NO 141030 ANAKAPALLIBOCHAVARI VEEDHI ANAKAPALLINEAR BY BOGALINGAML SCHOOL ANAKAPALLI 531001</t>
  </si>
  <si>
    <t>ANAKAPALLI</t>
  </si>
  <si>
    <t>GOUSE SANDANI SHAIK</t>
  </si>
  <si>
    <t>0007477770006152919</t>
  </si>
  <si>
    <t>MEDIKONDURU D,NO -1-118 OLD CINEMA HALL ROAD,ANDHRA PRADESH 522438GUNTUR 522438</t>
  </si>
  <si>
    <t>GUNTUR</t>
  </si>
  <si>
    <t>MR NARASIMHA RAO BALE</t>
  </si>
  <si>
    <t>0007478950045651589</t>
  </si>
  <si>
    <t>xx0783</t>
  </si>
  <si>
    <t>81 1 1 NALLACHERUVU ZERO LINE1ST CROSS RD GUNTUR GUNTUR 522003</t>
  </si>
  <si>
    <t>BUDAGA VISWANATH</t>
  </si>
  <si>
    <t>0007471150008855221</t>
  </si>
  <si>
    <t>xx6171</t>
  </si>
  <si>
    <t>PLATNUMBER 56BALAJI VILLAS HASE2SRI VENKATESWARA PURAMANANTHAPUR 515003</t>
  </si>
  <si>
    <t>ANATHAPUR</t>
  </si>
  <si>
    <t>KOTI</t>
  </si>
  <si>
    <t>ICICI</t>
  </si>
  <si>
    <t>VIZAG FCPU</t>
  </si>
  <si>
    <t>LALU SAI RAJESH TUPAKULA</t>
  </si>
  <si>
    <t>6528681538981009</t>
  </si>
  <si>
    <t>HARI BABU</t>
  </si>
  <si>
    <t>SGR RECEIVED 11330/- 4TH MAR''26</t>
  </si>
  <si>
    <t>HARI</t>
  </si>
  <si>
    <t>NEAR AVADHUTHA SWAMY TEMPLEPRAKASAM523155</t>
  </si>
  <si>
    <t>PRAKASAM</t>
  </si>
  <si>
    <t>VISAKHAPATNAM</t>
  </si>
  <si>
    <t>SP CASES</t>
  </si>
  <si>
    <t>RAMESH KUMAR GOEL</t>
  </si>
  <si>
    <t>6528681925923002</t>
  </si>
  <si>
    <t>Non-Refundable</t>
  </si>
  <si>
    <t>SP CASES DINESH</t>
  </si>
  <si>
    <t>S MANOJ KUMAR</t>
  </si>
  <si>
    <t>6528680594879008</t>
  </si>
  <si>
    <t>KUMAR SUDHEER KAKARLAPUDI</t>
  </si>
  <si>
    <t>6528681341572003</t>
  </si>
  <si>
    <t>HARSHA VARDHAN HARSHAVARDHAN</t>
  </si>
  <si>
    <t>6528682468132001</t>
  </si>
  <si>
    <t>SYEDA MARIYAM</t>
  </si>
  <si>
    <t>6528682727841004</t>
  </si>
  <si>
    <t>TRISHNAPALLI SRIKANTH</t>
  </si>
  <si>
    <t>6528682088104000</t>
  </si>
  <si>
    <t>MOHD MUJAHID UL</t>
  </si>
  <si>
    <t>6528681843675007</t>
  </si>
  <si>
    <t>AKHIL RAJU</t>
  </si>
  <si>
    <t>4035623108660002</t>
  </si>
  <si>
    <t>SHAIK ABRAR</t>
  </si>
  <si>
    <t>6528680192637006</t>
  </si>
  <si>
    <t>SATHISH GUNAGA</t>
  </si>
  <si>
    <t>6528680648824000</t>
  </si>
  <si>
    <t>SANTHOSH R</t>
  </si>
  <si>
    <t>6528681868220002</t>
  </si>
  <si>
    <t>NAGANABOINA KOUSHIK YADAV</t>
  </si>
  <si>
    <t>6528681000475001</t>
  </si>
  <si>
    <t>DEEGOJU UDAYKIRAN</t>
  </si>
  <si>
    <t>6528681784781004</t>
  </si>
  <si>
    <t>VISHNU VARDHAN K</t>
  </si>
  <si>
    <t>6528681990999002</t>
  </si>
  <si>
    <t>SP CASES PRAVEEN</t>
  </si>
  <si>
    <t>MR RIJO THOMAS</t>
  </si>
  <si>
    <t>6528681749462005</t>
  </si>
  <si>
    <t>MR. SRIJEEV K</t>
  </si>
  <si>
    <t>5241933429145006</t>
  </si>
  <si>
    <t>MR. YELLAJIRAO SURAKALA</t>
  </si>
  <si>
    <t>6528682145747007</t>
  </si>
  <si>
    <t>MR PALLEPOGU GOPI</t>
  </si>
  <si>
    <t>6528681471649001</t>
  </si>
  <si>
    <t>MR RAJESH KUMAR SINGH</t>
  </si>
  <si>
    <t>6528681394675018</t>
  </si>
  <si>
    <t>MS MANUMARI DHANALAXMI</t>
  </si>
  <si>
    <t>6528680657437009</t>
  </si>
  <si>
    <t>MR Shaik Enayath Gouse</t>
  </si>
  <si>
    <t>6528682003157000</t>
  </si>
  <si>
    <t>MS PEDDINENI SIREESHA</t>
  </si>
  <si>
    <t>4035621071423002</t>
  </si>
  <si>
    <t>MR Pandranki Kumar Venkat</t>
  </si>
  <si>
    <t>6528682012734005</t>
  </si>
  <si>
    <t>MR PONRAJESHKUMAR ELANC</t>
  </si>
  <si>
    <t>6528681930805004</t>
  </si>
  <si>
    <t>MR Manikandan Ponnusamy</t>
  </si>
  <si>
    <t>4315814699739005</t>
  </si>
  <si>
    <t>MR MUBEER EDACHERIKKAND</t>
  </si>
  <si>
    <t>6528681699240005</t>
  </si>
  <si>
    <t>MR HAILKONDA NANDAKISHO</t>
  </si>
  <si>
    <t>5241935760245006</t>
  </si>
  <si>
    <t>DR</t>
  </si>
  <si>
    <t>MR JALALA SUNEEL KUMAR</t>
  </si>
  <si>
    <t>9703918164</t>
  </si>
  <si>
    <t>6528680593825002</t>
  </si>
  <si>
    <t>RAMANA SIR</t>
  </si>
  <si>
    <t>SGR RECEIVED 34K 19799 THIS MONTHE REMAINING FEB MONTH FUNDING//SGR RECEIVED 4260/-</t>
  </si>
  <si>
    <t>PRAVEEN/ADILABAD , 8639562425</t>
  </si>
  <si>
    <t>Q NO E88 OCC COLONY DEVAPOOR  KASIPET MANCHERIAL  MANCHERIAL  NEAR MAIN ROAD ADILABAD  TNG 504218</t>
  </si>
  <si>
    <t>ADILABAD</t>
  </si>
  <si>
    <t>MS GANDI SUMALATHA</t>
  </si>
  <si>
    <t>6305074931</t>
  </si>
  <si>
    <t>4315811895311001</t>
  </si>
  <si>
    <t xml:space="preserve">SGR RECEIVED 44480/- 2ND APR''S6//AND SAME DAY THIS AMOUNT APR MONTH LOADING </t>
  </si>
  <si>
    <t>LIKITH/KHAMMAM , 7981063429</t>
  </si>
  <si>
    <t>2-135/2  maripeda mandal  Main Road  Mahabubabad WARANGAL  TNG 506315</t>
  </si>
  <si>
    <t>WARANGAL</t>
  </si>
  <si>
    <t>FR(DURGA)</t>
  </si>
  <si>
    <t>MR. JAGADISH BABU KADIVETI</t>
  </si>
  <si>
    <t>9941691016</t>
  </si>
  <si>
    <t>6528690012651004</t>
  </si>
  <si>
    <t>DURGA SIR</t>
  </si>
  <si>
    <t>SAI</t>
  </si>
  <si>
    <t>TULASI/NELLORE , 8897907043</t>
  </si>
  <si>
    <t>4-12-59  NAIDUPETA MANGAPATHI NAIDU NAGAR -after vinayaka temple  GUDUR  ANP 524126</t>
  </si>
  <si>
    <t>GUDUR</t>
  </si>
  <si>
    <t>MS RAMYA GATLA</t>
  </si>
  <si>
    <t>9618961419</t>
  </si>
  <si>
    <t>4375514898206007</t>
  </si>
  <si>
    <t>SGR RECEIVED 12420/-  16TH MAR''26</t>
  </si>
  <si>
    <t>HNO 13-456  IR AREA  NR GUEST HOUSE  Adilabad  TNG 504208</t>
  </si>
  <si>
    <t>MS SYED BEGUM</t>
  </si>
  <si>
    <t>8977956661</t>
  </si>
  <si>
    <t>5241935758207000</t>
  </si>
  <si>
    <t>GAFOOR</t>
  </si>
  <si>
    <t>NANDINI</t>
  </si>
  <si>
    <t>SAIHARI/KADAPA , 9381772983</t>
  </si>
  <si>
    <t>D NO.7/24-3  BRAVINDRA NAGAR KADAPA ALIMURAD SHA DARGA  CUDDAPAH  ANP 516003</t>
  </si>
  <si>
    <t>MR SHAIK KARIMULLA</t>
  </si>
  <si>
    <t>9346595982</t>
  </si>
  <si>
    <t>6528682071007004</t>
  </si>
  <si>
    <t xml:space="preserve">SGR RECEIVED 15000/- 4TH MAR''26// PENDING 2430/- </t>
  </si>
  <si>
    <t>8 2 106  SHASTHRI NAGAR GOPAVARAM MANDALAM   CUDDAPAH  ANP 516227</t>
  </si>
  <si>
    <t>2ND BKT VIZAG</t>
  </si>
  <si>
    <t>Mr. M SRINIVAS</t>
  </si>
  <si>
    <t>6528682158341003</t>
  </si>
  <si>
    <t>PRASAD/LIKITHA</t>
  </si>
  <si>
    <t>SURESH</t>
  </si>
  <si>
    <t>SGR RECEIVED 44870/- 5TH MAR''26</t>
  </si>
  <si>
    <t>LIKITHA</t>
  </si>
  <si>
    <t>PRASAD</t>
  </si>
  <si>
    <t>FLAT NO-101 RADHA BEACH RESIDENCY  BEACH ROAD  MAHARANIPETA  NEAR TAJ RESIDENCY  VISHAKAPATNAM  530002</t>
  </si>
  <si>
    <t>MAHARANI PETA</t>
  </si>
  <si>
    <t>SUDHAKAR</t>
  </si>
  <si>
    <t>MR. MUTCHI HARISH</t>
  </si>
  <si>
    <t>374742251197005</t>
  </si>
  <si>
    <t>SGR RECEIVED 5030K/ 6TH MAR''26</t>
  </si>
  <si>
    <t>NAIDU</t>
  </si>
  <si>
    <t>D NO 11-5-35  VULLI STREET    VIZIA NAGARAM KOTA NEAR  VISHAKAPATNAM  535001</t>
  </si>
  <si>
    <t>VIZIANAGARAM</t>
  </si>
  <si>
    <t>NAGESHCHANDRA SELVADRI</t>
  </si>
  <si>
    <t>5241932987362029</t>
  </si>
  <si>
    <t>CHIRALA PRUDHVI</t>
  </si>
  <si>
    <t>4315811706490002</t>
  </si>
  <si>
    <t>VANGALA VENKATESHWARLU</t>
  </si>
  <si>
    <t>5241934226831004</t>
  </si>
  <si>
    <t>MEDAPALLI VENKATA KIRAN</t>
  </si>
  <si>
    <t>4315811859849046</t>
  </si>
  <si>
    <t>SGR RECEIVED 4800/- 6TH MAR''26</t>
  </si>
  <si>
    <t>MURALI KRISHNA LODGEAPSRTC BUS STANDSAMPATH NAGAROPP GOPI HOTELKURNOOL518003</t>
  </si>
  <si>
    <t>KURNOOL</t>
  </si>
  <si>
    <t>HYD FCPU</t>
  </si>
  <si>
    <t>JANGIRI PREM SAGAR</t>
  </si>
  <si>
    <t>4315812007623002</t>
  </si>
  <si>
    <t>RISHI</t>
  </si>
  <si>
    <t>SGR RECEIVED 3000/- 9TH MAR''26//PENDING 4031/-//SGR RECEIVED 2031/- 12TH MAR''26//PENDING 2000//SGR RECEIVED 2000/- 17TH MAR''26</t>
  </si>
  <si>
    <t>RAJESH</t>
  </si>
  <si>
    <t>AMAR</t>
  </si>
  <si>
    <t>H NO-16-7-792/A CHADERGHAT MOOSANAGARBESIDE BHARAT PETROL PUMP LINE OPP CHADERGHATHyderabadTNG500024</t>
  </si>
  <si>
    <t>CHEDARGAT</t>
  </si>
  <si>
    <t>HYDERABAD</t>
  </si>
  <si>
    <t>CHILUMULA SRINIVASAREDDY</t>
  </si>
  <si>
    <t>4315812257664011</t>
  </si>
  <si>
    <t>SGR RECEIVED 8920/-7TH MAR''26</t>
  </si>
  <si>
    <t>RAMESH</t>
  </si>
  <si>
    <t>"1-4-245/1 ,R T ROAD,WARD-2,"BABY MOON SCHOOL SURYAPETSURYAPET508213</t>
  </si>
  <si>
    <t>SURYAPETA</t>
  </si>
  <si>
    <t>KOTTAKKI SAILAJAKUMARI</t>
  </si>
  <si>
    <t>4748466918242001</t>
  </si>
  <si>
    <t>SGR RECEIVED 10451/- 12TH MAR''26</t>
  </si>
  <si>
    <t>"71-31-556,TRINADHAPURAM"  "MAIKAPURAM,VISAKHAPATNAM"    NEAR HANUMAN TEMPLE  VISHAKAPATNAM  530011</t>
  </si>
  <si>
    <t>MALKAPURAM</t>
  </si>
  <si>
    <t>KARROTHU RAKESH</t>
  </si>
  <si>
    <t>6529190007872003</t>
  </si>
  <si>
    <t>SGR RECEIVED 7400/- 16TH MAR''26</t>
  </si>
  <si>
    <t>MAMATHA</t>
  </si>
  <si>
    <t>"FLAT.NO.501,GAYATRI HEIGHTS APARTMENT"  "BHRAMA GUPTA ROAD,BAKKANAPALEM"  MADHURAWADA  GOVERNAMENT ITI COLLEGE  VISHAKAPATNAM  530048</t>
  </si>
  <si>
    <t>MADHURAWADA</t>
  </si>
  <si>
    <t>ARVIND KUMAR</t>
  </si>
  <si>
    <t>4748465214045001</t>
  </si>
  <si>
    <t>MANOHARPUR  MANOHARPUR    NEAR ITI  SAHARANPUR  247001</t>
  </si>
  <si>
    <t>OS</t>
  </si>
  <si>
    <t>2NDBKT KADAPA</t>
  </si>
  <si>
    <t>Mr PERNAPATI OBANNA</t>
  </si>
  <si>
    <t>9704908633</t>
  </si>
  <si>
    <t>4315811513504003</t>
  </si>
  <si>
    <t>NAYAB</t>
  </si>
  <si>
    <t>OBLESH</t>
  </si>
  <si>
    <t>SGR RECEIVED 5000/- 7TH APR''26//PENDING 2981//NAYAB INCENTIVE CUT 2981/-</t>
  </si>
  <si>
    <t>PURUSHOTHAM</t>
  </si>
  <si>
    <t>10/255-1,SHANTHI NAGAR,MYDUKURU,PRODDATUR,516172</t>
  </si>
  <si>
    <t>PRODDUTUR</t>
  </si>
  <si>
    <t>CUDDAPAIAH</t>
  </si>
  <si>
    <t>M MADHUSUDHANA RAO</t>
  </si>
  <si>
    <t>9989483798</t>
  </si>
  <si>
    <t>0007470190000060991</t>
  </si>
  <si>
    <t>xx3608</t>
  </si>
  <si>
    <t>PRAVALLIKA</t>
  </si>
  <si>
    <t>2-4D-45/2/14SF 3 SECTOR-6URBAN L B COLONYVISAKHAPATNAM530017 530017</t>
  </si>
  <si>
    <t>MVP COLONY</t>
  </si>
  <si>
    <t>MR VETURI SURESH</t>
  </si>
  <si>
    <t>9705479300</t>
  </si>
  <si>
    <t>0007478700062622611</t>
  </si>
  <si>
    <t>xx4167</t>
  </si>
  <si>
    <t>H NO 15/264 MAHALAXMI TEMPLE BACK SIDEGUDUR VILLAGENELLORE524001 524001</t>
  </si>
  <si>
    <t>RAVIRAJ CHAITANYA BOCHALA</t>
  </si>
  <si>
    <t>9494049224</t>
  </si>
  <si>
    <t>0007477800010622233</t>
  </si>
  <si>
    <t>D NO 2/489-A KESANNA SATRAM PRODDATURKADAPA DISTNEAR BY MANDIRPRODDATUR 516360</t>
  </si>
  <si>
    <t>SHAIK ARIF</t>
  </si>
  <si>
    <t>9391852119</t>
  </si>
  <si>
    <t>0007470650005072663</t>
  </si>
  <si>
    <t>xx6898</t>
  </si>
  <si>
    <t>H N-23-2,MUSLIM PALEM ETHAMUKKALA,MAINNULL NULLPRAKASAM DISTRICTONGOLE523280 523280</t>
  </si>
  <si>
    <t>ETHAMUKKALA</t>
  </si>
  <si>
    <t>RAJA RAYIPATI</t>
  </si>
  <si>
    <t>8179992124</t>
  </si>
  <si>
    <t>0007471150006429540</t>
  </si>
  <si>
    <t>xx4235</t>
  </si>
  <si>
    <t>DOOR NO 4  6  8 1ST FLOORCHOWDAMMA STREET PULIVENDULANEAR BY CHOWDAMMA TEMPLEPULIVENDLA 516390</t>
  </si>
  <si>
    <t>PULIVENDULA</t>
  </si>
  <si>
    <t>MERIPE MADHAVI</t>
  </si>
  <si>
    <t>9951311347</t>
  </si>
  <si>
    <t>0007478830008927210</t>
  </si>
  <si>
    <t>xx0375</t>
  </si>
  <si>
    <t>D.NO : 2SC PETA RAVULAPADU RAVULAPALEMNERA BY SHIVALAYAM TEMPLEMANDAPETA 533238</t>
  </si>
  <si>
    <t>RAVULAPALEM</t>
  </si>
  <si>
    <t>RAJESH GADDI</t>
  </si>
  <si>
    <t>9866686667</t>
  </si>
  <si>
    <t>0007470870002832899</t>
  </si>
  <si>
    <t>xx6137</t>
  </si>
  <si>
    <t>ANNAPURNA</t>
  </si>
  <si>
    <t>HNO 11-12-33-1 NAVAB PETA COLONY,4THDIVISION,ELURU NAVAB PETA COLONY,4THDIVISION,ELURU - NEAR LOVE AELURU534001 534001</t>
  </si>
  <si>
    <t>KIRAN TEJA BORUGADDA</t>
  </si>
  <si>
    <t>7207030221</t>
  </si>
  <si>
    <t>0007476760006289184</t>
  </si>
  <si>
    <t>xx5266</t>
  </si>
  <si>
    <t>DNO 20 3 96A 3 AYODHYA NAGAR 1ST LINEVIJAYAWADA AYODHYANAGARVIJAYAWADA520001 520001</t>
  </si>
  <si>
    <t>KALESWARA RAO MARKET</t>
  </si>
  <si>
    <t>NARENDRABABU D</t>
  </si>
  <si>
    <t>9550274701</t>
  </si>
  <si>
    <t>0007477800007740659</t>
  </si>
  <si>
    <t>DNO;8-15-59 2ND LINE MANGALDAS NAGAR2ND LINE MANGALDAS NAGAR -NEAR; VENKATESWARAR SWAMY TEMPLEGUNTUR522001 522001</t>
  </si>
  <si>
    <t>RAJESH KUMAR ADI</t>
  </si>
  <si>
    <t>8125101101</t>
  </si>
  <si>
    <t>0007471200000474578</t>
  </si>
  <si>
    <t>xx9505</t>
  </si>
  <si>
    <t>KUSUMA</t>
  </si>
  <si>
    <t>H NO 11-686-G OBULADEVARANAGAR ANANTAPURANANTHAPUR515004 515004</t>
  </si>
  <si>
    <t>KARTHIK KUMAR REDDY BEEMI REDDY</t>
  </si>
  <si>
    <t>8639393304</t>
  </si>
  <si>
    <t>0007477800009645732</t>
  </si>
  <si>
    <t>6-5-568 RAMNAGAROPP SHOPNEAR BY DHANVI HONDA SHOW ROOMANANTHAPUR515004 515004</t>
  </si>
  <si>
    <t>RACHANAPALLI</t>
  </si>
  <si>
    <t>POTHU RAJESH</t>
  </si>
  <si>
    <t>8341149352</t>
  </si>
  <si>
    <t>0007470890004598314</t>
  </si>
  <si>
    <t>xx9149</t>
  </si>
  <si>
    <t>S/O JAYARAJUHOUSE NO871403130MARUTHI MEGA CITY NANDYAL ROADKURNOOLNEAR BY PULLA REDDY ENGINEERING COLLAGEKURNOOL518002 518002</t>
  </si>
  <si>
    <t>IPPILI RAMBABU</t>
  </si>
  <si>
    <t>8106428587</t>
  </si>
  <si>
    <t>0007470650006594590</t>
  </si>
  <si>
    <t>xx4952</t>
  </si>
  <si>
    <t>3-156 PEDDA VEEDHI IPPILI PEDDAVEEDHI SRIKAKULAM ANDHRA PRADESHSRIKAKULAM532401 532401</t>
  </si>
  <si>
    <t>SHAIK YEGDANI BASHA</t>
  </si>
  <si>
    <t>9603545368</t>
  </si>
  <si>
    <t>0007477770007640177</t>
  </si>
  <si>
    <t>A1 A2 PENDOTI VARI STREET TB ROAD, PENTHOTHI VARE STREET TENALI, GUNTURGUNTUR522201 522201</t>
  </si>
  <si>
    <t>RODDA TEJA TEJA</t>
  </si>
  <si>
    <t>7095885209</t>
  </si>
  <si>
    <t>0007478450019103659</t>
  </si>
  <si>
    <t>xx2562</t>
  </si>
  <si>
    <t>DO NO 136-4-125 ADITYA NAGAR 0 LINESHIVANAGARAJU COLNY,GUNTURGUNTUR522002 522002</t>
  </si>
  <si>
    <t>SALOMAN R JELDI</t>
  </si>
  <si>
    <t>8897456797</t>
  </si>
  <si>
    <t>0007477800006733473</t>
  </si>
  <si>
    <t>DNO. 53-29-1 KRM COLONY SEETHAMMADHAARAVISAKHAPATNAM URBAN P &amp; T COLONY VMNEAR RAM AUTAR SCHOOLVisakhapatnam530013 530013</t>
  </si>
  <si>
    <t>SEETHAMMADHARA</t>
  </si>
  <si>
    <t>SONTI SIVA RAMA KRISHNA</t>
  </si>
  <si>
    <t>9966996234</t>
  </si>
  <si>
    <t>0007477350047253552</t>
  </si>
  <si>
    <t>xx0536</t>
  </si>
  <si>
    <t>D NO 15-13-211 1 6 LINE RTC COLONYNEAR RAJU HOTELNEAR PRASANNA ANJANEYA SWAMY TEMPLEGUNTUR522001 522001</t>
  </si>
  <si>
    <t>0007477800007814017</t>
  </si>
  <si>
    <t>D NO 2/489-A KESANNA SATRAM PRODDATURKADAPA DISTNEAR BY MANDIRPRODDATUR516360 516360</t>
  </si>
  <si>
    <t>GAUTAM KUMAR</t>
  </si>
  <si>
    <t>9515263266</t>
  </si>
  <si>
    <t>0007478700064964474</t>
  </si>
  <si>
    <t>xx9248</t>
  </si>
  <si>
    <t>D NO 1 14 1A BOGGULADIBBAVIZIANAGARAM  CONTONMENTNEAR RAILWAY STATION  VIZIANAGARAMVIZIANAGARAM535003 535003</t>
  </si>
  <si>
    <t>MR POTNURU RAJANEESHKUMAR</t>
  </si>
  <si>
    <t>7794007333</t>
  </si>
  <si>
    <t>0007477800007809611</t>
  </si>
  <si>
    <t>DNO 10 1 27 ASILMETTA JUNCTIONSAMPATH VINAYAKA TEMPLE ROAD OPP VEMANAVISAKHAPATNAM530003 530003</t>
  </si>
  <si>
    <t>S.PURAM</t>
  </si>
  <si>
    <t>KAMMAMPATTI CHAKRAVARTHY</t>
  </si>
  <si>
    <t>9949913114</t>
  </si>
  <si>
    <t>0007478800062199196</t>
  </si>
  <si>
    <t>xx3333</t>
  </si>
  <si>
    <t>DOOR NO 19-4-149/24 BHAGATH SINGHCOLONY BHAGATH SINGHNR RAMANAIDU FILM SCHOOLCHITTOOR517501 517501</t>
  </si>
  <si>
    <t>LOMADA VAMSI</t>
  </si>
  <si>
    <t>9030197247</t>
  </si>
  <si>
    <t>0007478950045903436</t>
  </si>
  <si>
    <t>xx2691</t>
  </si>
  <si>
    <t>DNO 1-1582 YERRAMUKKAPALLI CUDDAPAH- NEAR RAMALAYAM CUDDAPAH CUDDAPAHCUDDAPAH516004 516004</t>
  </si>
  <si>
    <t>SUGUNA SUBRAHMA M</t>
  </si>
  <si>
    <t>9701860313</t>
  </si>
  <si>
    <t>0007477800009259112</t>
  </si>
  <si>
    <t>12-67/4A RAJIV GANDHI COLONY BAPATLARAJIV GANDHI COLONY BAPATLANR WARD 3REPALLE522101 522101</t>
  </si>
  <si>
    <t>BAPATLA</t>
  </si>
  <si>
    <t>MUNIKRISHNA DIMMIRI</t>
  </si>
  <si>
    <t>7799514991</t>
  </si>
  <si>
    <t>0007477800009629934</t>
  </si>
  <si>
    <t>VENKATA LAKSHMI</t>
  </si>
  <si>
    <t>D NO 7-86 TNR COLONY -ISUKUNATHAPALLINEAR BALAJI FOLIMARS FACTORYMADANAPALLE517325 517325</t>
  </si>
  <si>
    <t>MADANAPALLI</t>
  </si>
  <si>
    <t>B DADAZILAN</t>
  </si>
  <si>
    <t>9160888965</t>
  </si>
  <si>
    <t>0007477800007470596</t>
  </si>
  <si>
    <t>SO B ABDUL KAREEM NEAR VIJAYA PUBLICSCHOOL AZAD NAGARNR WATER TANKANANTHAPUR515001 515001</t>
  </si>
  <si>
    <t>GANDIKOTA ABHISHEK</t>
  </si>
  <si>
    <t>9000264842</t>
  </si>
  <si>
    <t>0007471150004116636</t>
  </si>
  <si>
    <t>xx8470</t>
  </si>
  <si>
    <t>SO G DORASWAMY HNO2780 SANTHI NAGARCHITTOOR ROAD PILERUNULLPILERU517214 517214</t>
  </si>
  <si>
    <t>PILERU</t>
  </si>
  <si>
    <t>MR ASHOK RAYAPU</t>
  </si>
  <si>
    <t>9701005038</t>
  </si>
  <si>
    <t>0007478650003449881</t>
  </si>
  <si>
    <t>xx7699</t>
  </si>
  <si>
    <t>H NO 00 DAKKALAVARIPALEM VILLAGETP GUDURU MANDAL THOTAPALLI PANCHAYATNEAR BY MAHALAKSHMI TEMPLENELLORE524311 524311</t>
  </si>
  <si>
    <t>MR BONULA RAMU</t>
  </si>
  <si>
    <t>9701481673</t>
  </si>
  <si>
    <t>0007478700128604975</t>
  </si>
  <si>
    <t>xx8375</t>
  </si>
  <si>
    <t>D NO 45-47-54/1 MADETI GARDENSNEAR SUJATA HOMES AKKAYAPALEMVISAKHAPATNAM530016 530016</t>
  </si>
  <si>
    <t>AKKAYAPALEM</t>
  </si>
  <si>
    <t>BONAGIRI LAKSHMINARAYANA</t>
  </si>
  <si>
    <t>9492330349</t>
  </si>
  <si>
    <t>0007470890007532658</t>
  </si>
  <si>
    <t>xx3867</t>
  </si>
  <si>
    <t>S/O BONAGIRI PULLAIAH 219BTLARICHERUVU TADPATRI TADIPATRINEAR ANDHRA PRADESH 515411TADIPATRI515411 515411</t>
  </si>
  <si>
    <t>TADIPATRI</t>
  </si>
  <si>
    <t>YASHPALSINGH NATHUSINGHJI RAJPUROHIT</t>
  </si>
  <si>
    <t>7680883011</t>
  </si>
  <si>
    <t>0007476740004105517</t>
  </si>
  <si>
    <t>xx7789</t>
  </si>
  <si>
    <t>HOUSE NO 9 914 ONETOWN POLICE STATIONROAD OPP NTR CIRCELNEAR NTR CIRCELKURNOOL518350 518350</t>
  </si>
  <si>
    <t>MR SATISH BURRI</t>
  </si>
  <si>
    <t>8522083267</t>
  </si>
  <si>
    <t>0007478830002805883</t>
  </si>
  <si>
    <t>xx5598</t>
  </si>
  <si>
    <t>1 2 86 RAMAKRISHNAPURAM MAHALAXMAMMAVARICHETTU BAPATLA GUNTURXMAMMAVARICHETTU BAPATLA GUNTUGUNTUR522101 522101</t>
  </si>
  <si>
    <t>KOUTAVARAPU TULASI SREERAMMURTHY</t>
  </si>
  <si>
    <t>9063233162</t>
  </si>
  <si>
    <t>0007478830004522833</t>
  </si>
  <si>
    <t>xx4298</t>
  </si>
  <si>
    <t>D NO 31107 TENALI SULTHANABADVEEVARS COLONYGUNTURNEAR BY KANAGA DURGA TEMPLETENNALI522202 522202</t>
  </si>
  <si>
    <t>TENALI</t>
  </si>
  <si>
    <t>SRINU SACHHALA</t>
  </si>
  <si>
    <t>7093305512</t>
  </si>
  <si>
    <t>0007477000000921501</t>
  </si>
  <si>
    <t>xx1752</t>
  </si>
  <si>
    <t>S/O LAKSHMAIAHHILLAKUR MANDALAMHILKURUGUDURGUDUR524412 524412</t>
  </si>
  <si>
    <t>MISSAMMA MAGABATHULA</t>
  </si>
  <si>
    <t>9989918727</t>
  </si>
  <si>
    <t>0007471200014414412</t>
  </si>
  <si>
    <t>xx9065</t>
  </si>
  <si>
    <t>DNO 2221CHINAPETA BHIMAVARAMNEAR CHINAPETANEAR BY IDEA TOWERNARSAPUR534207 534207</t>
  </si>
  <si>
    <t>BHIMAVARAM</t>
  </si>
  <si>
    <t>MR KUPPILI NAGENDRA BABU</t>
  </si>
  <si>
    <t>6302855262</t>
  </si>
  <si>
    <t>0007476760006183585</t>
  </si>
  <si>
    <t>xx2349</t>
  </si>
  <si>
    <t>NO 5 359 TADIGADAPA KARMIKA NAGARKRISHNA VIJAYAWADAVIJAYAWADA521137 521137</t>
  </si>
  <si>
    <t>PORANKI</t>
  </si>
  <si>
    <t>VRAMU RAMU ABBISETTI</t>
  </si>
  <si>
    <t>9059741333</t>
  </si>
  <si>
    <t>0007478830004087324</t>
  </si>
  <si>
    <t>xx3092</t>
  </si>
  <si>
    <t>3146 PANCHAYATHI STREET NULL NULLPENTAPADU MANDALAM  3146 PANCHAYATHISTREET NULL ANDHRA PRADESH 534166TADEPALLIGUDEM534166 534166</t>
  </si>
  <si>
    <t>RAYUDU SWAMYAYYAPPA</t>
  </si>
  <si>
    <t>9492220325</t>
  </si>
  <si>
    <t>0007478730002654200</t>
  </si>
  <si>
    <t>xx7676</t>
  </si>
  <si>
    <t>HOUSE NO2 117KONGODU VILLAGE BC PETANEAR BY BC PETA WATER TANKKAKINADA533468 533468</t>
  </si>
  <si>
    <t>VIJAYARAYUDUPALEM</t>
  </si>
  <si>
    <t>PRASANTHKUMAR DANDAGALA</t>
  </si>
  <si>
    <t>9505885659</t>
  </si>
  <si>
    <t>0007477800008289698</t>
  </si>
  <si>
    <t>DOOR NO 23-229 NEHRU NAGAR NULL NULLNANDIGAMA KRISHNAMAIN ROADVIJAYAWADA521185 521185</t>
  </si>
  <si>
    <t>NADIGAMA</t>
  </si>
  <si>
    <t>MR HARISH AKKEM</t>
  </si>
  <si>
    <t>9948755675</t>
  </si>
  <si>
    <t>0007477350031526351</t>
  </si>
  <si>
    <t>xx7378</t>
  </si>
  <si>
    <t>01 24 INUKURTHI VILLAGE AND POSTPODALAKURI MNDL NELLORENEAR RAMALAYAM TEMPLENELLORE524002 524002</t>
  </si>
  <si>
    <t>PRASAD CHEBOLU</t>
  </si>
  <si>
    <t>0007478830000397446</t>
  </si>
  <si>
    <t>xx0388</t>
  </si>
  <si>
    <t>D NO 23-1-689 2ND FLOORPINNYA GARI STREETNEAR BY CHINNA MAHALAKSHAMMA TEMPLENELLORE524003 524003</t>
  </si>
  <si>
    <t>MOHAN MURALIDHAR MERUVU</t>
  </si>
  <si>
    <t>0007476710005101336</t>
  </si>
  <si>
    <t>xx2196</t>
  </si>
  <si>
    <t>DNO 55-14-14-1 FF-1 BHASAKAR ENCLAVEAPSEB COLONY SEETHAMMADHARAVISAKHAPATNAM530013 530013</t>
  </si>
  <si>
    <t>SIVANARAYANA UPPALAPATI</t>
  </si>
  <si>
    <t>0007471150002129482</t>
  </si>
  <si>
    <t>xx4766</t>
  </si>
  <si>
    <t>FLAT NO 203 ECADANTA ENCLAVEBALIJEPALLI S N P COLONY BELAGAMPARVATHIPURAMPARVATHIPURAM535501 535501</t>
  </si>
  <si>
    <t>3RD BKT TPTY</t>
  </si>
  <si>
    <t>MR V SIVA SANKAR</t>
  </si>
  <si>
    <t>9000506776</t>
  </si>
  <si>
    <t>4035622587253008</t>
  </si>
  <si>
    <t>VANDANA</t>
  </si>
  <si>
    <t>KIRAN//9440471742</t>
  </si>
  <si>
    <t>21 329 1D VENGANAPALLISUGAR FACTORY BACK CHITTOORMAIN ROADCHITTOORANP517004</t>
  </si>
  <si>
    <t>CHITOOR</t>
  </si>
  <si>
    <t>MS RODDA PRASANTHI</t>
  </si>
  <si>
    <t>9347609769</t>
  </si>
  <si>
    <t>5241935725161009</t>
  </si>
  <si>
    <t>SGR RECEIVED 1350/-31 ST MAR''26</t>
  </si>
  <si>
    <t>KALYAN//6304776131</t>
  </si>
  <si>
    <t>5 59 VENKATESHWARA PURAM KOLLABYLUMADANAPALLIBUS STOPMADANAPALLEANP517325</t>
  </si>
  <si>
    <t>MR P SIVA</t>
  </si>
  <si>
    <t>9392722601</t>
  </si>
  <si>
    <t>5241935809215002</t>
  </si>
  <si>
    <t>ESWAR//9030151410</t>
  </si>
  <si>
    <t>NO 7 18 VODDIPALLI DURGA SAMUDRAMCHUTTOOR TIRUPATIINDIANR RDTIRUPATHIANP517561</t>
  </si>
  <si>
    <t>VELLACHERUVU SARATH BABU</t>
  </si>
  <si>
    <t>4375518843927005</t>
  </si>
  <si>
    <t>MANI</t>
  </si>
  <si>
    <t>INAMUL/GTR , 8367073588</t>
  </si>
  <si>
    <t xml:space="preserve">D NO-1-100 PEDAKURAPADU     NR NAGA MALLESWARA SWAMY TEMPLE  NARASAPURAM  ANP 522402  </t>
  </si>
  <si>
    <t>Mr YELLA Poojari Goud</t>
  </si>
  <si>
    <t>9010003609</t>
  </si>
  <si>
    <t>4375519453497008</t>
  </si>
  <si>
    <t>SGR RECEIVED TOTAL 5K THIS MONTH 2360//REAING JAN''26 MONTH 2460//PENDING 3790</t>
  </si>
  <si>
    <t>ABBAS/KURNOOL , 7993844855</t>
  </si>
  <si>
    <t xml:space="preserve">"2-18/1,MUNAGALA,ITIKYAL ITKYALA"       Mahbubnagar  TNG 509128  </t>
  </si>
  <si>
    <t>MAHBHUBNAGAR</t>
  </si>
  <si>
    <t>Mr RAO Vsn Malleswara Muthireddy</t>
  </si>
  <si>
    <t>9059990168</t>
  </si>
  <si>
    <t>4375518913479036</t>
  </si>
  <si>
    <t>2 - 20  SHANTI NAGAR  MUTHUKUR  FISH MARKET  GUDUR  ANP  524344</t>
  </si>
  <si>
    <t>Ms DEVI Sandhya A</t>
  </si>
  <si>
    <t>9440271668</t>
  </si>
  <si>
    <t>4375519429729005</t>
  </si>
  <si>
    <t>SRIKANTH/ANANTHAPUR , 9182336153</t>
  </si>
  <si>
    <t>6-5-686 SREE NAGAR COLONY        ANANTAPUR  ANP  515001</t>
  </si>
  <si>
    <t>MR. MARAGONI SRINIVAS GOUD</t>
  </si>
  <si>
    <t>9177964444</t>
  </si>
  <si>
    <t>4375510866768010</t>
  </si>
  <si>
    <t>AFRIN</t>
  </si>
  <si>
    <t>SRIRAM</t>
  </si>
  <si>
    <t>MOHAN</t>
  </si>
  <si>
    <t>HNO 11-6-90/3&amp;4 NEW NO 11-6-228 FLAT NO 106NSR RESIDENCY SAROOR NAGARPOCHAMA BAGHNR MUNICIPAL OFFICERangareddy500035</t>
  </si>
  <si>
    <t>RANGAREDDY</t>
  </si>
  <si>
    <t>SUDARSHAN MALAYAMUKKIL</t>
  </si>
  <si>
    <t>4375519155798018</t>
  </si>
  <si>
    <t>M BASHA</t>
  </si>
  <si>
    <t>4375518852529007</t>
  </si>
  <si>
    <t>SUGANTHIYA THIRUNAVUKKA RASU</t>
  </si>
  <si>
    <t>4748466874547005</t>
  </si>
  <si>
    <t>ANIL BARU</t>
  </si>
  <si>
    <t>4375512025327001</t>
  </si>
  <si>
    <t>PILLI SWAMY</t>
  </si>
  <si>
    <t>4375512051749029</t>
  </si>
  <si>
    <t>VEERLA LALU SIVA</t>
  </si>
  <si>
    <t>4035623247027006</t>
  </si>
  <si>
    <t>RAGHUVARAN</t>
  </si>
  <si>
    <t>4748460124564001</t>
  </si>
  <si>
    <t>MR PARUCHURI MASTAN</t>
  </si>
  <si>
    <t>6528680445358004</t>
  </si>
  <si>
    <t>SGR RECEIVED 32400/- 10TH MAR''26</t>
  </si>
  <si>
    <t>"76-14-160 BHAVANI PURAM,PRIYADARSINI COL""ONY,,VIJAYAWADA  URBAN VIDYADHARAPURAM"KRISHNAANDHRA PRADESH VIJAYWADA 520012VIJAYAWADA 520012</t>
  </si>
  <si>
    <t>BHAVANIPURAM</t>
  </si>
  <si>
    <t>Kolluri Haran</t>
  </si>
  <si>
    <t>4375512076276008</t>
  </si>
  <si>
    <t>"27 76,NAGESWARASWAMY TEMPLE,BESIDE,""ROAD KOJJILLI PETA,MACHILIPATNAM,"KRISHNA ANDHRA PRADESHKRISHNA 521001</t>
  </si>
  <si>
    <t>MACHILIPATNAM</t>
  </si>
  <si>
    <t>MD ALI</t>
  </si>
  <si>
    <t>4375515468284001</t>
  </si>
  <si>
    <t>JS 01 ROOM NO 508  NAUSHAKTI NAGAR MEGHADRIPETA KANCHARAPAL    NEAR MAIN ROAD VISHAKAPATNAM  530008</t>
  </si>
  <si>
    <t xml:space="preserve">M SRINIVASA RAO </t>
  </si>
  <si>
    <t>4375511052986002</t>
  </si>
  <si>
    <t>VIJAY</t>
  </si>
  <si>
    <t>SGR RECEIVED 1500/- 15TH MAR''26</t>
  </si>
  <si>
    <t>25-34-17 VADA VEEDHI  I TOWN    NR LAXMI TALKIES VISHAKAPATNAM  530001</t>
  </si>
  <si>
    <t>1TOWN</t>
  </si>
  <si>
    <t>MR BANDARU SIVA NAGA</t>
  </si>
  <si>
    <t>4748469432393003</t>
  </si>
  <si>
    <t>(11200 PAID TO PRASIDHA REMAINING AMOUNT 20K FUNDING(SAME DAY)  //  Loading 5k collected but 24th Yelamanchili&amp; chodavaram field visit petrol&amp;food expenses 2000rs deducted// SGR RECEIVED  6K/- 27TH MAR''26//SGR RECEIVED 4000/- 3600/- RECEIVED 400 AMAR &amp; SURESH EXPENSIVE CHARGES // PENDING 5K</t>
  </si>
  <si>
    <t>8-2-46/3  PANTULUGARI MEDA    VISAKHAPATNAM  VISHAKAPATNAM  530026</t>
  </si>
  <si>
    <t>MR GEMBALI GANESH</t>
  </si>
  <si>
    <t>4748469497906004</t>
  </si>
  <si>
    <t>SGR RECEIVED 5K26TH MAR''26//PENDING 9240/-//SGR RECEIVED 5K/- 27TH MAR// -(TOTAL 11K)  (5K THIS CUSTOMER REMAINING 6K BANDARU NAGA SIVA)// SGR RECEIVED 4200/-30TH MAR''26</t>
  </si>
  <si>
    <t>9-9-59 MADDHILAPALEM  MANGAPURAM COLONY    TARA MUSJJID  VISHAKAPATNAM  530013</t>
  </si>
  <si>
    <t>MADDILAPALEM</t>
  </si>
  <si>
    <t>MR KADIYAM MANIBABU</t>
  </si>
  <si>
    <t>4748469482598014</t>
  </si>
  <si>
    <t>NON REFUND(CUSTOMER AGREED TO PAY 5K REMAINING 50-50)</t>
  </si>
  <si>
    <t>15-564/2/1, SIDDARDA NAGAR, SECTOR-4,  ARILOVA COLONY, KRISHNA PURAM  VISAKHAPATNAM, ANDHRA PRADESH  BESIDE KRISHNA TEMPLE  VISHAKAPATNAM  530040</t>
  </si>
  <si>
    <t>ARILOVA</t>
  </si>
  <si>
    <t>MR AKUSINGI RAJA</t>
  </si>
  <si>
    <t>4748469472409008</t>
  </si>
  <si>
    <t>.9-9-106/5/1,PITHAPURAM COLONY,  MADDILAPALEM,VISHAKAPATNAM  ANDHRA PRADESH  NEAR TARA MASZID  VISHAKAPATNAM  530022</t>
  </si>
  <si>
    <t>MR GOKA RAJU</t>
  </si>
  <si>
    <t>4748469831115007</t>
  </si>
  <si>
    <t>1-13BHEEMUNIPATNAM MANDALAM  singanabanda    BHEEMUNIPATNAM MANDALAMVisakhapatnam  VSKP  531162</t>
  </si>
  <si>
    <t>BHIMILI</t>
  </si>
  <si>
    <t>MR EGALA APPALANAIDU</t>
  </si>
  <si>
    <t>5241935200567001</t>
  </si>
  <si>
    <t>SGR RECEIVED 7720/- 10TH APR''26</t>
  </si>
  <si>
    <t>86-8,MOSAYYAPETA,MOSAYYAPETA,ATCHUTAPURA  MOSAYYAPETA    NEAR VINYAKA TEMPLE  ANAKAPALLE  531011</t>
  </si>
  <si>
    <t>MR RONGALA GOVINDU</t>
  </si>
  <si>
    <t>9000316936</t>
  </si>
  <si>
    <t>4748469422176004</t>
  </si>
  <si>
    <t>SGR RECEIVED 23RD MAR''26</t>
  </si>
  <si>
    <t>CHAITANYA</t>
  </si>
  <si>
    <t>KISHORE</t>
  </si>
  <si>
    <t>SURAPURA JUPETA 5-15SURAPURA JUPETA 5-15EAST GODAVARIBESIDE DURGAMMA TEMPLEKAKINADA533407</t>
  </si>
  <si>
    <t>MR PARTHIBAN G</t>
  </si>
  <si>
    <t>5241930544974005</t>
  </si>
  <si>
    <t>MR MUSTAFA CHAKKIPARAMBATH</t>
  </si>
  <si>
    <t>5241930525392003</t>
  </si>
  <si>
    <t>Mr SARAVANAN</t>
  </si>
  <si>
    <t>5241931923117000</t>
  </si>
  <si>
    <t>MR THOTA RAJITHA</t>
  </si>
  <si>
    <t>5241931907220002</t>
  </si>
  <si>
    <t>MR NEELAM JANARDHAN</t>
  </si>
  <si>
    <t>5241935224071006</t>
  </si>
  <si>
    <t>MR MOHAMED SADIK LAXMESHWAR</t>
  </si>
  <si>
    <t>4748469234579007</t>
  </si>
  <si>
    <t>SP CASES DHANASEKHAR</t>
  </si>
  <si>
    <t>MR BHASKAR R</t>
  </si>
  <si>
    <t>4748469613806005</t>
  </si>
  <si>
    <t>MR KILARI MADHU</t>
  </si>
  <si>
    <t>5241930812890008</t>
  </si>
  <si>
    <t>MR GYAN PRAKASH</t>
  </si>
  <si>
    <t>374742289876000</t>
  </si>
  <si>
    <t>Mrs ARUNA CHINTHALA</t>
  </si>
  <si>
    <t>374740415273001</t>
  </si>
  <si>
    <t>MR MORAPALLY REDDY</t>
  </si>
  <si>
    <t>4748469300390008</t>
  </si>
  <si>
    <t>MS POOJA YADAV</t>
  </si>
  <si>
    <t>374742384896010</t>
  </si>
  <si>
    <t>IR DINESHKUMAR PANEERSELVAN</t>
  </si>
  <si>
    <t>4748469627758002</t>
  </si>
  <si>
    <t>MS SEELAM SIRISHA</t>
  </si>
  <si>
    <t>4748469596993010</t>
  </si>
  <si>
    <t>MR RAHUL WANI</t>
  </si>
  <si>
    <t>4748469262483007</t>
  </si>
  <si>
    <t>MR B GANAPATHI</t>
  </si>
  <si>
    <t>4748469635728005</t>
  </si>
  <si>
    <t>FR(SAMBA)</t>
  </si>
  <si>
    <t>MR CHOKKA KUMAR</t>
  </si>
  <si>
    <t>9985333377</t>
  </si>
  <si>
    <t>5241930581578008</t>
  </si>
  <si>
    <t>SGR</t>
  </si>
  <si>
    <t>SAMBA</t>
  </si>
  <si>
    <t>SGR RECEIVED 40/- 18TH MAY''26// PENDING 38060</t>
  </si>
  <si>
    <t>RAGHU</t>
  </si>
  <si>
    <t>SRINIU/WEST , 9154934446</t>
  </si>
  <si>
    <t>"6-5,NAYAKAR,COLONY KOTTAPALLI,KONA PAPA"  "PETA,"    NEAR KONA PAPA PETA  KAKINADA  ANP  533449</t>
  </si>
  <si>
    <t>MS CHEELLA UNOSHA</t>
  </si>
  <si>
    <t>8688841188</t>
  </si>
  <si>
    <t>5241930830946006</t>
  </si>
  <si>
    <t>SUBBU</t>
  </si>
  <si>
    <t>SGR RECEIVED 9K/- 5TH MAY''26//PENDING 10100</t>
  </si>
  <si>
    <t>SUBBU ,  9985844576</t>
  </si>
  <si>
    <t>22-11-48 PLOT NO 202  SMS RESIDENCY POOLAVANI GUNTA THIRUPATHI  NEAR OKAYA SHOWROOM TIRUPATHI  ANP  517501</t>
  </si>
  <si>
    <t>MR Bodapati Aravinda Kumar</t>
  </si>
  <si>
    <t>4748460127751001</t>
  </si>
  <si>
    <t>VASANTHARAYAPURAM  OMKARAM TEMPLE OPP ROAD  GUNTUR  147 VARDU SACHIVALAYAM  GUNTUR  ANP  522002</t>
  </si>
  <si>
    <t>MS N MADHAVI</t>
  </si>
  <si>
    <t>9182066721</t>
  </si>
  <si>
    <t>4748469299996005</t>
  </si>
  <si>
    <t>SRINU</t>
  </si>
  <si>
    <t>"HNO B/744,HILL COLONYNAGARJUNA SAGAR"  NALGONDA    NEAR ZPHS  SURYAPET  TNG  508202</t>
  </si>
  <si>
    <t>SURYAPET</t>
  </si>
  <si>
    <t>MR SAMUDRALA SANTHOSH</t>
  </si>
  <si>
    <t>9989963634</t>
  </si>
  <si>
    <t>4748469788414007</t>
  </si>
  <si>
    <t>SAGAR/WARANGAL , 7396297747</t>
  </si>
  <si>
    <t>16-1-266/1  KAREEMABAD  S R R THOTA    WARANGAL  TNG  506002</t>
  </si>
  <si>
    <t>MR BOMMISETTY NASARAIAH</t>
  </si>
  <si>
    <t>9603309089</t>
  </si>
  <si>
    <t>374740295137003</t>
  </si>
  <si>
    <t>IMAM/GTR , 6302979798</t>
  </si>
  <si>
    <t>"15-1-801 NEHRU NAGAR 3RD,WARD,MACHERLA,"  MACHERLA      GUNTUR  ANP  522426</t>
  </si>
  <si>
    <t>MR Peddi Vijaysimha Reddy</t>
  </si>
  <si>
    <t>8019546330</t>
  </si>
  <si>
    <t>4315812480519008</t>
  </si>
  <si>
    <t>SGR RECEIVED 10301/- 12TH MAR''26// WE ARE ONLY RAISED RECEIPT</t>
  </si>
  <si>
    <t>VENUGOPAL</t>
  </si>
  <si>
    <t>9-6-112RamnagarRamnagarKarimnagarADILABAD505001</t>
  </si>
  <si>
    <t xml:space="preserve"> KARIMNAGAR</t>
  </si>
  <si>
    <t>MS ORRE VARSHA</t>
  </si>
  <si>
    <t>9347847493</t>
  </si>
  <si>
    <t>4073520255701006</t>
  </si>
  <si>
    <t>DEVI</t>
  </si>
  <si>
    <t>SGR RECEIVED 5K RECEIVED 24TH MAR''26//PENDING 24200//SGR RECEIVED 9500/- 2ND APR''26 // PENDING 14700/-/SGR RECEIVED 5K REMAINING PENDING//9700//SGR RECEIVED 9700 12TH APR''26//</t>
  </si>
  <si>
    <t xml:space="preserve">35-4-148  VIJAYAKANAKADURGA COLONY ROAD NUMBER 2 GOPALPUR HANAMKONDA  SBI BANK OPP  WARANGAL  TNG  506002  </t>
  </si>
  <si>
    <t>MR. VENKATASIVA VOPPU</t>
  </si>
  <si>
    <t>4315815319653005</t>
  </si>
  <si>
    <t>ESWARAIYAA</t>
  </si>
  <si>
    <t>SGR RECEIVED 6K 7TH APR''26//PENDING 621/-</t>
  </si>
  <si>
    <t xml:space="preserve">"20-49,NETHAJI COLONY,KOTHAVARIPALLE,,MAD"  "ANAPALLI,MADANAPALLI MANDAL"   NEAR MAIN ROAD  CHITTOOR  ANP  517319  </t>
  </si>
  <si>
    <t>CHITTOOR</t>
  </si>
  <si>
    <t>MS. MANTENASRI LAKSHMI SINDHUJA</t>
  </si>
  <si>
    <t>9603414688</t>
  </si>
  <si>
    <t>4315814384203002</t>
  </si>
  <si>
    <t>UDAY</t>
  </si>
  <si>
    <t>SGR RECEIVED 9150/-</t>
  </si>
  <si>
    <t>UDAY/KAKINADA , 9032220101</t>
  </si>
  <si>
    <t xml:space="preserve">"6-242,INCOME TAX COLONY,SARPAVARAM,KAKINADA"  -  EAST GODAVARI -  EAST GODAVARI  ANP 533005  </t>
  </si>
  <si>
    <t>MR Karamkonda Ranadeep Siddhartha</t>
  </si>
  <si>
    <t>9493885591</t>
  </si>
  <si>
    <t>4315812933929002</t>
  </si>
  <si>
    <t>SANTHOSH/KARIMNAGAR , 9963176593</t>
  </si>
  <si>
    <t xml:space="preserve">8-1-574  kattarampur  kattarampur vinayaka nagar  ADILABAD  TNG 505001  </t>
  </si>
  <si>
    <t>KARIMNAGAR</t>
  </si>
  <si>
    <t>MS KAMBHAMPATI SANTHI</t>
  </si>
  <si>
    <t>9502486423</t>
  </si>
  <si>
    <t>4315814171244003</t>
  </si>
  <si>
    <t>LIKITH</t>
  </si>
  <si>
    <t>SGR RECEIVED TOTAL 37500/- // 7500 THIS CUSTOMER REMAINING 30K MADHUSUDHANA CHARY//</t>
  </si>
  <si>
    <t xml:space="preserve">11.9.33.1..  BURHAN.PURAM..  Khammam..Urban. BUS DEPO  KHAMMAM  TNG 507002  </t>
  </si>
  <si>
    <t>KHAMMAM</t>
  </si>
  <si>
    <t>MR KUMBHAM VISHWAJITH</t>
  </si>
  <si>
    <t>8885198036</t>
  </si>
  <si>
    <t>4315814362397008</t>
  </si>
  <si>
    <t>SRIKANTH/NALGONDA , 9603185469</t>
  </si>
  <si>
    <t>1.2.270.89.18.KRISHNA.NAGAR.COLONY.KRISH  NAGAR.COLONY.SURYAPET  ..    SURYAPET  TNG  508213</t>
  </si>
  <si>
    <t>Mr SAI Dasi Charan</t>
  </si>
  <si>
    <t>9553244345</t>
  </si>
  <si>
    <t>4315812971303011</t>
  </si>
  <si>
    <t>5-18/1 KANDUGULA  HUZURABAD KARIMNAGAR        Karimnagar  TNG  505101</t>
  </si>
  <si>
    <t>PEDDAPALLI</t>
  </si>
  <si>
    <t>MR Bathini Mallesh</t>
  </si>
  <si>
    <t>9014220003</t>
  </si>
  <si>
    <t>4315813446920009</t>
  </si>
  <si>
    <t>RAHUL</t>
  </si>
  <si>
    <t>1 64  Ghanapur Mandal  Golla Geri  Mahabubnagar  MAHBOOBNAGAR  TNG  509380</t>
  </si>
  <si>
    <t>WANAPARTHY</t>
  </si>
  <si>
    <t>Prabhat Kumar Sanghi</t>
  </si>
  <si>
    <t>4315813821634001</t>
  </si>
  <si>
    <t>AMARNATH</t>
  </si>
  <si>
    <t>SGR RECEIVED  10K REMAINING PENDING 21753/-//SGR RECEIVED 15000/-16TH MAR''26//PENDING 6753/-//SGR RECEIVED 6753/- 21ST MAR''26</t>
  </si>
  <si>
    <t>SRI RAM</t>
  </si>
  <si>
    <t>5 6 521 2  STREET NO 6  HIMAYATNAGAR MAIFLAT NO 401  4TH FLOORFLAT NO 401  4TH FLOORBESIDE KALAKUNJ SAREE VATIKAHYDERABAD500029</t>
  </si>
  <si>
    <t>HIMAYATNAGAR</t>
  </si>
  <si>
    <t>Aadit Agarwal</t>
  </si>
  <si>
    <t>4315815304862009</t>
  </si>
  <si>
    <t>SGR RECEIVED 18770/- 4TH APR''26</t>
  </si>
  <si>
    <t>5.9.1113.103.104abidsgunfoundrynear rosary schoolHYDERABAD500029</t>
  </si>
  <si>
    <t>ABIDS</t>
  </si>
  <si>
    <t>RAKESH NATH</t>
  </si>
  <si>
    <t>4315812403951007</t>
  </si>
  <si>
    <t>SGR RECEIVED 50K 11TH MAY''26 THIS MONTH 35530/- REMAINING APRIL MONTH FUNDING</t>
  </si>
  <si>
    <t>G1,1st Floor,Aspen Castle  ,Nowroji Road  Maharanipeta  SBI Bank  VISAKHAPATNAM  530002</t>
  </si>
  <si>
    <t>VIJAYA BHASKAR TADELA</t>
  </si>
  <si>
    <t>4315813420586008</t>
  </si>
  <si>
    <t>SGR RECEIVED 10K 2ND APRIL''26//PENDING 13621//SGR RECEIVED 1362/- 22ND APR''26</t>
  </si>
  <si>
    <t>1/53,MANISH RATNA APARTMENTS,3RD CROSS,  NEAR CCD,29TH MAIN,NS PALYA,BTM 2ND STAGE      VSKP  560068</t>
  </si>
  <si>
    <t>MVP</t>
  </si>
  <si>
    <t>BHAGAVATHULA ANNAPURNA SIRISHA</t>
  </si>
  <si>
    <t>4315815064539003</t>
  </si>
  <si>
    <t>SGR RECEIVED 5000/- 14TH MAR''26// PENDING 17020//SGR RECEIVED 5K 17TH APR''26//PENDING 12020 // SGR RECEIVED 5K 15TH MAY''26 // PENDING 7020</t>
  </si>
  <si>
    <t>51.6.11.2  NAKKAVANIPALEM..P.AND.T.COLONY  INDIRA.GANDHI.STATUE.LANE  GVMC PRIMARY SCHOOL  VISHAKAPATNAM  530013</t>
  </si>
  <si>
    <t>MDP</t>
  </si>
  <si>
    <t>M ND CHAITANYA</t>
  </si>
  <si>
    <t>4315813300663000</t>
  </si>
  <si>
    <t>43 28 3  BHARATH NIDHI RESIDENCY  DONDAPARTY RAILAWAY NEW COLONY  OPP IDFCBANK  VISHAKAPATNAM  530016</t>
  </si>
  <si>
    <t>AKP</t>
  </si>
  <si>
    <t>GUNDUMOGULA AVINASH NAIDU</t>
  </si>
  <si>
    <t>4315814528684000</t>
  </si>
  <si>
    <t>Flat.no.203.sri.vaishnavi.arcade.prsanth  Aganampudi  ..Aganampudi  Galavanipalam  VISHAKAPATNAM  530046</t>
  </si>
  <si>
    <t>GWK</t>
  </si>
  <si>
    <t>VASADI SRINIVASARAO</t>
  </si>
  <si>
    <t>4315813325532008</t>
  </si>
  <si>
    <t>FLAT 201 VANITHA RESIDENCY PORT COLONEY  SIVALYAMSTREET  PORTCOLONEY SIRASAPALI  EXPERT WHEELCARE  ANAKAPALLE  531021</t>
  </si>
  <si>
    <t>ANKP</t>
  </si>
  <si>
    <t>MS Lali R</t>
  </si>
  <si>
    <t>4315812424843001</t>
  </si>
  <si>
    <t>MR P Hemanth Raju</t>
  </si>
  <si>
    <t>4315813018694008</t>
  </si>
  <si>
    <t>MR Kelvin Jose</t>
  </si>
  <si>
    <t>4315812896136009</t>
  </si>
  <si>
    <t>MR Ranjithkumar N</t>
  </si>
  <si>
    <t>4315812033847005</t>
  </si>
  <si>
    <t>MR NAVEEN SAKE SAI</t>
  </si>
  <si>
    <t>4315814049293000</t>
  </si>
  <si>
    <t>MR Budda Uday Kumar</t>
  </si>
  <si>
    <t>4315814978739007</t>
  </si>
  <si>
    <t>MR BARIGELA SANDEEP</t>
  </si>
  <si>
    <t>4315813995627005</t>
  </si>
  <si>
    <t>MR MOHAMMAD ARIF</t>
  </si>
  <si>
    <t>4315815420983002</t>
  </si>
  <si>
    <t>MR NARAVULA MURAGAIAH</t>
  </si>
  <si>
    <t>4315813307167005</t>
  </si>
  <si>
    <t>Mr SOUNDARARAJAN A</t>
  </si>
  <si>
    <t>4315815169317008</t>
  </si>
  <si>
    <t>MR Pappala Raj Kumar</t>
  </si>
  <si>
    <t>4315813612507002</t>
  </si>
  <si>
    <t>MR SINGISETTI KISHOREKUMAR</t>
  </si>
  <si>
    <t>4375517819544000</t>
  </si>
  <si>
    <t>MR Kolimi Shaik Sameer</t>
  </si>
  <si>
    <t>4315814602421014</t>
  </si>
  <si>
    <t>Mr ARAVINTH SUBRAMANIAN</t>
  </si>
  <si>
    <t>4315813006356008</t>
  </si>
  <si>
    <t>MR VISHNU BABU</t>
  </si>
  <si>
    <t>4375516446617015</t>
  </si>
  <si>
    <t>MS Sui Joy</t>
  </si>
  <si>
    <t>4315813741935009</t>
  </si>
  <si>
    <t>PIPPALLA RAO</t>
  </si>
  <si>
    <t>6528681799396004</t>
  </si>
  <si>
    <t>GUNDRE SHANMUKHA REDDY</t>
  </si>
  <si>
    <t>4315813552202002</t>
  </si>
  <si>
    <t>VINAY</t>
  </si>
  <si>
    <t>AXIS</t>
  </si>
  <si>
    <t>3RD BKT VJW</t>
  </si>
  <si>
    <t>SHAIK  RAIMAN</t>
  </si>
  <si>
    <t>9676289865</t>
  </si>
  <si>
    <t>1800000011154168</t>
  </si>
  <si>
    <t>XXXXXXXXXXXX5583</t>
  </si>
  <si>
    <t>ASWINI</t>
  </si>
  <si>
    <t>10-25 cheedikada VarahapuraAgraharamVISAKHAPATNAMVISAKHAPATNAM531036</t>
  </si>
  <si>
    <t>CHEEDIKADA</t>
  </si>
  <si>
    <t>BADIGANTI  BHASKAR</t>
  </si>
  <si>
    <t>8978011265</t>
  </si>
  <si>
    <t>082000000579244</t>
  </si>
  <si>
    <t>XXXXXXXXXXXX4004</t>
  </si>
  <si>
    <t>FLAT 510 FAMES ROYAL RESIDENCYBRINDA NAGARDHARMAPURI COLONYVISAKHAPATNAMVISAKHAPATNAM530041</t>
  </si>
  <si>
    <t>DHARMAPURI COLONY</t>
  </si>
  <si>
    <t>KONDAPALLI SIVA VENKATA NAGALAKSHMI</t>
  </si>
  <si>
    <t>9398007229</t>
  </si>
  <si>
    <t>1740000001856312</t>
  </si>
  <si>
    <t>XXXXXXXXXXXX9751</t>
  </si>
  <si>
    <t>block no 47 gf3near parwada police station NTR colonyVisakhapatnamVISAKHAPATNAM531021</t>
  </si>
  <si>
    <t>PARAWADA</t>
  </si>
  <si>
    <t>AJIT K  ROUTA</t>
  </si>
  <si>
    <t>9160887412</t>
  </si>
  <si>
    <t>1800000004700985</t>
  </si>
  <si>
    <t>XXXXXXXXXXXX2666</t>
  </si>
  <si>
    <t>D NO 39-9-99-43,FLAT 302 SAMPATHRESIDENCY,NEAR SKATING PARK,MURALINAGAR,VISAKHAPATNAM .VISAKHAPATNAMVISAKHAPATNAM530007</t>
  </si>
  <si>
    <t>MURALI NAGAR</t>
  </si>
  <si>
    <t>PINNAMARAJU SIVA  PERRAJU VARMA</t>
  </si>
  <si>
    <t>9703909703</t>
  </si>
  <si>
    <t>1800000013580949</t>
  </si>
  <si>
    <t>XXXXXXXXXXXX3482</t>
  </si>
  <si>
    <t>SIVAJI NAGAR,FHB-310 KURAMANAPALEM NH-16VISAKHAPATNAMVISAKHAPATNAM530046</t>
  </si>
  <si>
    <t>KURMANNAPALEM</t>
  </si>
  <si>
    <t>X BKT(SHIVA)</t>
  </si>
  <si>
    <t>DHAN BAHADUR JHENDI</t>
  </si>
  <si>
    <t>8097938254</t>
  </si>
  <si>
    <t>090000010367010</t>
  </si>
  <si>
    <t>8788</t>
  </si>
  <si>
    <t>SHIVA</t>
  </si>
  <si>
    <t>SIVA</t>
  </si>
  <si>
    <t>SGR RECEIVED 2412/- 29TH APR''26</t>
  </si>
  <si>
    <t>S K.Provenson Store Back Side,Irugulam Sri City,Christian Church,,CHITTOOR,517588</t>
  </si>
  <si>
    <t>MR BHARATH K</t>
  </si>
  <si>
    <t>9490360427</t>
  </si>
  <si>
    <t>5241939582798002</t>
  </si>
  <si>
    <t>SGR RECEIVED  42000/- 31ST MAR''26</t>
  </si>
  <si>
    <t>KURNOOL TO 90KM</t>
  </si>
  <si>
    <t>18/84 LB STREETADONI518301,518301</t>
  </si>
  <si>
    <t>MR SAYYAD ANVAR</t>
  </si>
  <si>
    <t>9502010057</t>
  </si>
  <si>
    <t>5241939156087006</t>
  </si>
  <si>
    <t>"FN401,4FLOOR SWATHI RESIDENCY,PJR,""ENCLAVE ROAD NO7,MADHAVAPURI,"HILLS GANGARAM CHANDANAGARRANGAREDDY500050500050</t>
  </si>
  <si>
    <t>GEDDAVALASA VENKATA RAJITHA</t>
  </si>
  <si>
    <t>5241935133102009</t>
  </si>
  <si>
    <t>MR FRINCE THOMAS</t>
  </si>
  <si>
    <t>4102021155110005</t>
  </si>
  <si>
    <t>MR Midhun Raj N</t>
  </si>
  <si>
    <t>4315814316255005</t>
  </si>
  <si>
    <t>MR P ASHOK KUMAR</t>
  </si>
  <si>
    <t>4102020469424003</t>
  </si>
  <si>
    <t>MRS DASARI SUJANA</t>
  </si>
  <si>
    <t>4035620259968002</t>
  </si>
  <si>
    <t>MR NANDHU MADHU</t>
  </si>
  <si>
    <t>4035621824697001</t>
  </si>
  <si>
    <t>Mr SELLAPANDIAN S</t>
  </si>
  <si>
    <t>4035621670916000</t>
  </si>
  <si>
    <t>Mr CHITTELAMAHESH ANAND</t>
  </si>
  <si>
    <t>4035620935170007</t>
  </si>
  <si>
    <t>Mr ARUN KUMAR N</t>
  </si>
  <si>
    <t>4085110020130008</t>
  </si>
  <si>
    <t>MR SAINATH MAHADEV NILAJKAR</t>
  </si>
  <si>
    <t>4102021214006004</t>
  </si>
  <si>
    <t>MR PATAKOTA VENKATA SAI GURU CHAR</t>
  </si>
  <si>
    <t>4085110123977008</t>
  </si>
  <si>
    <t>MR SAMRITO ROY</t>
  </si>
  <si>
    <t>4035621076366008</t>
  </si>
  <si>
    <t>MR JADE RAO</t>
  </si>
  <si>
    <t>4035620945848014</t>
  </si>
  <si>
    <t>MR MARI MUTHU S</t>
  </si>
  <si>
    <t>4035620587929007</t>
  </si>
  <si>
    <t>MR RAGHU PRASAD TATIPARTHI</t>
  </si>
  <si>
    <t>4035620073668002</t>
  </si>
  <si>
    <t>Mr Advala Narender</t>
  </si>
  <si>
    <t>4375517423372004</t>
  </si>
  <si>
    <t>MRS ASHA DAS</t>
  </si>
  <si>
    <t>4035620300496003</t>
  </si>
  <si>
    <t>MR CHIMANBHAI PUKHARAMJI CHAUDHAR</t>
  </si>
  <si>
    <t>4102021200410004</t>
  </si>
  <si>
    <t>MR HARISH K</t>
  </si>
  <si>
    <t>4085110139469008</t>
  </si>
  <si>
    <t>MR S SUNDHARA SUBRAMANIA SETHURAY</t>
  </si>
  <si>
    <t>4102020496091007</t>
  </si>
  <si>
    <t>MRS NAKKA BHARATHI</t>
  </si>
  <si>
    <t>4035621040441002</t>
  </si>
  <si>
    <t>PURUSOTHAM</t>
  </si>
  <si>
    <t>SWAROOP</t>
  </si>
  <si>
    <t>"1/2171,2ND FLOOR,HOUSING BOARD COLONY"CUDDAPAH516001</t>
  </si>
  <si>
    <t>MR ULLESHI KUMAR GANDHE</t>
  </si>
  <si>
    <t>4035620888442007</t>
  </si>
  <si>
    <t>MADHU</t>
  </si>
  <si>
    <t>"5-11-2, RAJA HUSSAIN DARGA STREET""GIDDALUR, PRAKASAM,"ANDHRA PRADESH"NEAR, DARGA"NANDYAL523357</t>
  </si>
  <si>
    <t>NANDAYAL</t>
  </si>
  <si>
    <t>MR PULLAGURA NARASIMHA PULLAGURA NARASIMHA BABU</t>
  </si>
  <si>
    <t>4035622045395037</t>
  </si>
  <si>
    <t>"2/29,ISLAM PETA,ISLAM PETA,KOMAROLU"PRAKASAM523373</t>
  </si>
  <si>
    <t>MR BURNENI SURENDRA</t>
  </si>
  <si>
    <t>4035621162854008</t>
  </si>
  <si>
    <t>"301,RAM SAI ENCLAVES,3RD FLOOR,TTD ROAD,""SRINIVASANAGAR,NANDYAL,"NEARTAMILNADU MARCANTALE BANKNANDYAL518501</t>
  </si>
  <si>
    <t>MR KONETI REDDY PRASAD</t>
  </si>
  <si>
    <t>4035620426281008</t>
  </si>
  <si>
    <t>"5/502-B EGUVAGADDA,RAJAMPET,.,.,."...NEAR MAIN ROADCUDDAPAH516115</t>
  </si>
  <si>
    <t>MR SHAIK AHAMED</t>
  </si>
  <si>
    <t>4035620707768004</t>
  </si>
  <si>
    <t>"21/77,NEAR NOORANI MASJID,KOTHAPALLI,"RAYACHOTICUDDAPAH516269</t>
  </si>
  <si>
    <t>MR MUNDLAPATI SAKE MANOJ</t>
  </si>
  <si>
    <t>4035620046339004</t>
  </si>
  <si>
    <t>7 13 RANIVANAM 12RANIVANAM STREETYERRANGUNTLAPRODDATUR516309</t>
  </si>
  <si>
    <t>PRAODDUTUR</t>
  </si>
  <si>
    <t>MR AKKALA GOPINATH REDDY</t>
  </si>
  <si>
    <t>4035620594187002</t>
  </si>
  <si>
    <t>3-50/1  PEDAPARIMI  PEDAPARIMI GUNTUR NARASAPURAM ANP  522236</t>
  </si>
  <si>
    <t>MR NIRMALA CHANDRA</t>
  </si>
  <si>
    <t>4035620365517008</t>
  </si>
  <si>
    <t>HNO  1-16 -235-2 BESIDE POST OFFICE  KAGHAZNAGAR ASIFABAD  ADILABAD  NEAR POST OFFICE  ADILABAD  TNG  504296</t>
  </si>
  <si>
    <t>4TH BKT VIZAG</t>
  </si>
  <si>
    <t>YENNI NARESH KUMAR</t>
  </si>
  <si>
    <t>4748467842004020</t>
  </si>
  <si>
    <t>HEMA SAI</t>
  </si>
  <si>
    <t xml:space="preserve">HEMA SAI </t>
  </si>
  <si>
    <t>SGR RECEIVED 1000/- 20TH MAR''26 PENDING 1820//SGR RECEIVED 1000/- 30TH MAR''26//PENDING 820</t>
  </si>
  <si>
    <t>PRUDHVI 7013779367</t>
  </si>
  <si>
    <t>14-2132 MM NAGAR  PALAKONDA  PALAKONDA  NEAR TEMPLE  SRIKAKULAM  532440</t>
  </si>
  <si>
    <t>Mr MANCHALA SRINIVAS</t>
  </si>
  <si>
    <t>4501721350255003</t>
  </si>
  <si>
    <t>CHOWDARY BHAGYA</t>
  </si>
  <si>
    <t>4501721391297006</t>
  </si>
  <si>
    <t>JAGADESH BABU KADIVETI</t>
  </si>
  <si>
    <t>431581-518352004</t>
  </si>
  <si>
    <t>PRADEEP KUMAR BANDI</t>
  </si>
  <si>
    <t>4315810525522003</t>
  </si>
  <si>
    <t>JOMN JOSE</t>
  </si>
  <si>
    <t>4315810476511013</t>
  </si>
  <si>
    <t>BYNABOINA UMA</t>
  </si>
  <si>
    <t>4501721185208003</t>
  </si>
  <si>
    <t>SAIDA REDDY BHAVANAM V</t>
  </si>
  <si>
    <t>4375517856419009</t>
  </si>
  <si>
    <t>MR DARAM RAMESH</t>
  </si>
  <si>
    <t>9542423445</t>
  </si>
  <si>
    <t>4501720940390007</t>
  </si>
  <si>
    <t>RAJKUMAR/MEDAK , 7670935091</t>
  </si>
  <si>
    <t>AKNOOR  AKNOOR    WARANGAL  WARANGAL  TNG  506223</t>
  </si>
  <si>
    <t>NIZAMABAD</t>
  </si>
  <si>
    <t>MS POOLA MANISHA</t>
  </si>
  <si>
    <t>9908206725</t>
  </si>
  <si>
    <t>4501721337203001</t>
  </si>
  <si>
    <t>SGR RECEIVED 17350/- 2ND APR''26</t>
  </si>
  <si>
    <t>SAMEERA</t>
  </si>
  <si>
    <t>"38/373-9 TILAK NAGAR B D,COLONY,"  CUDDAPAH CUDDAPAH    NEAR BY BY PASS ROAD  CUDDAPAH  ANP  516002</t>
  </si>
  <si>
    <t>VASIREDDI PULLAji</t>
  </si>
  <si>
    <t>200000010112058</t>
  </si>
  <si>
    <t>APPALANAIDU</t>
  </si>
  <si>
    <t>SGR RECEIVED 2400/- 31ST MAR''26</t>
  </si>
  <si>
    <t>MANASA</t>
  </si>
  <si>
    <t>VT AGRAHARAMGANESH NAGARVIZIANAGARAMVIZIANAGARAMVISAKHAPATNAM535004</t>
  </si>
  <si>
    <t>MR Manikyarajan Matta</t>
  </si>
  <si>
    <t>4315813349621001</t>
  </si>
  <si>
    <t>MR KAILASA ROHIT</t>
  </si>
  <si>
    <t>4315810484444009</t>
  </si>
  <si>
    <t>Mrs BHASKARRAO KOLLA</t>
  </si>
  <si>
    <t>4748468064460007</t>
  </si>
  <si>
    <t>MR BATTA PRASAD</t>
  </si>
  <si>
    <t>4035622888009000</t>
  </si>
  <si>
    <t>MR DILIP R</t>
  </si>
  <si>
    <t>5241936784823000</t>
  </si>
  <si>
    <t>MR PIPPALLA RAO</t>
  </si>
  <si>
    <t>374741062714008</t>
  </si>
  <si>
    <t>MR Krishnarao Laxmaiah Gangishett</t>
  </si>
  <si>
    <t>4315813133449007</t>
  </si>
  <si>
    <t>MR G ASHOKKUMAR</t>
  </si>
  <si>
    <t>4748468952331005</t>
  </si>
  <si>
    <t>MS SHRI LAKSHMI K S</t>
  </si>
  <si>
    <t>4748468524950001</t>
  </si>
  <si>
    <t>MR SHAIK BABA</t>
  </si>
  <si>
    <t>4748468600756009</t>
  </si>
  <si>
    <t>MR SAFEER B</t>
  </si>
  <si>
    <t>4375513180778004</t>
  </si>
  <si>
    <t>MS SUMINAS</t>
  </si>
  <si>
    <t>4748468923726002</t>
  </si>
  <si>
    <t>MR MUHAMMED RAFEEH PP</t>
  </si>
  <si>
    <t>4035623199341009</t>
  </si>
  <si>
    <t>MR SUBASH MV</t>
  </si>
  <si>
    <t>5241936841964003</t>
  </si>
  <si>
    <t>MR RAMESH SHANMUGAM</t>
  </si>
  <si>
    <t>4035622757087012</t>
  </si>
  <si>
    <t>MR SHIFAS SHAKEER</t>
  </si>
  <si>
    <t>4375519978556007</t>
  </si>
  <si>
    <t>MR RAHUL R</t>
  </si>
  <si>
    <t>5241936797772004</t>
  </si>
  <si>
    <t>Mr SAUJANYA KUMAR NALIGALA</t>
  </si>
  <si>
    <t>4035627614447002</t>
  </si>
  <si>
    <t>MS KARTHIKESWARI X</t>
  </si>
  <si>
    <t>4035623081802019</t>
  </si>
  <si>
    <t>MR KALIGATLA PRADEEP SAI</t>
  </si>
  <si>
    <t>5241933909238008</t>
  </si>
  <si>
    <t>MR AILA GOUD</t>
  </si>
  <si>
    <t>4035623006215008</t>
  </si>
  <si>
    <t>MR KALISARAN S</t>
  </si>
  <si>
    <t>4035627466877009</t>
  </si>
  <si>
    <t>Mr ALAMANDA RAJU</t>
  </si>
  <si>
    <t>4748468031695008</t>
  </si>
  <si>
    <t>MR PODDUTURI REDDY</t>
  </si>
  <si>
    <t>4748468480183019</t>
  </si>
  <si>
    <t>MR MATHANGI PAVAN KUMAR</t>
  </si>
  <si>
    <t>4035623164607004</t>
  </si>
  <si>
    <t>GUNTAKA SURESH REDDY</t>
  </si>
  <si>
    <t>4035623051833002</t>
  </si>
  <si>
    <t>SGR RECEIVED 10K/-1ST APR''26//PENDING 15210// SGR RECEIVED 10K 14TH APR''26//PENDING 5210/-//SGR RECEIVED 4000/- 22ND APR''26//PENDING 11202/-//11202/- MAR 21 TO APR 20 SALARTY CUTTING ANIL CALLAR</t>
  </si>
  <si>
    <t>VJWD TO 32KM</t>
  </si>
  <si>
    <t>13-53TELAPROLUKRISHNAVIJAYAWADA521109</t>
  </si>
  <si>
    <t>VENDRA LOKESH</t>
  </si>
  <si>
    <t>4315813109101004</t>
  </si>
  <si>
    <t>A0K MAR 21 TO APR 20 SALARTY CUTTING RAMESH CALLER</t>
  </si>
  <si>
    <t>RAKESH PALAKOLLU</t>
  </si>
  <si>
    <t>h.no 12-57penugonda mandalampenugonda mandalamvendra vari veedhiBHIMAVARAM534320</t>
  </si>
  <si>
    <t>MR MADDERI BHARATH KUMAR</t>
  </si>
  <si>
    <t>4748468066586007</t>
  </si>
  <si>
    <t>MRS BITLA SUJATHA</t>
  </si>
  <si>
    <t>4748468241507001</t>
  </si>
  <si>
    <t>MS DIVYAMOL K</t>
  </si>
  <si>
    <t>MR SUDA VENKATESWARA RAO</t>
  </si>
  <si>
    <t>4375513313717002</t>
  </si>
  <si>
    <t>MR ROSHITHNATH P</t>
  </si>
  <si>
    <t>4748468577433004</t>
  </si>
  <si>
    <t>MR NARAVA SATYADURGA VEERABHADRAC</t>
  </si>
  <si>
    <t>4748464739881008</t>
  </si>
  <si>
    <t>MR SHAIKMUSTHAFA M</t>
  </si>
  <si>
    <t>4375518653130005</t>
  </si>
  <si>
    <t>MS NUSRATH P</t>
  </si>
  <si>
    <t>4073520384962008</t>
  </si>
  <si>
    <t>MR HARISH GUNJI</t>
  </si>
  <si>
    <t>5241935737303003</t>
  </si>
  <si>
    <t>MR KALIGIRI SARAVANA</t>
  </si>
  <si>
    <t>4748464740214009</t>
  </si>
  <si>
    <t>MR NAVEEN NEELAM</t>
  </si>
  <si>
    <t>4375513702521007</t>
  </si>
  <si>
    <t>MR RAMESH N</t>
  </si>
  <si>
    <t>4748464739929005</t>
  </si>
  <si>
    <t>MR HARISH P K</t>
  </si>
  <si>
    <t>5241935764953027</t>
  </si>
  <si>
    <t>MR K PURUSHOTHAM</t>
  </si>
  <si>
    <t>6528690070544000</t>
  </si>
  <si>
    <t>MR MOHAMED KAMIL MACHINCHERI</t>
  </si>
  <si>
    <t>4748460880302000</t>
  </si>
  <si>
    <t>MR TIRUMALA HARISH</t>
  </si>
  <si>
    <t>4748464742598003</t>
  </si>
  <si>
    <t>MR MACHARLA ARUN KUMAR</t>
  </si>
  <si>
    <t>4748464721731005</t>
  </si>
  <si>
    <t>MR MOHAMMED ILYAS</t>
  </si>
  <si>
    <t>4748461325838004</t>
  </si>
  <si>
    <t>MR MEDHUN MANI</t>
  </si>
  <si>
    <t>4748461079317007</t>
  </si>
  <si>
    <t>MR LALIT NAIK</t>
  </si>
  <si>
    <t>4748461531332008</t>
  </si>
  <si>
    <t>MR PALLEY UDAY KIRAN</t>
  </si>
  <si>
    <t>4748464743233006</t>
  </si>
  <si>
    <t>MR MUSHANAM MAHESWAR</t>
  </si>
  <si>
    <t>4748460962063009</t>
  </si>
  <si>
    <t>MR SHEREEF SHEREEF</t>
  </si>
  <si>
    <t>4748461543431004</t>
  </si>
  <si>
    <t>MR PINJAR NADAF IBRAHIM</t>
  </si>
  <si>
    <t>4748461298415004</t>
  </si>
  <si>
    <t>MR THOKALA VINOD KUMAR</t>
  </si>
  <si>
    <t>6300042972</t>
  </si>
  <si>
    <t>4748464751781003</t>
  </si>
  <si>
    <t>s/o thokala yedu kondalu! 7-51-a!Dokiparru!!chinaharijanawada!dokiparru!krishna!Andhra Pradesh!521332</t>
  </si>
  <si>
    <t>KRISHNA</t>
  </si>
  <si>
    <t>MR VINEET TIWARI</t>
  </si>
  <si>
    <t>8982210201</t>
  </si>
  <si>
    <t>4748461204690005</t>
  </si>
  <si>
    <t>SGR RECEIVED 18600/- 1ST APR''26</t>
  </si>
  <si>
    <t>312 SNEHA SADANGULMOHAR PARK COLONYSERILLINGAMPALLYHYDERABADTNG500019</t>
  </si>
  <si>
    <t>MR K P NAVEEN</t>
  </si>
  <si>
    <t>9000909866</t>
  </si>
  <si>
    <t>4748461247764007</t>
  </si>
  <si>
    <t>RAMANA SIR RECEIVED 4461/- 24TH MAR''26//SGR RECEIVED 4460/- 24TH MAR''26//</t>
  </si>
  <si>
    <t>19-8-169/M3  SBI COLONY RC ROAD  TIRUPATI BACKSIDE HDFC BANK  TIRUPATHI  ANP  517501</t>
  </si>
  <si>
    <t>MS NIDADAVOLU SIRISHA</t>
  </si>
  <si>
    <t>7794841820</t>
  </si>
  <si>
    <t>4748464743294008</t>
  </si>
  <si>
    <t>RENU</t>
  </si>
  <si>
    <t>SGR RECEIVED 10K 22ND MAR''26//SGR RECEIVED 171/- 24TH MAR''26</t>
  </si>
  <si>
    <t>H NO 13-162  ATTILI MANDALAM  VENKANNABABU GUDI RAILWAY STATION ROAD WARD-11  BHIMAVARAM  ANP  534134</t>
  </si>
  <si>
    <t>MR POLEMONI VENKATESH</t>
  </si>
  <si>
    <t>9640369398</t>
  </si>
  <si>
    <t>4748464735212018</t>
  </si>
  <si>
    <t>SGR RECEIVED 1900/- 24TH MAR''26//PENDING 3940/-// SGR RECEIVED 1100/- 28TH MAR''26//SGR RECEIVED 1000/- 30TH MAR''26// 3RD APR''26 /PENDING 800//SGR RECEIVED 800/- 4TH APR''26</t>
  </si>
  <si>
    <t>RAHUL/TS , 9642288392</t>
  </si>
  <si>
    <t>"H.NO 4-39,AMBATIPALLE,"  "MAHABUBNAGAR MANDAL,YEDIRA,"  "YWDIRA,MAHABUBNAGAR" "NEAR HANUMAN TEMPLE,NEAR WATER TANK"  MAHBOOBNAGAR  TNG  509001</t>
  </si>
  <si>
    <t>JEDCHERLA</t>
  </si>
  <si>
    <t>MR GASIKANTI KIRAN KUMAR</t>
  </si>
  <si>
    <t>9676160011</t>
  </si>
  <si>
    <t>4748461243012005</t>
  </si>
  <si>
    <t>"9-7-160,RAM NAGAR"  ROAD NO 8  KARIMNAGAR NEAR BY MARK SIDE  ADILABAD  TNG  505001</t>
  </si>
  <si>
    <t>MR MAALE RAMESH</t>
  </si>
  <si>
    <t>9441571055</t>
  </si>
  <si>
    <t>4073520398348004</t>
  </si>
  <si>
    <t>1-108  SALKAR PET  SALKAR PET NEAR COMMUNITY HALL  MAHBOOBNAGAR  TNG  509337</t>
  </si>
  <si>
    <t>MAHBOOBNAGAR</t>
  </si>
  <si>
    <t>MS KAISHARLA DURGADEVI</t>
  </si>
  <si>
    <t>9347118892</t>
  </si>
  <si>
    <t>4748464735531011</t>
  </si>
  <si>
    <t>SGR RECEIVED 5K 15TH MAY''26  FEB 2631/- REMAINING THIS MONTH(MAR) PAYMENT// SGR RECEIVED 18TH MAY''26 8000 RECEIVED // PENDING 27329</t>
  </si>
  <si>
    <t>8-83  ROWTHULAPUDI  KOTA STREET EAST GODAVARI  KAKINADA  ANP  533446</t>
  </si>
  <si>
    <t>MS A D SARANYA</t>
  </si>
  <si>
    <t>8008521916</t>
  </si>
  <si>
    <t>4073520394891007</t>
  </si>
  <si>
    <t>SGR RECEIVED 10K/-1ST APR''26//PENDING 15210// SGR RECEIVED 10K 14TH APR''26//PENDING 5210/-//SGR RECEIVED 4000/- 22ND APR''26//PENDING 1210//SGR RECEIVED 1ST MAY 2026 1210</t>
  </si>
  <si>
    <t>1-12  KARVETINAGARAM MANDALAM  VENKATADRI PURAM VILLAGE VENKATADRI PURAM  CHITTOOR  ANP  517582</t>
  </si>
  <si>
    <t>MR GHANTA SARVESWARA RAO</t>
  </si>
  <si>
    <t>9849946667</t>
  </si>
  <si>
    <t>4748464710508000</t>
  </si>
  <si>
    <t>LOHITH/ELLURU , 9705411758</t>
  </si>
  <si>
    <t>3-127  LINGAPALEM MANDALAM  MATTAMGUDEM VILLAGE BESIDE PALA PICHIYYA HOUSE  ELURU  ANP  534462</t>
  </si>
  <si>
    <t>MR GURRAM VINAY</t>
  </si>
  <si>
    <t>9949545050</t>
  </si>
  <si>
    <t>4748464710170009</t>
  </si>
  <si>
    <t>8-7-297  HANUMAN NAGAR   KARIMNAGAR  ADILABAD  TNG  505001</t>
  </si>
  <si>
    <t>MR KOLA SANTHOSH KUMAR</t>
  </si>
  <si>
    <t>8686143146</t>
  </si>
  <si>
    <t>4748464718783001</t>
  </si>
  <si>
    <t>HOUSE NUMBER 18-7-97  ASHOKA STREET KAREEMABAD   WARANGAL  WARANGAL  TNG  506002</t>
  </si>
  <si>
    <t>MR KSHYATRI ADESH</t>
  </si>
  <si>
    <t>7416480767</t>
  </si>
  <si>
    <t>6528690021434004</t>
  </si>
  <si>
    <t>1-26  BODRAI BASTHI KOLANPAKA  BODRAI BASTHI   NALGONDA  TNG  508101</t>
  </si>
  <si>
    <t>NALGONDA</t>
  </si>
  <si>
    <t>MR SIMMA LAKSHMANA RAO</t>
  </si>
  <si>
    <t>7305128285</t>
  </si>
  <si>
    <t>4748461164469002</t>
  </si>
  <si>
    <t>"5-1-57, S YUGANDHAR REDDY"  KAPU STREET  SULLURUPETA ANDHRA PRADESH  GUDUR  ANP  524121</t>
  </si>
  <si>
    <t>MR KALLOJI ANIL KUMAR</t>
  </si>
  <si>
    <t>8555903599</t>
  </si>
  <si>
    <t>4748461150705005</t>
  </si>
  <si>
    <t>68-185  1ST ZONE   ADILABAD  ADILABAD  TNG  504231</t>
  </si>
  <si>
    <t>MR CHEGU PARDHA SAI</t>
  </si>
  <si>
    <t>9866707389</t>
  </si>
  <si>
    <t>4748461077657008</t>
  </si>
  <si>
    <t>SUDHAKAR/VJW , 7893124290</t>
  </si>
  <si>
    <t>23-20-8  SATYANARAYANAPURAM  SUBBA RAO STREET VINAYAKA TEA STALL  VIJAYAWADA  ANP  520011</t>
  </si>
  <si>
    <t>TELEGRAPU  SURESH</t>
  </si>
  <si>
    <t>9985468845</t>
  </si>
  <si>
    <t>1800000004668034</t>
  </si>
  <si>
    <t>XXXXXXXXXXXX8188</t>
  </si>
  <si>
    <t>MANIKANTA</t>
  </si>
  <si>
    <t>RAMU</t>
  </si>
  <si>
    <t>39-18-90 AND 91 KALINGANAGAR, MADHAVADHARAVISAKHAPATNAMVISAKHAPATNAM530018</t>
  </si>
  <si>
    <t>MADHAVADARA</t>
  </si>
  <si>
    <t>LODAGANA SAI  PRASANTH YADAV</t>
  </si>
  <si>
    <t>9542663535</t>
  </si>
  <si>
    <t>1800000008239337</t>
  </si>
  <si>
    <t>SGR RECEIVED 960/-28TH MAR''26</t>
  </si>
  <si>
    <t>PRUDHVI</t>
  </si>
  <si>
    <t>5-14 SRIKAKULAM ROAD, BESIDE HERO SHOWROOMRAJAMPETVISAKHAPATNAM532127</t>
  </si>
  <si>
    <t>MR. SANTOSHKUMAR RAJU ALLURI</t>
  </si>
  <si>
    <t>4375516192612004</t>
  </si>
  <si>
    <t>MR. G HARIVARDHAN REDDY</t>
  </si>
  <si>
    <t>4375516128793027</t>
  </si>
  <si>
    <t>MR. CHETAN B SHAH</t>
  </si>
  <si>
    <t>374740107164005</t>
  </si>
  <si>
    <t>MR. MURUGAN D</t>
  </si>
  <si>
    <t>4375516220595007</t>
  </si>
  <si>
    <t>Mrs USHA DEVI P</t>
  </si>
  <si>
    <t>4315815364849003</t>
  </si>
  <si>
    <t>MR MASKURI CHIRANJEEVI</t>
  </si>
  <si>
    <t>4375516188791002</t>
  </si>
  <si>
    <t>MR M Manikantha</t>
  </si>
  <si>
    <t>4315813655575007</t>
  </si>
  <si>
    <t>SGR RECEIVED 6100/-29TH MAR''26</t>
  </si>
  <si>
    <t>SURENDRA/GTR , 9052794389</t>
  </si>
  <si>
    <t xml:space="preserve">5 163  Bhavanamvaripalem Kotha Reddy Palem Kotha Reddy Palem GUNTUR  ANP  522311  </t>
  </si>
  <si>
    <t>MR URUGONDA KUMAR</t>
  </si>
  <si>
    <t>9989895691</t>
  </si>
  <si>
    <t>4375517405982002</t>
  </si>
  <si>
    <t>SGR RECEIVED 10K 22ND APR''26//PENDING  23475/-//SGR  RECEIVED 10K 26TH MAY''26//PENDING 13475/-//SGR RECEIVED 10K 2ND JUNE''26//PENDING 3475</t>
  </si>
  <si>
    <t>ANIL KUMAR/TS , 6305285702</t>
  </si>
  <si>
    <t xml:space="preserve">"16147/2,MOTHKULAGUDEM,JAMMIKUNTA"  JAMMIKUNTA MANDAL MOTHKULAGUDEM KARIMNAGAR KARIMNAGAR  TNG  505122  </t>
  </si>
  <si>
    <t>MR Anugandula Gangaprasad</t>
  </si>
  <si>
    <t>9494727318</t>
  </si>
  <si>
    <t>4315812537017014</t>
  </si>
  <si>
    <t xml:space="preserve">1-2-229 prakasham road prakasham road Karimnagar KARIMNAGAR TNG  505326 </t>
  </si>
  <si>
    <t>CC NPA</t>
  </si>
  <si>
    <t>Naveen mandapati</t>
  </si>
  <si>
    <t>XXXX XXXX XXXX 2111</t>
  </si>
  <si>
    <t>GOUSIYA</t>
  </si>
  <si>
    <t>SATTISH</t>
  </si>
  <si>
    <t>ESCALATION CASE WE ARE FUNDING// SALARY CUTTING FOR GOUSIYA 2500(MAR) //REMAINING NEXT MONTH SALARY(APR)</t>
  </si>
  <si>
    <t>BL X(DURGA)</t>
  </si>
  <si>
    <t>PERAKAM MANI KRISHNA</t>
  </si>
  <si>
    <t>_x001E_9848112129</t>
  </si>
  <si>
    <t>BPR006910470825</t>
  </si>
  <si>
    <t>SINDHU</t>
  </si>
  <si>
    <t>PRUDHVI/GTR , 8185079989</t>
  </si>
  <si>
    <t>15-12-3A,GUNTURGUNTUR,GUNTUR, GUNTUR NARAYANA STREET  TENALI ANDHRA PRADESH 522201 INDIA</t>
  </si>
  <si>
    <t>Guntur</t>
  </si>
  <si>
    <t>BOLLA NAGA LAKSHMI</t>
  </si>
  <si>
    <t>_x001E_9246481278</t>
  </si>
  <si>
    <t>BPR006913073362</t>
  </si>
  <si>
    <t>SOWJANYA</t>
  </si>
  <si>
    <t>PRAVEEN/VJW , 8897201397</t>
  </si>
  <si>
    <t>FLAT NO 102, 1ST FLOOR, SAI RAM TOWERS, BRUNDAVANAM COLONY, NEAR VYSHNAVI WATER PLANT, KRISHNA, PORANKI (RURAL  VIJAYAWADA ANDHRA PRADESH 521137 INDIA</t>
  </si>
  <si>
    <t>Vijaywada</t>
  </si>
  <si>
    <t>JAMBADA  SANKARARAO</t>
  </si>
  <si>
    <t>_x001E_9010359544</t>
  </si>
  <si>
    <t>BPR007511640698</t>
  </si>
  <si>
    <t>NAIDU/VZM , 9553082352</t>
  </si>
  <si>
    <t>MULAGA STREET,VIZIANAGARAM NARSIPURAM NARSIPURAM  VIZIANAGARAM ANDHRA PRADESH 535522 INDIA</t>
  </si>
  <si>
    <t>Vizianagaram</t>
  </si>
  <si>
    <t>MEKALA  BENJIMEN</t>
  </si>
  <si>
    <t>_x001E_9491645158</t>
  </si>
  <si>
    <t>BPR006909116935</t>
  </si>
  <si>
    <t>SRINIVAS/GTR , 9704963641</t>
  </si>
  <si>
    <t>S/O LAZAR, H NO 10- 168A HARIJANA STREET MARKA PURAM PRAKASAM MARKA PURAM PRAKASAM  PRAKASAM ANDHRA PRADESH 523316 INDIA</t>
  </si>
  <si>
    <t>Prakasam</t>
  </si>
  <si>
    <t>MR GOPIKRISHNA RELANGI</t>
  </si>
  <si>
    <t>9949667124</t>
  </si>
  <si>
    <t>5241933729053009</t>
  </si>
  <si>
    <t>SGR RECEIVED 79685/- 3RD APR''26 BY KOTI GARU TWO PARTS</t>
  </si>
  <si>
    <t>EG&amp;WG</t>
  </si>
  <si>
    <t>KUMAR/ELLURU , 8639680560</t>
  </si>
  <si>
    <t xml:space="preserve">2-107 D  MAIN ROAD MATTAGUNTA KRISHNA GUDIVADA  ANP  521344  </t>
  </si>
  <si>
    <t>GUDIVADA</t>
  </si>
  <si>
    <t>VASUDEVARAO</t>
  </si>
  <si>
    <t>4315810807513001</t>
  </si>
  <si>
    <t>MR KOLIPITI VENKATA RAO</t>
  </si>
  <si>
    <t>4501721800903004</t>
  </si>
  <si>
    <t>MR. MEKALA BAYAPUREDDY XXX</t>
  </si>
  <si>
    <t>4315811144695006</t>
  </si>
  <si>
    <t>MR Palem Varshith</t>
  </si>
  <si>
    <t>5241939933929009</t>
  </si>
  <si>
    <t>MS SINGI HARSHITHA REDDY</t>
  </si>
  <si>
    <t>4035623087872008</t>
  </si>
  <si>
    <t>MR AMBUJ SINGH</t>
  </si>
  <si>
    <t>4315810722803008</t>
  </si>
  <si>
    <t>MR SRIKANTH BR</t>
  </si>
  <si>
    <t>4315811497072019</t>
  </si>
  <si>
    <t>MR SANDESH SANDESH</t>
  </si>
  <si>
    <t>4315812601899016</t>
  </si>
  <si>
    <t>MR SIJU MR</t>
  </si>
  <si>
    <t>6528681263173004</t>
  </si>
  <si>
    <t>MR BOLUGODDU KUMAR</t>
  </si>
  <si>
    <t>4315811316187006</t>
  </si>
  <si>
    <t>MR PADALA VENKATA MURALIKRISHNA</t>
  </si>
  <si>
    <t>4748464737090008</t>
  </si>
  <si>
    <t>MR Narava Satish Kumar</t>
  </si>
  <si>
    <t>4315811352459012</t>
  </si>
  <si>
    <t>MR Reddy Raja Chaitanya</t>
  </si>
  <si>
    <t>4315813954138002</t>
  </si>
  <si>
    <t>MR RAVIJ</t>
  </si>
  <si>
    <t>4375513879493006</t>
  </si>
  <si>
    <t>MR SRIKAR GOLUKONDA</t>
  </si>
  <si>
    <t>4315811017962012</t>
  </si>
  <si>
    <t>MR SHYAM SEKHAR S</t>
  </si>
  <si>
    <t>4748465223188008</t>
  </si>
  <si>
    <t>MR PANDIYAN V</t>
  </si>
  <si>
    <t>374742282660005</t>
  </si>
  <si>
    <t>GEETHA</t>
  </si>
  <si>
    <t>M  SIVANAGAKUMAR</t>
  </si>
  <si>
    <t>200000010074936</t>
  </si>
  <si>
    <t>XXXXXXXXXXXX6218</t>
  </si>
  <si>
    <t>SGR RECEIVED 16400/- 14TH APR''26</t>
  </si>
  <si>
    <t>GANESH</t>
  </si>
  <si>
    <t>7 11 174 DONKA ROAD FOURTH LINENEAR NARYANA SCHOOL,GUNTUR,,GUNTUR,522002</t>
  </si>
  <si>
    <t>Arun kumar  Balijepalli</t>
  </si>
  <si>
    <t>9391345456</t>
  </si>
  <si>
    <t>089000019252307</t>
  </si>
  <si>
    <t>XXXXXXXXXXXX7447</t>
  </si>
  <si>
    <t>BASHEER</t>
  </si>
  <si>
    <t>SGR RECEIED 16200/- 24TH MAY'26</t>
  </si>
  <si>
    <t xml:space="preserve">BASHEER </t>
  </si>
  <si>
    <t>DOOR 24 10 9 IST LINE,BAVAJIPET VIJAYAWADA,,VIJAYAWADA,520003</t>
  </si>
  <si>
    <t>2ND BKT VJW</t>
  </si>
  <si>
    <t>S  MALLIKARJUNA</t>
  </si>
  <si>
    <t>8125252421</t>
  </si>
  <si>
    <t>200000016762799</t>
  </si>
  <si>
    <t>XXXXXXXXXXXX1925</t>
  </si>
  <si>
    <t>VENKATA RAMANA</t>
  </si>
  <si>
    <t>1 72 BUDANAMPALL VILL POST,MUDIGUBBA MANDAL MUDIGUBBA,ANANTAPUR ,MUDIGUBBA,C3155,515511</t>
  </si>
  <si>
    <t>ANANTHAPUR</t>
  </si>
  <si>
    <t>NALAPAGARI  RAMAKRISHNA</t>
  </si>
  <si>
    <t>100000000056086</t>
  </si>
  <si>
    <t>XXXXXXXXXXXX7366</t>
  </si>
  <si>
    <t>1-98-1A CHILAMAKURU CHILAMAKURU,CHILAMAKURU,CHILAMAKURU,TADPATRI,515465</t>
  </si>
  <si>
    <t>HYD GANESH</t>
  </si>
  <si>
    <t>BL HYD GANESH</t>
  </si>
  <si>
    <t>AYUSH  SEEDS</t>
  </si>
  <si>
    <t>8185914559</t>
  </si>
  <si>
    <t>BPR029210857323</t>
  </si>
  <si>
    <t>K RAMU</t>
  </si>
  <si>
    <t>B RANJITH - 9154994666</t>
  </si>
  <si>
    <t>4-32/A PATHA POCHARAM KOTTHA POCHARAM KHAMMAM  KHAMMAM TELANGANA 507122 INDIA</t>
  </si>
  <si>
    <t>Khammam</t>
  </si>
  <si>
    <t>K  SATYANARAYANA  .</t>
  </si>
  <si>
    <t>9959581776</t>
  </si>
  <si>
    <t>BPR000810575406</t>
  </si>
  <si>
    <t>DEVIKA</t>
  </si>
  <si>
    <t>NAVEEN - 9849487837</t>
  </si>
  <si>
    <t>16-172 HANUMAN TEMPLE OLD MIRJALGUDA MALKAJGIRINEAR RAJIVI GANDHI S  HYDERABAD TELANGANA 500047 INDIA</t>
  </si>
  <si>
    <t>MALKAJ GIRI</t>
  </si>
  <si>
    <t>MOHAMMED ASHRAF AHMED KHAN</t>
  </si>
  <si>
    <t>8106669996</t>
  </si>
  <si>
    <t>BPR000808407978</t>
  </si>
  <si>
    <t>G SRIKANTH - 8555919120</t>
  </si>
  <si>
    <t>PENT HOUSE 2 5TH FLOOR 8 1 523 126 RAINBOW ARCADE BRINDAVAN COLONY SHAIKPET KHAIRTABADNEAR GOLCONDA  HYDERABAD TELANGANA 500008 INDIA</t>
  </si>
  <si>
    <t>MEHDIPTNAM</t>
  </si>
  <si>
    <t>BRAND COMPUTERS FACTORY</t>
  </si>
  <si>
    <t>9989093323</t>
  </si>
  <si>
    <t>BPR002711249342</t>
  </si>
  <si>
    <t>KRANTHI - 9912201090</t>
  </si>
  <si>
    <t>2-1-347/43 SRI SAI RAM NAGRA COLONY MAMATHA NAGAR NAGOLE K.V. RANGAREDDY M J METRO VIEW  HYDERABAD TELANGANA 500068 INDIA</t>
  </si>
  <si>
    <t>BANK DEPOSIT</t>
  </si>
  <si>
    <t>PL X(AKHIL)</t>
  </si>
  <si>
    <t>DOSELUDIKI SANGALA VANI</t>
  </si>
  <si>
    <t>_x001E_9490131004</t>
  </si>
  <si>
    <t>PPR015213019655</t>
  </si>
  <si>
    <t>C/O: NESE SREEKANTH,8-765,MAREMPALLI COLONY KALYANDURG,KALYANADURGAM,KALYANDURG ANANTHAPURAMU,KALYANDURG,ANANTHAPURAMU  ANANTAPUR ANDHRA PRADESH 515761 INDIA</t>
  </si>
  <si>
    <t>GADDAM  ASHOK</t>
  </si>
  <si>
    <t>_x001E_9963232873</t>
  </si>
  <si>
    <t>PPR006910930754</t>
  </si>
  <si>
    <t>3 95 PEEKAVARI PALEM VALLABHAPURAM GUNTUR AP PIN CODE 522308  TENALI ANDHRA PRADESH 522201 INDIA</t>
  </si>
  <si>
    <t>ATTANTI  VENKATESWARLU</t>
  </si>
  <si>
    <t>_x001E_8978585189</t>
  </si>
  <si>
    <t>PPR006911543335</t>
  </si>
  <si>
    <t>AJEES/ONGOLE , 7093700713</t>
  </si>
  <si>
    <t>DOOR NO 17-155A HARIJANAPALEM VETAPALEM CITY VETAPALEM PIN 523187  GUNTUR ANDHRA PRADESH 522020 INDIA</t>
  </si>
  <si>
    <t>ALURU SREE VARDHANA RAO</t>
  </si>
  <si>
    <t>_x001E_8008373357</t>
  </si>
  <si>
    <t>PPR006910074311</t>
  </si>
  <si>
    <t>VASANTHA</t>
  </si>
  <si>
    <t>DOOR NO 1 3 152A RAMARAYANAGAR APPOGIT CHINNA SAIBABA TEMPLE VIDHYADHARAPURAM KRISHNA  VIJAYAWADA ANDHRA PRADESH 520001 INDIA</t>
  </si>
  <si>
    <t>BL X(AKHIL)</t>
  </si>
  <si>
    <t>JOTHIKA  CREATION</t>
  </si>
  <si>
    <t>_x001E_8074518765</t>
  </si>
  <si>
    <t>BPR006911697551</t>
  </si>
  <si>
    <t>6-45-102,SATANU VARI VEEDHI,GUNTUR SANKAS PLAZA SANKAS PLAZA  GUNTUR ANDHRA PRADESH 522212 INDIA</t>
  </si>
  <si>
    <t>APR''26</t>
  </si>
  <si>
    <t>MR NALLAMEKALA SAMBASIVA</t>
  </si>
  <si>
    <t>9966985317</t>
  </si>
  <si>
    <t>0007478700130049656</t>
  </si>
  <si>
    <t>xx8078</t>
  </si>
  <si>
    <t>NAKKALADINNETIRUPATI517646</t>
  </si>
  <si>
    <t>Tirupati</t>
  </si>
  <si>
    <t>9666622642</t>
  </si>
  <si>
    <t>PLATNUMBER 56BALAJI VILLAS HASE2SRI VENKATESWARA PURAMANANTHAPURANANTHAPUR515003</t>
  </si>
  <si>
    <t>Ananthapur</t>
  </si>
  <si>
    <t>9391414888</t>
  </si>
  <si>
    <t>Ganesh</t>
  </si>
  <si>
    <t>81 1 1 NALLACHERUVU ZERO LINE1ST CROSS RD GUNTUR GUNTURGUNTUR522003</t>
  </si>
  <si>
    <t>7780417906</t>
  </si>
  <si>
    <t>SGR RECEIVED 1600/- 6TH APR''26// CUSTOMER 2K RAMAINING 400 CALLER INCENTIVE//SGR RECEIVED 1600/- 9TH APR''26// CUSTOMER 2K RAMAINING 400 CUSTOMER INCENTIVE//  CUSTOMER PAID 2K SGR RECEIVED 1600/- REMAINING 400/- CALLER INCENTIVE // 21ST APR''26 2K SGR RECEIVED 1600/- REMAINING 400/-  CALLER INCENTIVE//PENDING 7763.56</t>
  </si>
  <si>
    <t>S/O SANJEEV RAO H NO 141030 ANAKAPALLIBOCHAVARI VEEDHI ANAKAPALLINEAR BY BOGALINGAML SCHOOL ANAKAPALLIANAKAPALLI531001</t>
  </si>
  <si>
    <t>RETAIN</t>
  </si>
  <si>
    <t>HOUSE NO 27-3-50 NEAR RAGHVENDA SCHOOLSRINAGAR VISAKHAPATNAMVISAKHAPATNAM530046</t>
  </si>
  <si>
    <t>JAYAKRISHNA NARLA</t>
  </si>
  <si>
    <t>9177479111</t>
  </si>
  <si>
    <t>0007478000002858775</t>
  </si>
  <si>
    <t>xx6054</t>
  </si>
  <si>
    <t>DOOR NO 1-84 GUDAVALLI NEARTATA JASPER COMPANYBESIDE EICHER MOTORS GUDAVALLIVIJAYAWADA521104</t>
  </si>
  <si>
    <t>Vijayawada</t>
  </si>
  <si>
    <t>9347971341</t>
  </si>
  <si>
    <t>HOSUE NUMER 188YANANALA PALLE VILAGE PENT APADDU MANDALNEAR BY CHURHCI STREETTADEPALLIGUDEM534166</t>
  </si>
  <si>
    <t>SURAJ BISWAS</t>
  </si>
  <si>
    <t>9440330370</t>
  </si>
  <si>
    <t>0007477770005050593</t>
  </si>
  <si>
    <t>F NO D3 SIVARANJANI APPARTMENTMITHILAPURI VUDA LAYOUT MADHURAWADAVisakhapatnam530041</t>
  </si>
  <si>
    <t>CHARAN KUMAR POTHURU</t>
  </si>
  <si>
    <t>9959578109</t>
  </si>
  <si>
    <t>0007471150007067315</t>
  </si>
  <si>
    <t>xx7883</t>
  </si>
  <si>
    <t>DOOR NO 6/85OC COLONY LINGAREDDY PALI VILLAGENEAR BY GOVT SCHOOLDHARMAVARAM515661</t>
  </si>
  <si>
    <t>V R PRASAD</t>
  </si>
  <si>
    <t>9866911470</t>
  </si>
  <si>
    <t>0007470170000417904</t>
  </si>
  <si>
    <t>xx8716</t>
  </si>
  <si>
    <t>Hemanth</t>
  </si>
  <si>
    <t>9-75-14A BHIMANAVARI SRT NEHRU BOMMA,CENTER KOTHAPETA VIJAYWADA URBANVIJAYAWADA520001</t>
  </si>
  <si>
    <t>PADMANABHA NAIDU MALLELA</t>
  </si>
  <si>
    <t>7702300292</t>
  </si>
  <si>
    <t>0007477350027714102</t>
  </si>
  <si>
    <t>xx0026</t>
  </si>
  <si>
    <t>D NO 8 135SRINAGAR COLONY ROYAL NAGAROPP BSNL GUEST HOUSETIRUPATI517501</t>
  </si>
  <si>
    <t>RAMA DEVI SIRIPURAPU</t>
  </si>
  <si>
    <t>9491298228</t>
  </si>
  <si>
    <t>0005369076351243625</t>
  </si>
  <si>
    <t>xx3625</t>
  </si>
  <si>
    <t>D NO 18-7-95 KEDARESWARAPETAGANDHINAGARAMVIJAYAWADA520003</t>
  </si>
  <si>
    <t>P SURESH</t>
  </si>
  <si>
    <t>9701000165</t>
  </si>
  <si>
    <t>0007478450018666979</t>
  </si>
  <si>
    <t>xx6221</t>
  </si>
  <si>
    <t>HNO 1-50-39 30-1, LAKSHMI NILAYAMVASUNDHARA NAGAR, THIRUCHANOOR, TIRUPATITIRUPATI517503</t>
  </si>
  <si>
    <t>FLAT NO 590 NEW RR PETA VIJAYAWADA URBANKRISHNA DISTRICT APVIJAYAWADA520003</t>
  </si>
  <si>
    <t>TANGUTURI SUNEEL KUMAR</t>
  </si>
  <si>
    <t>7799663484</t>
  </si>
  <si>
    <t>0007476760003019006</t>
  </si>
  <si>
    <t>xx5916</t>
  </si>
  <si>
    <t>HOUSE NO 16/1/3009 BHAVIMITTAPALEMNEAR MADRAS BUS STAND NELLORENELLORE524003</t>
  </si>
  <si>
    <t>Nellore</t>
  </si>
  <si>
    <t>H NO 9 11 C MPL ROAD CHINTHAPARTHY,VAYALPAD,CHITTOR DIS APCHITTOOR517277</t>
  </si>
  <si>
    <t>Chittoor</t>
  </si>
  <si>
    <t>SRINIVASA RAO DEVARASETTY</t>
  </si>
  <si>
    <t>9441723635</t>
  </si>
  <si>
    <t>0007477800006465571</t>
  </si>
  <si>
    <t>75-12 74 BHAWANI TOWERS NH RDBHAVANIPURAM KRISHNA KAMAKOTINAGARNR GROUND CENTER NR BANK CENTREVIJAYAWADA520012</t>
  </si>
  <si>
    <t>LOHITH PEETHALA</t>
  </si>
  <si>
    <t>9491891111</t>
  </si>
  <si>
    <t>0007477800007476072</t>
  </si>
  <si>
    <t>DOOR NO.9-4-9PEETHALAVANIPALEMPITHAPURAM COLONYVisakhapatnam530003</t>
  </si>
  <si>
    <t>S G AMARNATH</t>
  </si>
  <si>
    <t>8886771918</t>
  </si>
  <si>
    <t>0007478950049025202</t>
  </si>
  <si>
    <t>xx6384</t>
  </si>
  <si>
    <t>46-416 BUDAVARAPETNEAR CHARCHKURNOOL518002</t>
  </si>
  <si>
    <t>Kurnool</t>
  </si>
  <si>
    <t>MUVVALA HARIBABU</t>
  </si>
  <si>
    <t>8142928117</t>
  </si>
  <si>
    <t>0007471200008218696</t>
  </si>
  <si>
    <t>xx4244</t>
  </si>
  <si>
    <t>HNO 1-25-450NEAR SIKINDAR CAFENELLORE524002</t>
  </si>
  <si>
    <t>MOLLI SRINUVASARAO</t>
  </si>
  <si>
    <t>9494520690</t>
  </si>
  <si>
    <t>0007470650005995368</t>
  </si>
  <si>
    <t>xx9029</t>
  </si>
  <si>
    <t>DNO 6951 DRIVERS COLONY NULL NULLGAJUWAKA - NR RAMALAYAMVISAKHAPATNAM530026</t>
  </si>
  <si>
    <t>2-7-86 PARUCHURI VARI STREETNAWABPETA - NEAR BASHEER HOSPITALNELLORE524002</t>
  </si>
  <si>
    <t>MR AFZAL SHARIFF</t>
  </si>
  <si>
    <t>9550991641</t>
  </si>
  <si>
    <t>0007471150002361309</t>
  </si>
  <si>
    <t>xx7281</t>
  </si>
  <si>
    <t>FLAT NO 501 5TH FLOOR ANNAPURNA RESIDENCOPPOSITE PASTRY CHEF VEPAGUNTAVISAKHAPATNAM530047</t>
  </si>
  <si>
    <t>KAREEMULLASHA SHEIK</t>
  </si>
  <si>
    <t>7396546931</t>
  </si>
  <si>
    <t>0007477350018870319</t>
  </si>
  <si>
    <t>xx5220</t>
  </si>
  <si>
    <t>D NO 1 313 A BLOCKSATELLIGHT CITY RAJAHMUNDRY RURALNEAR BY  CITY PUBLIC SCHOOLRAJAHMUNDRY533107</t>
  </si>
  <si>
    <t>GODAVARI</t>
  </si>
  <si>
    <t>KRISHNA KISHORE N</t>
  </si>
  <si>
    <t>9491342981</t>
  </si>
  <si>
    <t>0007470850003405291</t>
  </si>
  <si>
    <t>xx1147</t>
  </si>
  <si>
    <t>FLAT NO 408 A-BLOCK SBI COLONY,NANDYALANANDYALA GARDEN APPARTMENT,NANDYALANEAR CHERUVUKATTA,NANDYALAKURNOOL518501</t>
  </si>
  <si>
    <t>SHAIK NABI RASOOL</t>
  </si>
  <si>
    <t>9440113491</t>
  </si>
  <si>
    <t>0007477800008368633</t>
  </si>
  <si>
    <t>29-2563 1 KALYANA PURI COLONY VINUKONDANEAR BY WATER TANKGUNTUR522647</t>
  </si>
  <si>
    <t>MR RAMA TIGIRIPALLI</t>
  </si>
  <si>
    <t>9642108654</t>
  </si>
  <si>
    <t>0007478950051118630</t>
  </si>
  <si>
    <t>xx1738</t>
  </si>
  <si>
    <t>SGR RECEIVED 4000/- 8TH APR''26</t>
  </si>
  <si>
    <t>HOUSE NO. 2-16 NEAR WATERTANK CHILIBI VILLAGEPUGORU MADAN HYDERABADHYDERABAD534350</t>
  </si>
  <si>
    <t>NALI DURGA RAJ SEKHAR</t>
  </si>
  <si>
    <t>8886633445</t>
  </si>
  <si>
    <t>0007476300006262855</t>
  </si>
  <si>
    <t>xx0852</t>
  </si>
  <si>
    <t>DNO 51 9 22 FLAT NO 201 2ND FLORGVR NAKKAVANI PALEM NEAR DURGATEMPLEVISAKHAPATNAM530013</t>
  </si>
  <si>
    <t>MR MARKAPUDI DASU</t>
  </si>
  <si>
    <t>7995378483</t>
  </si>
  <si>
    <t>0007478700131570148</t>
  </si>
  <si>
    <t>xx6423</t>
  </si>
  <si>
    <t>4-21 KANCHIKACHERLASC COLONYVIJAYAWADA521180</t>
  </si>
  <si>
    <t>CHEEKATLA NAGA DURGAMBICA</t>
  </si>
  <si>
    <t>9550519304</t>
  </si>
  <si>
    <t>0007477800008702914</t>
  </si>
  <si>
    <t>HOUSE NO 416 B C COLONYCHAGALLUCHAGALLUWEST GODAVARI534342</t>
  </si>
  <si>
    <t>RAMAKRISHNA PULLA</t>
  </si>
  <si>
    <t>8886828111</t>
  </si>
  <si>
    <t>0007471200011769792</t>
  </si>
  <si>
    <t>xx3276</t>
  </si>
  <si>
    <t>SRI KRISHNA CHETHYA NAGAR 9TH WARD DNO8-4-45 KOVURU RAJAHMNADRY APNEAR BY MRO OFFICE RAODRAJAHMUNDRY534350</t>
  </si>
  <si>
    <t>MOYYA KRISHNA</t>
  </si>
  <si>
    <t>9394794427</t>
  </si>
  <si>
    <t>0007478950051854770</t>
  </si>
  <si>
    <t>xx8120</t>
  </si>
  <si>
    <t>FLAT.NO.313,MODI STREET,PRAHALADAPURAM,RAMAKRISHNA RESIDENCY VISAKHAPATNAMNEAR SAI BABA TEMPLE,VISAKHAPATNAM530027</t>
  </si>
  <si>
    <t>PATTI SURESH</t>
  </si>
  <si>
    <t>9848916552</t>
  </si>
  <si>
    <t>0007478700103717214</t>
  </si>
  <si>
    <t>xx0078</t>
  </si>
  <si>
    <t>HOUSE NO 1- 24 AMALAYAM STREETTEALAPURAMNEAR BY RAMALAYA STREETTADEPALLIGUDEM534416</t>
  </si>
  <si>
    <t>POTLACHERUVU RAVI SANKAR</t>
  </si>
  <si>
    <t>9949041724</t>
  </si>
  <si>
    <t>0007471150002123840</t>
  </si>
  <si>
    <t>xx8387</t>
  </si>
  <si>
    <t>PRNAMALURU, FLAT NO 102NEAR CHINNA GUDIVIJAYAWADA521139</t>
  </si>
  <si>
    <t>PUJARI KUMARI</t>
  </si>
  <si>
    <t>9966988386</t>
  </si>
  <si>
    <t>0007478650025696626</t>
  </si>
  <si>
    <t>xx3982</t>
  </si>
  <si>
    <t>D NO 19882K2 YADAV COLONYD NO 19882K2 YADAV COLONYNEAR VENKATESHWARA PAL DIPOTIRUPATI517501</t>
  </si>
  <si>
    <t>NENAVATH NAIK PRAVEEN</t>
  </si>
  <si>
    <t>9440574237</t>
  </si>
  <si>
    <t>0007478830008836999</t>
  </si>
  <si>
    <t>xx6200</t>
  </si>
  <si>
    <t>HO NO 122871 SAI NAGARSAI NAGAR 1ST CROSSNEAR BY SUDAHRSAN HOSPITALANANTHAPUR515001</t>
  </si>
  <si>
    <t>PRASANTHKUMAR JANGOLA</t>
  </si>
  <si>
    <t>9392580355</t>
  </si>
  <si>
    <t>0007478800056830426</t>
  </si>
  <si>
    <t>xx1379</t>
  </si>
  <si>
    <t>DNO 15-5-5-5-8-6-4 REDDAPPA NAIDU COLONYMADANAPALLINEAR BY USHA HOPSITALMADANAPALLE517325</t>
  </si>
  <si>
    <t>LAKSHMINARSHIMHA MOORTHY</t>
  </si>
  <si>
    <t>8121766790</t>
  </si>
  <si>
    <t>0007477800010929638</t>
  </si>
  <si>
    <t>D NO 6/53 ESWAR REDDY NAGAR PRODDATURSUMURAVARIPALLE - NEAR PEDDAMMA TEMPLEPRODDATUR516360</t>
  </si>
  <si>
    <t>Cuddapah</t>
  </si>
  <si>
    <t>#497 KRISHNA NAGAR AYYAPPA NAGARSANTHI STREET NEAR BHAIRAVIVIJAYAWADA URBAN KRISHNAGARKRISHNA520007</t>
  </si>
  <si>
    <t>A NAGENDRA</t>
  </si>
  <si>
    <t>7799597557</t>
  </si>
  <si>
    <t>0007470510006057768</t>
  </si>
  <si>
    <t>xx3663</t>
  </si>
  <si>
    <t>H NO 16-13-107,HARNATHAPURAM 4TH LINEOPP ZENEX VISION COLLEGE,NELLORENELLORE524003</t>
  </si>
  <si>
    <t>MR MUSHINI HARIKRISHNA</t>
  </si>
  <si>
    <t>9676001596</t>
  </si>
  <si>
    <t>0007470870007546338</t>
  </si>
  <si>
    <t>xx3308</t>
  </si>
  <si>
    <t>HNO 39 4 26 FLATNO 101 LOTUS RESIDENCYMURALI NAGAR NR VARMA COMPLEXVISAKHAPATNAM530007</t>
  </si>
  <si>
    <t>S HARINATH</t>
  </si>
  <si>
    <t>9703851925</t>
  </si>
  <si>
    <t>0007476600002901673</t>
  </si>
  <si>
    <t>xx1000</t>
  </si>
  <si>
    <t>19 7 100E GOPALRAJU COLONY TIRUPATITIRUPATI URBAN CHITTOORTirupati517501</t>
  </si>
  <si>
    <t>SIRAJ MOHAMMAD</t>
  </si>
  <si>
    <t>7095241702</t>
  </si>
  <si>
    <t>0007471150008944983</t>
  </si>
  <si>
    <t>xx9991</t>
  </si>
  <si>
    <t>S/O MOHAMMAD USMAN 7/345PEDDATHOTA RANGANAYAKULAPETANEAR BY RANGASWAMY TEMPLENELLORE524001</t>
  </si>
  <si>
    <t>SHAIK HUSSAIN</t>
  </si>
  <si>
    <t>9866115515</t>
  </si>
  <si>
    <t>0007478830004326987</t>
  </si>
  <si>
    <t>xx8848</t>
  </si>
  <si>
    <t>D NO 15745 SECTOR4 ARILOVA SECTOR4LAKSHMI NAGARARILOVA COLONYNEAR NOOKALAMMA TEMPLEVISAKHAPATNAM530040</t>
  </si>
  <si>
    <t>MOHAMMAD SADDAM</t>
  </si>
  <si>
    <t>9052678122</t>
  </si>
  <si>
    <t>0007478700120082873</t>
  </si>
  <si>
    <t>xx4661</t>
  </si>
  <si>
    <t>0  NETHAJI NAGARKOVUR  KOVUR  KOVURNEAR MAJIDNELLORE524137</t>
  </si>
  <si>
    <t>SATEESH MURAMARLA</t>
  </si>
  <si>
    <t>9703112972</t>
  </si>
  <si>
    <t>0007477800009013097</t>
  </si>
  <si>
    <t>D NO -3-7-24/7B KATTERA STREETDHARMA COLONY SRIKAKULAMNEAR BY AVATAR MEHAR BABA CENTERSRIKAKULAM532001</t>
  </si>
  <si>
    <t>Srikakulam</t>
  </si>
  <si>
    <t>HNO 11911 KADAKATLA AREAPOTLA VAARI STREETTADEPALLIGUDEMNEAR BY RAILWAY GATETADEPALLIGUDEM534101</t>
  </si>
  <si>
    <t>BINDU BHARADWAJ NELAPOLU</t>
  </si>
  <si>
    <t>9966334254</t>
  </si>
  <si>
    <t>0007471200010665173</t>
  </si>
  <si>
    <t>xx3860</t>
  </si>
  <si>
    <t>MAHESH</t>
  </si>
  <si>
    <t>NO 24-95- 6/1KANTHI ROAD GAJUWAKANEAR SFS SCHOOLVISAKHAPATNAM530026</t>
  </si>
  <si>
    <t>DULLA NAGENDRA</t>
  </si>
  <si>
    <t>9505322229</t>
  </si>
  <si>
    <t>0007471930000503220</t>
  </si>
  <si>
    <t>xx1983</t>
  </si>
  <si>
    <t>SANJANA HEIGHTS FLAT 103 NEAR RAMALAYAMBC COLONYWEST GODAVARI534202</t>
  </si>
  <si>
    <t>SURISETTY CHAKRAPANI</t>
  </si>
  <si>
    <t>9100876672</t>
  </si>
  <si>
    <t>0007470870002584144</t>
  </si>
  <si>
    <t>xx6559</t>
  </si>
  <si>
    <t>GANDHINAGARBUCHIREFFYPALEMNELLORENELLORE524305</t>
  </si>
  <si>
    <t>VENKATESWARA RAO YELAMANCHILI</t>
  </si>
  <si>
    <t>9652777789</t>
  </si>
  <si>
    <t>0007478730002087146</t>
  </si>
  <si>
    <t>xx7275</t>
  </si>
  <si>
    <t>DNO684 MERAKA ALLAVARAMMERAKA ALLAVARAM AMALAPURAMNEAR BY RAMALAYAMCHINTALA MERAKAAMALAPURAM533217</t>
  </si>
  <si>
    <t>HEMANTH SAI KIRAN UPPUGANTI</t>
  </si>
  <si>
    <t>9666951166</t>
  </si>
  <si>
    <t>0007477770007464131</t>
  </si>
  <si>
    <t>SGR RECEIVED 401/- 6TH APR''26// 100 CALLER INCENTIVE</t>
  </si>
  <si>
    <t>2 135 MAIN ROADININAVILLA VILLAGE MANDALOPP VINAYAKA TEMPLEEAST GODAVARI533211</t>
  </si>
  <si>
    <t>MR SEGU VENKATESWARLU</t>
  </si>
  <si>
    <t>9652581466</t>
  </si>
  <si>
    <t>0007470110001200347</t>
  </si>
  <si>
    <t>xx5079</t>
  </si>
  <si>
    <t>D R NO-1-229N G NAGAR NELLORENELLORE524004</t>
  </si>
  <si>
    <t>JAREENA BHANU SHAIK</t>
  </si>
  <si>
    <t>9952022193</t>
  </si>
  <si>
    <t>0007470470002395227</t>
  </si>
  <si>
    <t>xx8565</t>
  </si>
  <si>
    <t>DOORNO 2/87 SRIKALAHASTIPEDDA MASJID STREETNEAR ARABIAN KHAWABSRIKALAHASTI517644</t>
  </si>
  <si>
    <t>MALLESWRI M</t>
  </si>
  <si>
    <t>9966108614</t>
  </si>
  <si>
    <t>0007477800008545297</t>
  </si>
  <si>
    <t>W/O MIRIYALA MALLI KARJUNA RAOOLD HARJAN VAADA INAMADUGU KOVURNELLORE524137</t>
  </si>
  <si>
    <t>THIS AMOUNT USED FOR DWARAKANAGAR OFFICE EXPENSIVE(RAMANA SIR)</t>
  </si>
  <si>
    <t>MR PRANAY YADAV C</t>
  </si>
  <si>
    <t>4375514862022000</t>
  </si>
  <si>
    <t>SHAFI</t>
  </si>
  <si>
    <t xml:space="preserve">SGR RECEIVED 28K 19TH APR''26// PENDING </t>
  </si>
  <si>
    <t>H NO  23 5 974MURAD MAHAL GOWLI PURACHARMINARNEAR RAGHAVENDRA SWAMY TEMPLEHyderabad500065</t>
  </si>
  <si>
    <t>MR BAGULA SUDHEER KUMAR</t>
  </si>
  <si>
    <t>9701223974</t>
  </si>
  <si>
    <t>5241933725980007</t>
  </si>
  <si>
    <t>BHARATH</t>
  </si>
  <si>
    <t>SGR RECEIVED 4100/- 14TH APR''26</t>
  </si>
  <si>
    <t>4-1-216/106/104RAVICHANDRA APTS KARTHIKEYA NAGAR"NACHARAM, KV RANGAREDDY"BESIDE SBI AND AXIS ATMHYDERABAD500076</t>
  </si>
  <si>
    <t>Mr. GOPAL KRISHNA M</t>
  </si>
  <si>
    <t>9494337755</t>
  </si>
  <si>
    <t>4315812230391013</t>
  </si>
  <si>
    <t>SGR RECEIVED 7TH APR''26//5900</t>
  </si>
  <si>
    <t>SHARATH</t>
  </si>
  <si>
    <t>"flat no G-,,4, thejasree enclave""gachibowli village street no 1,"near gachibowli central mall GachibowliK.V. RANGAREDDY500032</t>
  </si>
  <si>
    <t>GACHIBOWLI</t>
  </si>
  <si>
    <t xml:space="preserve"> MR PICHIKALA MURALIKRISHNA</t>
  </si>
  <si>
    <t>6528680923876006</t>
  </si>
  <si>
    <t>MR BANOTH SURESH</t>
  </si>
  <si>
    <t>6528680086397006</t>
  </si>
  <si>
    <t>MR. PRAVEEN R X</t>
  </si>
  <si>
    <t>6528681280071009</t>
  </si>
  <si>
    <t>6528682189316008</t>
  </si>
  <si>
    <t>MR PATHAN KHAN</t>
  </si>
  <si>
    <t>6528680000834027</t>
  </si>
  <si>
    <t>MR SUNIL AGARWAL</t>
  </si>
  <si>
    <t>6528680082549006</t>
  </si>
  <si>
    <t>MR SHANMUGA NATHAN</t>
  </si>
  <si>
    <t>6528681051227004</t>
  </si>
  <si>
    <t>MR PRASHANTH V KUMTA</t>
  </si>
  <si>
    <t>6528681216114006</t>
  </si>
  <si>
    <t>MR JAINUL ABID K</t>
  </si>
  <si>
    <t>6528680262188005</t>
  </si>
  <si>
    <t>MR RETHEESH R</t>
  </si>
  <si>
    <t>5241933701920019</t>
  </si>
  <si>
    <t>MRP ASLAM</t>
  </si>
  <si>
    <t>6528680959493007</t>
  </si>
  <si>
    <t>MR Yalla Surya Prakash</t>
  </si>
  <si>
    <t>6528681986261003</t>
  </si>
  <si>
    <t>MR GUDEPU BALAMURALI KRISHNA</t>
  </si>
  <si>
    <t>6528681405696003</t>
  </si>
  <si>
    <t>MR PATTABIRAMAN V</t>
  </si>
  <si>
    <t>6528680766365000</t>
  </si>
  <si>
    <t>Mr CHAITANYA MK GUJJARU</t>
  </si>
  <si>
    <t>6528680741449002</t>
  </si>
  <si>
    <t>MR KURRA VENKATA NAVEEN</t>
  </si>
  <si>
    <t>6528680391715009</t>
  </si>
  <si>
    <t>Mr. GOPAL KRIINA M</t>
  </si>
  <si>
    <t>MR. RESHAM SRIKANTH</t>
  </si>
  <si>
    <t>5241933467731006</t>
  </si>
  <si>
    <t>MS Uzma Fathima</t>
  </si>
  <si>
    <t>6528682360796002</t>
  </si>
  <si>
    <t>MR PRAVEEN JOHN</t>
  </si>
  <si>
    <t>6528681736998003</t>
  </si>
  <si>
    <t>MR ACHARYA CHINMAYANANDA 2</t>
  </si>
  <si>
    <t>5241933737469007</t>
  </si>
  <si>
    <t>MR Abdul Mubeen</t>
  </si>
  <si>
    <t>6528681941194000</t>
  </si>
  <si>
    <t>MR SOMYARANJAN JENA</t>
  </si>
  <si>
    <t>6528682421941001</t>
  </si>
  <si>
    <t>MR UDAYAPRAKASH JOTHI</t>
  </si>
  <si>
    <t>4748468848644009</t>
  </si>
  <si>
    <t>MR SANKU BALARAJU</t>
  </si>
  <si>
    <t>9440204817</t>
  </si>
  <si>
    <t>4315810946713009</t>
  </si>
  <si>
    <t xml:space="preserve">",4-1774-3A,BHAGYA NAGAR 2ND CROSS"  ",ANANTAPUR"   "SF SCHOOL BACK SIDE,K L D ROAD" ANANTAPUR ANP 515004  </t>
  </si>
  <si>
    <t>BVR RECEIVED 15000/- 15TH MAY''26//REMAINING PENDING 29691</t>
  </si>
  <si>
    <t xml:space="preserve">2-135/2  maripeda mandal  Main Road Mahabubabad WARANGAL TNG 506315  </t>
  </si>
  <si>
    <t>WARABGAL</t>
  </si>
  <si>
    <t>MR PUNJALA NISHIL RAO</t>
  </si>
  <si>
    <t>8686344361</t>
  </si>
  <si>
    <t>4375513687170002</t>
  </si>
  <si>
    <t>SGR RECEIVED 23391/- 6TH APR''26</t>
  </si>
  <si>
    <t xml:space="preserve">13 1 57 B VALMIKI CIRCLE  HINDUPUR  ANANTHAPUR NEAR OLD CHECK POST HINDUPUR ANP 515201  </t>
  </si>
  <si>
    <t>HINDUPUR</t>
  </si>
  <si>
    <t>MR. CHAKRAVARTHY OBP</t>
  </si>
  <si>
    <t>9100950735</t>
  </si>
  <si>
    <t>6528681618118019</t>
  </si>
  <si>
    <t>"73,PLOT 73,2ND FLOOR,SECTOR 3,MVP COLONY,"  BEHIND LITTLE ANGELS SCHOOL  VISAKHAPATNAM   -  VISAKHAPATNAM  530017</t>
  </si>
  <si>
    <t>Mr Kondala Ambedkar</t>
  </si>
  <si>
    <t>9542499499</t>
  </si>
  <si>
    <t>6528681318441000</t>
  </si>
  <si>
    <t>PRUDVI</t>
  </si>
  <si>
    <t>P2 traced cm new address from GGS Legal Name of Business KONDALA AMBEDKAR Trade Name MANDI CROODS SKLM Principal Place of Business First Floor, Door No. SYURVEY No-80/10, Survey Buildings, P N Colony, Near KIMS Hospital, Srikakulam, Srikakulam, Andhra Pradesh, 532005 Filing date:31/03/2025 These address is not available in CAPS.RM to verify</t>
  </si>
  <si>
    <t>MR SRINIVAS KONDE</t>
  </si>
  <si>
    <t>9885522320</t>
  </si>
  <si>
    <t>4035620006427005</t>
  </si>
  <si>
    <t>LAKSHMAN</t>
  </si>
  <si>
    <t>14-2-60 SRINIVASA NAGAR,KASIBUGGA PALASA,SRIKAKULAM,532222</t>
  </si>
  <si>
    <t>Mr GUDDALA KRISHNA</t>
  </si>
  <si>
    <t>9866578843</t>
  </si>
  <si>
    <t>6528680368012000</t>
  </si>
  <si>
    <t>"5-66/2 KRISHNAMRAJUPETA,SINGANABANDA,"  VISAKHAPATNAM       VISHAKAPATNAM  531162</t>
  </si>
  <si>
    <t>SRINIVASA RAO KOTTAKOTA</t>
  </si>
  <si>
    <t>4315812108808007</t>
  </si>
  <si>
    <t>SGR RECEIVED 7K/- SAME 4TH APR''26//REMAINING WILL FUNDING 3500// SGR RECEIVED 3430/-6TH MAY''26</t>
  </si>
  <si>
    <t>HARIJANA JAGGAYA PALEM HOUSE NO 32-9-29  2ND FLOOR RAJUWAKA    N/R SAI KIRANA STORE N/R APOLLO MEDICAL  VISHAKAPATNAM  530012</t>
  </si>
  <si>
    <t>VIGNESH RAMURTHY</t>
  </si>
  <si>
    <t>9399988874</t>
  </si>
  <si>
    <t>0007476740003478907</t>
  </si>
  <si>
    <t>xx1840</t>
  </si>
  <si>
    <t>D/N 26-2-451 3RD STREET JYOTHI NAGARAPNELLORE524004</t>
  </si>
  <si>
    <t>8121911119</t>
  </si>
  <si>
    <t>DNO 55-14-14-1 FF-1 BHASAKAR ENCLAVEAPSEB COLONY SEETHAMMADHARACHURCH OF GODVISAKHAPATNAM530013</t>
  </si>
  <si>
    <t>Y SURESH BABU</t>
  </si>
  <si>
    <t>9848122624</t>
  </si>
  <si>
    <t>0007476860011850192</t>
  </si>
  <si>
    <t>xx3534</t>
  </si>
  <si>
    <t>DONO 406 SRINIVASA PALACE MITTA STREETGANESH MEDICAL SHOP TIRUPATIGANESH MEDICAL SHOP TIRUPATITIRUPATI517501</t>
  </si>
  <si>
    <t>D NO 2/489-A KESANNA SATRAM PRODDATURKADAPA DISTNEAR BY MANDIRPRODDATUR516360</t>
  </si>
  <si>
    <t>SHAIK MUNEER</t>
  </si>
  <si>
    <t>9966444556</t>
  </si>
  <si>
    <t>0007477250003772373</t>
  </si>
  <si>
    <t>xx1925</t>
  </si>
  <si>
    <t>HOUSE NUMBER 15-18-98 MARUTHI NAGAR 2NDLINE OLD GUNTUR OLD GUNTURGUNTUR 522001</t>
  </si>
  <si>
    <t>MADEKERA FAYAZ HUSSAIN</t>
  </si>
  <si>
    <t>9620033353</t>
  </si>
  <si>
    <t>0007478950031459690</t>
  </si>
  <si>
    <t>xx7086</t>
  </si>
  <si>
    <t>15-27-A 4TH FLOOR LS TOWERS SUBHASHROAD OPP LKP ANANTPUR ANANTPUROPP TO LALITHA KALA PARISHATHANANTHAPURAnantapur515001</t>
  </si>
  <si>
    <t>MR JUPUDI VIJAYKUMAR</t>
  </si>
  <si>
    <t>9000839853</t>
  </si>
  <si>
    <t>0007476770000375673</t>
  </si>
  <si>
    <t>xx5214</t>
  </si>
  <si>
    <t>76-7584/4LINEARBYMAINROADSANJEVAIAH NAGARGUNTUR522002</t>
  </si>
  <si>
    <t>SIRIGIRI VENKATARAMANAIAH</t>
  </si>
  <si>
    <t>7731862235</t>
  </si>
  <si>
    <t>0007477250006873673</t>
  </si>
  <si>
    <t>xx1041</t>
  </si>
  <si>
    <t>000 CHATLAMADA AGRAHARAMPEDARAVEEDUPRAKASAM523320</t>
  </si>
  <si>
    <t>PURETI RAO</t>
  </si>
  <si>
    <t>9866183998</t>
  </si>
  <si>
    <t>0007470850003474040</t>
  </si>
  <si>
    <t>xx2759</t>
  </si>
  <si>
    <t>D.NO.7-70/1,RAMACHANDRA COLONY ,LINGANGULINGAMGUTLA COLONY,NARASARAVPETP.W.D COLONY,NARASARAVPETGUNTUR522601</t>
  </si>
  <si>
    <t>JYOTHULA SIVA RAJESH</t>
  </si>
  <si>
    <t>9700227555</t>
  </si>
  <si>
    <t>0007476840001924660</t>
  </si>
  <si>
    <t>xx8553</t>
  </si>
  <si>
    <t>3-20-4/9, ROAD NO.8RAJARAMMOHANRAONEAR AKSHRA SCHOOLKAKINADA533003</t>
  </si>
  <si>
    <t>Kakinada</t>
  </si>
  <si>
    <t>TANINKI RAMAKRISHNA</t>
  </si>
  <si>
    <t>9059539189</t>
  </si>
  <si>
    <t>0007476400007194071</t>
  </si>
  <si>
    <t>xx1470</t>
  </si>
  <si>
    <t>MIG 181 PMPALAM HOUSING BOARDCOLONY SANATIKA COLLEGE ROADVISAKHAPATNAM530041</t>
  </si>
  <si>
    <t>TIRUMALA VENKATESWARA RAO KUPPILI</t>
  </si>
  <si>
    <t>9951324617</t>
  </si>
  <si>
    <t>0007477770007750638</t>
  </si>
  <si>
    <t>D NO 1-68 BUDIVEEDHI POOSAPATIREGANEAR VIVEKANANDA ENGLISH MEDIUM SCHOOLVIZIANAGARAM535204</t>
  </si>
  <si>
    <t>ARUNA DEVI KAKARLA</t>
  </si>
  <si>
    <t>7075742216</t>
  </si>
  <si>
    <t>0007477350039290869</t>
  </si>
  <si>
    <t>xx5828</t>
  </si>
  <si>
    <t>#3-2-69A/1 RAMRAJYANAGAR BHAVANIPURAM -ROYAL STREET NEAR RATION SHOPVIJAYAWADA520012</t>
  </si>
  <si>
    <t>KARRI DEEPAK</t>
  </si>
  <si>
    <t>9573242611</t>
  </si>
  <si>
    <t>0007471200009984692</t>
  </si>
  <si>
    <t>xx9783</t>
  </si>
  <si>
    <t>31 33 73 RAJEEV NAGAR VUDA PARK PHASE 3DUVVADANR GLORIYA ENGLISH MEDIUM SCHOOLVISAKHAPATNAM530046</t>
  </si>
  <si>
    <t>SHAIK MAHAMMED GHOUSE</t>
  </si>
  <si>
    <t>9949290462</t>
  </si>
  <si>
    <t>0007470870003251834</t>
  </si>
  <si>
    <t>xx6509</t>
  </si>
  <si>
    <t>HNO14/705-3-23 RIZWAN MASIDHNO14/705-3-23NEAR RIZWAN MASJIDCUDDAPAH516001</t>
  </si>
  <si>
    <t>GOVINDU SEKHAR</t>
  </si>
  <si>
    <t>9494617982</t>
  </si>
  <si>
    <t>0007477350033544964</t>
  </si>
  <si>
    <t>xx7529</t>
  </si>
  <si>
    <t>D NO 4-243 ARUNDATHIWADA DAMARAMADUGUNEAR CHURCH BHUCHIREDDYPALEMNEAR CHURCHNELLORE524137</t>
  </si>
  <si>
    <t>SEETHARAMAIAH KONDAPALLI</t>
  </si>
  <si>
    <t>9010891891</t>
  </si>
  <si>
    <t>0005243736500060152</t>
  </si>
  <si>
    <t>xx0152</t>
  </si>
  <si>
    <t>7-270 ,ADAVULADEEVINIZAMPATNAM ,DIST GUNTUR ,GUNTUR522262</t>
  </si>
  <si>
    <t>BALAKRISHNA POJULA</t>
  </si>
  <si>
    <t>9701251688</t>
  </si>
  <si>
    <t>0007478830000587848</t>
  </si>
  <si>
    <t>xx5894</t>
  </si>
  <si>
    <t>S/O VENKATESWARLU VARADAIAHPALEMD.NO1-37D.NO1-37SULLURPETA517541</t>
  </si>
  <si>
    <t>A1 A2 PENDOTI VARI STREET TB ROAD, PENTHOTHI VARE STREET TENALI, GUNTURBACK SIDE AXIS BANKGUNTUR522201</t>
  </si>
  <si>
    <t>DO NO 136-4-125 ADITYA NAGAR 0 LINESHIVANAGARAJU COLNY,GUNTURNEAR BY OLD VENKATESWARA PUBLIC SCHOLLGUNTUR522002</t>
  </si>
  <si>
    <t>RAVICHANDRA A</t>
  </si>
  <si>
    <t>8341103159</t>
  </si>
  <si>
    <t>0005243736650393486</t>
  </si>
  <si>
    <t>xx3486</t>
  </si>
  <si>
    <t>33-17-3 FLAT NO 201 CHALAMALAVARI STREETKASTURIBAIPET VIJAYAWADA URBAN KRISHNAKRISHNA520010</t>
  </si>
  <si>
    <t>0007478950049846243</t>
  </si>
  <si>
    <t>xx3722</t>
  </si>
  <si>
    <t>SO B ABDUL KAREEM NEAR VIJAYA PUBLICSCHOOL AZAD NAGARNR WATER TANKANANTHAPUR515001</t>
  </si>
  <si>
    <t>D NO 15-13-211 1 6 LINE RTC COLONYNEAR RAJU HOTELNEAR PRASANNA ANJANEYA SWAMY TEMPLEGUNTUR522001</t>
  </si>
  <si>
    <t>PRODDATUR</t>
  </si>
  <si>
    <t>BHARGAV RAM GIDUTHURI</t>
  </si>
  <si>
    <t>7036381782</t>
  </si>
  <si>
    <t>0007470650000817294</t>
  </si>
  <si>
    <t>xx5306</t>
  </si>
  <si>
    <t>DNO 36-92-284/7 KANCHARAPALEMURVASI JUNCTION SRINIVASA NAGARNEAR TO NUKAMBHIKA TEMPLEVISAKHAPATNAM530008</t>
  </si>
  <si>
    <t>NO 5 359 TADIGADAPA KARMIKA NAGARKRISHNA VIJAYAWADAVIJAYAWADA521137</t>
  </si>
  <si>
    <t>D NO 1 14 1A BOGGULADIBBAVIZIANAGARAM  CONTONMENTNEAR RAILWAY STATION  VIZIANAGARAMVIZIANAGARAM535003</t>
  </si>
  <si>
    <t>0007470470000223165</t>
  </si>
  <si>
    <t>xx7074</t>
  </si>
  <si>
    <t>DOOR NO 23-229 NEHRU NAGAR NULL NULLNANDIGAMA KRISHNAMAIN ROADVIJAYAWADA521185</t>
  </si>
  <si>
    <t>RELLA RAVIKUMAR</t>
  </si>
  <si>
    <t>9705703417</t>
  </si>
  <si>
    <t>0007471200007597603</t>
  </si>
  <si>
    <t>xx3658</t>
  </si>
  <si>
    <t>DR NO-9-126 SRIKAKULAM ADAVARAM,AMPOLUADAVARAM,AMPOLUNEAR BY CHURCHSRIKAKULAM532404</t>
  </si>
  <si>
    <t>DOOR NO 19-4-149/24 BHAGATH SINGHCOLONY BHAGATH SINGHNR RAMANAIDU FILM SCHOOLCHITTOOR517501</t>
  </si>
  <si>
    <t>SANDEEPBABU BODA</t>
  </si>
  <si>
    <t>9704475007</t>
  </si>
  <si>
    <t>0007471200010192079</t>
  </si>
  <si>
    <t>xx8371</t>
  </si>
  <si>
    <t>HNO1167 BHOGAPURAM NULLNULLGUNGUGOLANUELURU534427</t>
  </si>
  <si>
    <t>12-67/4A RAJIV GANDHI COLONY BAPATLARAJIV GANDHI COLONY BAPATLANR WARD 3REPALLE522101</t>
  </si>
  <si>
    <t>GUNDLAPALLI SUBRAMANYAM</t>
  </si>
  <si>
    <t>9030646446</t>
  </si>
  <si>
    <t>0007478700105997939</t>
  </si>
  <si>
    <t>xx2512</t>
  </si>
  <si>
    <t>HOUSE NO 23556/1A KONGAREDDY PALLISATHYANARAYANAPURAMNEAR MUTHUMARIYAMMA GUDI VEEDHICHITTOOR517001</t>
  </si>
  <si>
    <t>MR CHENCHULA CHOWDA ANJANEYULU</t>
  </si>
  <si>
    <t>9010756517</t>
  </si>
  <si>
    <t>0007476300016619797</t>
  </si>
  <si>
    <t>xx9631</t>
  </si>
  <si>
    <t>FLOT NO 1THIRUMALA GIRI ESTATES PANYAMKURNOOL518112</t>
  </si>
  <si>
    <t>SO G DORASWAMY HNO2780 SANTHI NAGARCHITTOOR ROAD PILERUNULLPILERU517214</t>
  </si>
  <si>
    <t>MOHAMMAD RAHATHUNNISA</t>
  </si>
  <si>
    <t>9603573904</t>
  </si>
  <si>
    <t>0007478700128934554</t>
  </si>
  <si>
    <t>xx7714</t>
  </si>
  <si>
    <t>F NO 208 NEAR RAMALAKSHMI HOSPITALNEAR RAMALAKSHMI HOSPITALTANUKUTANUKU534301</t>
  </si>
  <si>
    <t>MRS VARADA NAGA SUDHARANI</t>
  </si>
  <si>
    <t>9110335979</t>
  </si>
  <si>
    <t>0007470810005616337</t>
  </si>
  <si>
    <t>xx2430</t>
  </si>
  <si>
    <t>H.NO -18/1/210 VENUGOPAL NAGARDIST ANANTAPURNEAR BY PVKK DEGREE COLLEGEANANTHAPUR515001</t>
  </si>
  <si>
    <t>RAMARANI AKULA</t>
  </si>
  <si>
    <t>7997227771</t>
  </si>
  <si>
    <t>0007478730000585562</t>
  </si>
  <si>
    <t>xx9867</t>
  </si>
  <si>
    <t>DOOR NO 5-21 SANAPPA COLONY SANAPPAMRPALLY POLICE STATIONNEAR MRPALLY POLICE STATIONTIRUPATI517502</t>
  </si>
  <si>
    <t>DNO 2221CHINAPETA BHIMAVARAMNEAR CHINAPETANEAR BY IDEA TOWERNARSAPUR534207</t>
  </si>
  <si>
    <t>SAIPRUDHVIRAJES SUNDARA</t>
  </si>
  <si>
    <t>9010888338</t>
  </si>
  <si>
    <t>0007478700028469263</t>
  </si>
  <si>
    <t>xx2606</t>
  </si>
  <si>
    <t>D NO 42332 SIVAJI STREETAC GARDEN RAJAHMUNDRYOPP RAILWAY STATIONRAJAHMUNDRY533101</t>
  </si>
  <si>
    <t>Rajahmundry</t>
  </si>
  <si>
    <t>MR GOGADA SANKAR</t>
  </si>
  <si>
    <t>9676506432</t>
  </si>
  <si>
    <t>0007476600030934274</t>
  </si>
  <si>
    <t>xx2890</t>
  </si>
  <si>
    <t>DOOR NO 11-9-10 SIMHAGIRI COLONYKANITHI ROAD GAJUWAKA VISAKHAPATNAMNEAR THUMPALAMMA TEMPLEVISAKHAPATNAM530026</t>
  </si>
  <si>
    <t>0007477770006282732</t>
  </si>
  <si>
    <t>TEJA KANGUNDI</t>
  </si>
  <si>
    <t>6305591337</t>
  </si>
  <si>
    <t>0007470810015217696</t>
  </si>
  <si>
    <t>xx8717</t>
  </si>
  <si>
    <t>H NO 2-39A, C MALLAVARAMC GOLLAPALLINEAR OLD WATER TANKTIRUPATI517505</t>
  </si>
  <si>
    <t>MR LAKSHMANARAO UPPADA</t>
  </si>
  <si>
    <t>6302927901</t>
  </si>
  <si>
    <t>0007476760011730768</t>
  </si>
  <si>
    <t>xx3965</t>
  </si>
  <si>
    <t>20 7 99 MUSALINAIDU PALEM SIDDESWARAM PEDAGANTYADAVISAKHAPATNAM530044</t>
  </si>
  <si>
    <t>HNO 11-12-33-1 NAVAB PETA COLONY,4THDIVISION,ELURU NAVAB PETA COLONY,4THDIVISION,ELURU - NEAR LOVE AELURU534001</t>
  </si>
  <si>
    <t>VEMULURU THARUNTEJA</t>
  </si>
  <si>
    <t>9160240666</t>
  </si>
  <si>
    <t>0007470810009501311</t>
  </si>
  <si>
    <t>xx0182</t>
  </si>
  <si>
    <t>POLIC LINE COLONYMAIN ROADNEAR ASR HOSPITALNELLORE524003</t>
  </si>
  <si>
    <t>MR SURESH BEHARA</t>
  </si>
  <si>
    <t>9492620130</t>
  </si>
  <si>
    <t>0007470870000435257</t>
  </si>
  <si>
    <t>xx5205</t>
  </si>
  <si>
    <t>31 6 8 ROAD NO 6SATHAVAHANA NAGAR PRMANAPALEMSRI CHAITANYA TECHNO SCHOOLVISAKHAPATNAM530046</t>
  </si>
  <si>
    <t>VENKATA SUBBARAO GUNTI</t>
  </si>
  <si>
    <t>8977402018</t>
  </si>
  <si>
    <t>0007471200012803533</t>
  </si>
  <si>
    <t>xx6661</t>
  </si>
  <si>
    <t>3-26SIVALAYAM ROADATHMAKURU - NEAR SIVALAYAMGUNTUR522503</t>
  </si>
  <si>
    <t>KOWSALYA PAGGALA</t>
  </si>
  <si>
    <t>9059829896</t>
  </si>
  <si>
    <t>0005369077355289242</t>
  </si>
  <si>
    <t>xx9242</t>
  </si>
  <si>
    <t>#41-28/7-119 TAMMINA POTHURAJU STREETRANIGARITHOTA KRISHNALANAKA - NR SAIKRISHNA520013</t>
  </si>
  <si>
    <t>GORLA KONDAIAH KONDAIAH</t>
  </si>
  <si>
    <t>9912262898</t>
  </si>
  <si>
    <t>0007478700080667853</t>
  </si>
  <si>
    <t>xx9555</t>
  </si>
  <si>
    <t>DO NO 1546 S/O MALA KONDAIAHNEAR ANKAM BAVI STREET KAVALI POSTPANTAKALUVA ROADKAVALI524201</t>
  </si>
  <si>
    <t>SUKASI RAMU</t>
  </si>
  <si>
    <t>9948225244</t>
  </si>
  <si>
    <t>0005256118802628966</t>
  </si>
  <si>
    <t>xx1893</t>
  </si>
  <si>
    <t>MOGULURU KANCHIKACHERLAKRISHNA521180</t>
  </si>
  <si>
    <t>AVALA RAJESH</t>
  </si>
  <si>
    <t>9030225799</t>
  </si>
  <si>
    <t>0007471150005904139</t>
  </si>
  <si>
    <t>xx0634</t>
  </si>
  <si>
    <t>DOOR NO 17 4 14RAVULAPETASTREET MANDAPETA EAST GODAVARINEAR BY JANARDAN MUNICIPAL SCHOOLMANDAPETA533308</t>
  </si>
  <si>
    <t>KARRI DURGA PRASAD REDDY</t>
  </si>
  <si>
    <t>9502339888</t>
  </si>
  <si>
    <t>0007477800006400750</t>
  </si>
  <si>
    <t>D NO 13-147/1 CHIVARI VEEDHI ANAPARTHI- NEAR DURGA TEMPLEMANDAPETA533342</t>
  </si>
  <si>
    <t>SHAIK TAHSEEN BANU</t>
  </si>
  <si>
    <t>7842277701</t>
  </si>
  <si>
    <t>0007478700080263729</t>
  </si>
  <si>
    <t>xx0799</t>
  </si>
  <si>
    <t>HNO-26-4-1131/6 HINDUPURRTC COLONYKURNOOL518001</t>
  </si>
  <si>
    <t>DUDEKULA DADAPEERA</t>
  </si>
  <si>
    <t>8247559455</t>
  </si>
  <si>
    <t>0007477800008959159</t>
  </si>
  <si>
    <t>KELLOGG INDIA PVT LTD 1355 CASHEW BOULEVARD SECTOR 2 SRICITY SATYAVEDU MANDAL SRICITYSULLURPETA517588</t>
  </si>
  <si>
    <t>MR MOHAMMED KAFEEL</t>
  </si>
  <si>
    <t>6529190041806009</t>
  </si>
  <si>
    <t>SGR RECEIVED 4430/- 16TH MAY''26</t>
  </si>
  <si>
    <t>MS LAJO LAKSHMAN</t>
  </si>
  <si>
    <t>4035622946281005</t>
  </si>
  <si>
    <t>MR Pranav P M</t>
  </si>
  <si>
    <t>4315811856112000</t>
  </si>
  <si>
    <t>MS SREEJA BILLA</t>
  </si>
  <si>
    <t>4375513874967004</t>
  </si>
  <si>
    <t>MR I RAVI KUMAR</t>
  </si>
  <si>
    <t>4375519386397002</t>
  </si>
  <si>
    <t>MR Milugonda Pradeep Kumar</t>
  </si>
  <si>
    <t>4315812155612005</t>
  </si>
  <si>
    <t>KOTI/SUDHAKAR</t>
  </si>
  <si>
    <t>Mr PAVAN KUMAR DARISA</t>
  </si>
  <si>
    <t>4315811767585005</t>
  </si>
  <si>
    <t>Mr. TKARUPPIAH K RAJA</t>
  </si>
  <si>
    <t>4477465355496002</t>
  </si>
  <si>
    <t>MS ANUKARUNA N</t>
  </si>
  <si>
    <t>6529190004349005</t>
  </si>
  <si>
    <t>Mr Koppula Siva</t>
  </si>
  <si>
    <t>4748460847568008</t>
  </si>
  <si>
    <t>MR KIRAN RS</t>
  </si>
  <si>
    <t>4315812932453004</t>
  </si>
  <si>
    <t>MR HARI PRASATH</t>
  </si>
  <si>
    <t>4035623242781003</t>
  </si>
  <si>
    <t>MS KOTTAKKI SAILAJAKUMARI</t>
  </si>
  <si>
    <t>8919909081</t>
  </si>
  <si>
    <t>SGR RECEIVED 2600/- 6TH APR''26</t>
  </si>
  <si>
    <t>"71-31-556,TRINADHAPURAM"  "MAIKAPURAM,VISAKHAPATNAM"     NEAR HANUMAN TEMPLE  VISHAKAPATNAM  530011</t>
  </si>
  <si>
    <t>MR LAKSHMAN KUAMR KUMAR</t>
  </si>
  <si>
    <t>9390790300</t>
  </si>
  <si>
    <t>5241933613991009</t>
  </si>
  <si>
    <t>SGR RECEIVED 4200/- 9TH ARR'26</t>
  </si>
  <si>
    <t>DRNO 6-19-10/A  EASTPOINT COLONY CHINNAWARTER     NR SAI BABA TEMPLE  VISHAKAPATNAM  530017</t>
  </si>
  <si>
    <t>MR Chettipilli Santosh Bhargav</t>
  </si>
  <si>
    <t>9000500809</t>
  </si>
  <si>
    <t>4315811997118007</t>
  </si>
  <si>
    <t>SGR RECEIVED 3639/0 7TH APR''26</t>
  </si>
  <si>
    <t>49-54-7/17 F NO 104 GEETHA MANSION 6  BALAYYA SASTRI LAYOUT SEETHAMMADHARA  SAI BABA MHATAM STREET   SAI BABA MHATAM ARCH ROAD  VISHAKAPATNAM  530013</t>
  </si>
  <si>
    <t>S.DHARA</t>
  </si>
  <si>
    <t>MR H Amann Ayub</t>
  </si>
  <si>
    <t>9908657257</t>
  </si>
  <si>
    <t>4315811801877004</t>
  </si>
  <si>
    <t>ESWAR</t>
  </si>
  <si>
    <t>SGR RECEIVED 10K 10TH APR''26// 9410/- PENDING//SGR RECEIVED 9400/-</t>
  </si>
  <si>
    <t>1-4-19Abaad Petapkd roadAnantapurHINDUPUR515201</t>
  </si>
  <si>
    <t>KADAPA</t>
  </si>
  <si>
    <t>RAJA KOORM</t>
  </si>
  <si>
    <t>9849156980</t>
  </si>
  <si>
    <t>0007477800010832592</t>
  </si>
  <si>
    <t>F NO 102 PASA LAVANTA 86318SHIRIDHI SAI MARG JN ROADOPP GVK HOSPITALRAJAHMUNDRY</t>
  </si>
  <si>
    <t>MAHESH ADAVENI</t>
  </si>
  <si>
    <t>0007478950007567963</t>
  </si>
  <si>
    <t>xx3234</t>
  </si>
  <si>
    <t>FLAT NO402 SIVA VASANTA VIHAR AMARAVATHI ROAD NO 3 KANURU VIJAYAWADANEAR KENNEDY SCHOOLVIJAYAWADA</t>
  </si>
  <si>
    <t>MRS UPPALA BHARATHI BHARATHI</t>
  </si>
  <si>
    <t>0007477800008308035</t>
  </si>
  <si>
    <t>SGR RECEIVED 5221/- 7TH APR''26</t>
  </si>
  <si>
    <t>3-66E VUYYURUVARIPALEM ROADVUYYURUVARIPALEM ROAD ICE FACTORYOPPOSITE MORLAVARIPALEM PETERUGUNTUR</t>
  </si>
  <si>
    <t>SHABEENA MOGAL</t>
  </si>
  <si>
    <t>0007478830006459455</t>
  </si>
  <si>
    <t>xx7009</t>
  </si>
  <si>
    <t>D NO 2532511 A BLOCKPRAGATHI NAGAR 9TH STREET NELLORENEAR BY PODALAKURU ROADNELLORE</t>
  </si>
  <si>
    <t>PHANITEJA NADAKUDITI</t>
  </si>
  <si>
    <t>0007477800007663513</t>
  </si>
  <si>
    <t>DNO4130410 BAPANAIAH NAGARKRISHNALANKA RANIGARITHOTA  SRINEAR TO SRI KRISHNA DEVARAYA SCHOOLVIJAYAWADA</t>
  </si>
  <si>
    <t>SAITEJA BOGGALA</t>
  </si>
  <si>
    <t>0007470470001903823</t>
  </si>
  <si>
    <t>xx5458</t>
  </si>
  <si>
    <t>D NO20530 KORLAGUNTASANJAYGANDHI COLONYNEAR MAIN ROADTIRUPATI</t>
  </si>
  <si>
    <t>MR. SRINIVASA RAO M</t>
  </si>
  <si>
    <t>25-34-17 VADA VEEDHI  I TOWN    NR LAXMI TALKIES  VISHAKAPATNAM  530001</t>
  </si>
  <si>
    <t>Mr K Ajithkumar M</t>
  </si>
  <si>
    <t>4375515580997001</t>
  </si>
  <si>
    <t>Mr MAHIPAL Musku Reddy</t>
  </si>
  <si>
    <t>4375519467891006</t>
  </si>
  <si>
    <t>MR K JOHN K LEEBERT K</t>
  </si>
  <si>
    <t>4375516896153008</t>
  </si>
  <si>
    <t>Mr Pujala Srinivasulu</t>
  </si>
  <si>
    <t>4375519672545009</t>
  </si>
  <si>
    <t>Ms KUMARI Khushbu Mehta</t>
  </si>
  <si>
    <t>4375519156567008</t>
  </si>
  <si>
    <t>MR MOHAMMED FAROOQ</t>
  </si>
  <si>
    <t>4375512077466004</t>
  </si>
  <si>
    <t>MR NADEEM PASHA</t>
  </si>
  <si>
    <t>4375519144264007</t>
  </si>
  <si>
    <t>MR SAKTHIVEL S</t>
  </si>
  <si>
    <t>4375512039574002</t>
  </si>
  <si>
    <t>MR SURESH R</t>
  </si>
  <si>
    <t>4375519152125009</t>
  </si>
  <si>
    <t>MR SARAVANAN S</t>
  </si>
  <si>
    <t>4748468143399002</t>
  </si>
  <si>
    <t>MRS BIJINA ANNA MATHEW</t>
  </si>
  <si>
    <t>4375512027714008</t>
  </si>
  <si>
    <t>MR SAPPA SAI KIRAN</t>
  </si>
  <si>
    <t>4035623356616003</t>
  </si>
  <si>
    <t>Mr Marri Prashanth</t>
  </si>
  <si>
    <t>9542421614</t>
  </si>
  <si>
    <t>4375518946206018</t>
  </si>
  <si>
    <t>"BAPUJI NAGAR,7-4-211/2"  "FLR,GODAVARIKHANI, MAREDUPAKA,RAMAGUNDAM"   Karimnagar TNG 505209</t>
  </si>
  <si>
    <t>KARIM NAGAR</t>
  </si>
  <si>
    <t>SRINIVAS NEW</t>
  </si>
  <si>
    <t>FLAT 510 FAMES ROYAL RESIDENCYBRINDA NAGARDHARMAPURI COLONYVISAKHAPATNAMVISAKHAPATNAM 530041</t>
  </si>
  <si>
    <t>ADIREDDI  GOPI</t>
  </si>
  <si>
    <t>1800000015357320</t>
  </si>
  <si>
    <t>XXXXXXXXXXXX0324</t>
  </si>
  <si>
    <t>53 19 6 SRI SAI SUPPLIER,CHAITANYA NAGAR, MADDILAPAL NEARGAYATRI SCHOOLVISHAKHAPATNAMVISAKHAPATNAM530013</t>
  </si>
  <si>
    <t>GOSANGI  SUJATHA</t>
  </si>
  <si>
    <t>073000000027529</t>
  </si>
  <si>
    <t>XXXXXXXXXXXX8497</t>
  </si>
  <si>
    <t>LEELA PRASAD</t>
  </si>
  <si>
    <t>G SUJATHA C/O ALHINAMSBABUD NO 5333 SUBBARAOPETAKATHERURAJAHMUNDRYRAJAHMUNDRY533105</t>
  </si>
  <si>
    <t>NAIDU  AMMAJI</t>
  </si>
  <si>
    <t>1800000005410592</t>
  </si>
  <si>
    <t>XXXXXXXXXXXX3887</t>
  </si>
  <si>
    <t>RAMALAYALAM STREETLANKELAPALEM VILLAGEVISAKHAPATNAMVISAKHAPATNAM531019</t>
  </si>
  <si>
    <t>KARTHIK  GUDIPUDI</t>
  </si>
  <si>
    <t>102000022592072</t>
  </si>
  <si>
    <t>DURGA PRASAD</t>
  </si>
  <si>
    <t>SHIVA(DURGA PRASAD)</t>
  </si>
  <si>
    <t>CUSTOMER LAPTOP HANDOVER ABOUT LOADING AMOUNT</t>
  </si>
  <si>
    <t>LAKSHMI</t>
  </si>
  <si>
    <t>GANESH/GTR , 7013441521</t>
  </si>
  <si>
    <t>NEAR SRI MEDHA CAMPUS BRODIPET 6/9,,,,GUNTUR,522002</t>
  </si>
  <si>
    <t>Mr R SREEDHAR</t>
  </si>
  <si>
    <t>5241930537485001</t>
  </si>
  <si>
    <t>MS BOYAPATI HARIKA</t>
  </si>
  <si>
    <t>4748469448541009</t>
  </si>
  <si>
    <t>Mr ANBUSELVAM S</t>
  </si>
  <si>
    <t>5241930734986009</t>
  </si>
  <si>
    <t>MR SAKE SREEKANTH</t>
  </si>
  <si>
    <t>4748469564912000</t>
  </si>
  <si>
    <t>MR AKULA LAKSHMIDEVI</t>
  </si>
  <si>
    <t>4748469419005000</t>
  </si>
  <si>
    <t>MR SIRIVELU GANGADHARA</t>
  </si>
  <si>
    <t>4748469406228003</t>
  </si>
  <si>
    <t>MR NARESH KUMAR GOLLA</t>
  </si>
  <si>
    <t>4375519289227009</t>
  </si>
  <si>
    <t>MS REKULAPALLY RAJINI</t>
  </si>
  <si>
    <t>4748469448245007</t>
  </si>
  <si>
    <t>MS SULAIKHA SULAIKHA</t>
  </si>
  <si>
    <t>4375513573683001</t>
  </si>
  <si>
    <t>MR MANJULA NAVEEN</t>
  </si>
  <si>
    <t>4748469523121008</t>
  </si>
  <si>
    <t>Mr. C MURALEEDHARAN</t>
  </si>
  <si>
    <t>4477477113723007</t>
  </si>
  <si>
    <t>MS SUMAN DUTTA</t>
  </si>
  <si>
    <t>9700932283</t>
  </si>
  <si>
    <t>4748469556544001</t>
  </si>
  <si>
    <t>KALYAN</t>
  </si>
  <si>
    <t>SGR RECEIVED 16970/- 13TH APR'26</t>
  </si>
  <si>
    <t>"FLAT NO.302,3RD FLOOR JUGLA RESIDENCE""BRUNDAVANAM COLONY,GAYATRI NAGAR"NEAR GODAVARI HOMES SUCHITRANEAR GODAVARI HOMESHYDERABADTNG500055</t>
  </si>
  <si>
    <t>9989883401</t>
  </si>
  <si>
    <t>"86-8,MOSAYYAPETA,MOSAYYAPETA,ATCHUTAPURA"  MOSAYYAPETA    NEAR VINYAKA TEMPLE  ANAKAPALLE  531011</t>
  </si>
  <si>
    <t>MR GONDU BHASKAR</t>
  </si>
  <si>
    <t>8179662018</t>
  </si>
  <si>
    <t>5241934181043017</t>
  </si>
  <si>
    <t>DNO 65-3-185-1 SRI HARIPURAM      HANUMAN NAGAR  VISHAKAPATNAM  530011</t>
  </si>
  <si>
    <t>SAI SIR</t>
  </si>
  <si>
    <t>MR SIDDAIAHGARI RAKESH</t>
  </si>
  <si>
    <t>4748469486644004</t>
  </si>
  <si>
    <t>ESWAR // 7799440558</t>
  </si>
  <si>
    <t>"1-5-,JANGAM JANGAM,THATRAKAL,THATRAKAL"...NEAR ATMANANTAPUR515832</t>
  </si>
  <si>
    <t>MR Sourav Das</t>
  </si>
  <si>
    <t>4315814883964005</t>
  </si>
  <si>
    <t>MR Uppu Srikar</t>
  </si>
  <si>
    <t>4315814822716003</t>
  </si>
  <si>
    <t>MR V UMASHANKAR</t>
  </si>
  <si>
    <t>4375517813002013</t>
  </si>
  <si>
    <t>MS Shylaja K</t>
  </si>
  <si>
    <t>4315814375554009</t>
  </si>
  <si>
    <t>R MANAKCHAND BOTHE</t>
  </si>
  <si>
    <t>4315812859060014</t>
  </si>
  <si>
    <t>MR BHEMMAIAH I P</t>
  </si>
  <si>
    <t>4375516463892004</t>
  </si>
  <si>
    <t>MR Mridul Bedi</t>
  </si>
  <si>
    <t>4315815309581000</t>
  </si>
  <si>
    <t>MR Srinivasan R</t>
  </si>
  <si>
    <t>4315813787442001</t>
  </si>
  <si>
    <t>MS NARMADA J</t>
  </si>
  <si>
    <t>4315815076370009</t>
  </si>
  <si>
    <t>MR MOHD LAIQ ULLAH</t>
  </si>
  <si>
    <t>4315814209508015</t>
  </si>
  <si>
    <t>SGR RECEIVED 7K 21ST APR''26//PENDIING 22301// SGR RECEIVED 5K 7TH MAY''26//PENDING 17301/-// SGR RECEIVED 12000 21ST MAY''26// PENDING 5301/-</t>
  </si>
  <si>
    <t>35-4-148  VIJAYAKANAKADURGA COLONY ROAD NUMBER 2  GOPALPUR HANAMKONDA SBI BANK OPP WARANGAL TNG 506002</t>
  </si>
  <si>
    <t>MR. RAKESH NATH</t>
  </si>
  <si>
    <t>9618121114</t>
  </si>
  <si>
    <t>SGR RECEIVED 50K 11TH MAY''26 APRIL MONTH 14470/- REMAINING BALANCE MAR MONTH FUNDING// SGR RECEIVED 21000/- 12TH MAY''26</t>
  </si>
  <si>
    <t>"G1,1st Floor,Aspen Castle"  ",Nowroji Road"  Maharanipeta  SBI Bank  VISAKHAPATNAM  530002</t>
  </si>
  <si>
    <t>MAHARANIPETA</t>
  </si>
  <si>
    <t>MR RAVURI KRISHNA RAO</t>
  </si>
  <si>
    <t>8978789689</t>
  </si>
  <si>
    <t>4315814491006009</t>
  </si>
  <si>
    <t>SGR RECEIVED 8580/- 15TH APR''26//</t>
  </si>
  <si>
    <t>7.10.PRADHAMIKA.PATASHALA.ROAD....  VELPURU  ..VELPURU  VELPURU  NARASAPURAM  522410</t>
  </si>
  <si>
    <t>NARSAPURAM</t>
  </si>
  <si>
    <t>MS Dharmana Renuka</t>
  </si>
  <si>
    <t>7032390085</t>
  </si>
  <si>
    <t>4315814120323007</t>
  </si>
  <si>
    <t>MADHURWADA.  KRISHNA.NAGAR  DMART.OPPOSITE.  ANATHA JEWELLERY  VISHAKAPATNAM  530048</t>
  </si>
  <si>
    <t>MR BOBBILI HARIKRISHNA</t>
  </si>
  <si>
    <t>8096685444</t>
  </si>
  <si>
    <t>4315814740028002</t>
  </si>
  <si>
    <t>SGR RECEIVED SAME 3600/- REMAINING WE ARE FUNDED// PENDING ONLY 6920/RECEIPT 10520// SGR RECEIVED 6500 25TH APR''26//PENDING 420/-</t>
  </si>
  <si>
    <t>5-106 A  MALLAMPALEM    CHOWDUVADA  ANAKAPALLE  531034</t>
  </si>
  <si>
    <t>MR Lavati Ramana</t>
  </si>
  <si>
    <t>9866603630</t>
  </si>
  <si>
    <t>4315815023418000</t>
  </si>
  <si>
    <t>SGR RECEIVED 4920/- 24TH APR''26</t>
  </si>
  <si>
    <t>8.75  ambativalasa  YATA.VEEDHI  Vizianagaram  VIZIANAGARAM  535003</t>
  </si>
  <si>
    <t>MR SUDHIR TUMMURI</t>
  </si>
  <si>
    <t>4315813717402000</t>
  </si>
  <si>
    <t>MR PORANDLA RAVIVARMA</t>
  </si>
  <si>
    <t>4315814080957000</t>
  </si>
  <si>
    <t>MR Akshaykumar TS</t>
  </si>
  <si>
    <t>4315812621977008</t>
  </si>
  <si>
    <t>MR Giri Sandra</t>
  </si>
  <si>
    <t>4315814719752004</t>
  </si>
  <si>
    <t>MR Haris O</t>
  </si>
  <si>
    <t>4315813671042008</t>
  </si>
  <si>
    <t>MR ARUNHITESH MANOGARAN</t>
  </si>
  <si>
    <t>4315814273800009</t>
  </si>
  <si>
    <t>MR Banothu Abhishek Nayak</t>
  </si>
  <si>
    <t>4315815208151004</t>
  </si>
  <si>
    <t>MR SAYYED MOHAMMAD</t>
  </si>
  <si>
    <t>4315815927853005</t>
  </si>
  <si>
    <t>MR Nakka Sravan Kumar</t>
  </si>
  <si>
    <t>4315814596074001</t>
  </si>
  <si>
    <t>MR MINDU DURGA RAO</t>
  </si>
  <si>
    <t>4315814109686002</t>
  </si>
  <si>
    <t>MR BHAVITH T</t>
  </si>
  <si>
    <t>4315812702714007</t>
  </si>
  <si>
    <t>MR SPHATIKA CHANDRAR</t>
  </si>
  <si>
    <t>4315814027108006</t>
  </si>
  <si>
    <t>MR Agilan T</t>
  </si>
  <si>
    <t>4315814813579006</t>
  </si>
  <si>
    <t>MR MOHINUDDEEN UDDEEN</t>
  </si>
  <si>
    <t>4315815393539005</t>
  </si>
  <si>
    <t>MR ABDUL NAFIH KM</t>
  </si>
  <si>
    <t>4035621549208001</t>
  </si>
  <si>
    <t>MR ESLAVATH VISWANADHA VISWANADHA</t>
  </si>
  <si>
    <t>4315814988739005</t>
  </si>
  <si>
    <t>MR Vipin VA</t>
  </si>
  <si>
    <t>4315813228297006</t>
  </si>
  <si>
    <t>MR. ARJUN SHABU</t>
  </si>
  <si>
    <t>4375515528915024</t>
  </si>
  <si>
    <t>MR GANGADI NAGARAJU</t>
  </si>
  <si>
    <t>4315813691132011</t>
  </si>
  <si>
    <t>MR Muhammed Nishad</t>
  </si>
  <si>
    <t>4315813788392015</t>
  </si>
  <si>
    <t>MR NERUSU KISHORE</t>
  </si>
  <si>
    <t>9010109284</t>
  </si>
  <si>
    <t>4315813133371003</t>
  </si>
  <si>
    <t>RANJITH/TS , 7794980652</t>
  </si>
  <si>
    <t>23-342/1  NUZVID  MR APPARAO COLONY KRISHNA GUDIVADA ANP 521201</t>
  </si>
  <si>
    <t>MR Chakali Laleppa</t>
  </si>
  <si>
    <t>9701386854</t>
  </si>
  <si>
    <t>4315813453701003</t>
  </si>
  <si>
    <t>SRIKANTH/KDP</t>
  </si>
  <si>
    <t>SGR RECEIVED 22450/- 15TH APR''26</t>
  </si>
  <si>
    <t>3 148  Chinna Bavi Chinna Bavi Anantapur ANANTAPUR ANP 515832</t>
  </si>
  <si>
    <t>ANANTAPUR</t>
  </si>
  <si>
    <t>DURGA PRASASD</t>
  </si>
  <si>
    <t>MR SATYASURESH VV KOTIPALLI</t>
  </si>
  <si>
    <t>7702233044</t>
  </si>
  <si>
    <t>4315813883418004</t>
  </si>
  <si>
    <t>RENUKA</t>
  </si>
  <si>
    <t>DURGA PRASAD RECEIVED 13158/-23RD APR'26</t>
  </si>
  <si>
    <t>.  METTAKURU  G N NAIDU COLONY YANAM METTAKUR KAKINADA ANP 533464</t>
  </si>
  <si>
    <t>Mr VIJAYA BHASKAR TADELA</t>
  </si>
  <si>
    <t>9591844474</t>
  </si>
  <si>
    <t>SGR RECEIVED 23610/- 3RD MAY''26</t>
  </si>
  <si>
    <t>"1/53,MANISH RATNA APARTMENTS,3RD CROSS,"  "NEAR CCD,29TH MAIN,NS PALYA,BTM 2ND STAGE"      BANGALORE  560068</t>
  </si>
  <si>
    <t>MR Nadipalli Srinu</t>
  </si>
  <si>
    <t>8125258887</t>
  </si>
  <si>
    <t>4315814751147006</t>
  </si>
  <si>
    <t>10.232..plot.no.54.  visalakshi.nagar  ..visalakshi.nagar  near Cooperative Bank  VISHAKAPATNAM  530043</t>
  </si>
  <si>
    <t>MR SRIDHARA VNSS SRINIVASU</t>
  </si>
  <si>
    <t>9966733385</t>
  </si>
  <si>
    <t>4315812662241009</t>
  </si>
  <si>
    <t>11 90 40 CHANDRA RESIDENCY  404 SRAMASAKTHI NAGAR  CHINNAMUSHIDIWADA  MAIN ROAD PENDURTHY  VISHAKAPATNAM  530051</t>
  </si>
  <si>
    <t>PENDHURTHI</t>
  </si>
  <si>
    <t>Mr CHITTIBABU KANDIVALASA</t>
  </si>
  <si>
    <t>7993865255</t>
  </si>
  <si>
    <t>4315814585655000</t>
  </si>
  <si>
    <t>"D NO:43-1-13, RAILWAY NEW COLONY"  CHAKALI PETA      VISHAKAPATNAM  530016</t>
  </si>
  <si>
    <t>NEW COLONY</t>
  </si>
  <si>
    <t>SANDIPAMA  DEVA SUNDAR PRASAD BABU</t>
  </si>
  <si>
    <t>9603092558</t>
  </si>
  <si>
    <t>102000026891405</t>
  </si>
  <si>
    <t>XXXXXXXXXXXX4542</t>
  </si>
  <si>
    <t>SGR RECEIVED TOTAL 4200/- THIS 3 CUSTOMER LOADING AMOUNT 4TH MAY''26</t>
  </si>
  <si>
    <t>D NO 40 1 110 NARA CHANDRABABU,NAIDU COLONY,BENZ CIRCLE,VIJAYAWADA 2307 ANDHRA PRADESH,,VIJAYAWADA,520010</t>
  </si>
  <si>
    <t>BOGI SANDEEP  KUMAR</t>
  </si>
  <si>
    <t>8555041744</t>
  </si>
  <si>
    <t>102000024808419</t>
  </si>
  <si>
    <t>XXXXXXXXXXXX7727</t>
  </si>
  <si>
    <t>LAXMAN/SKLM , 9966690320</t>
  </si>
  <si>
    <t>14-9-3/4,DANDI VEEDI,SRIKAKULAM,SRIKAKULAM,,,VISAKHAPATNAM,532001</t>
  </si>
  <si>
    <t>MARIKA  DEVI</t>
  </si>
  <si>
    <t>102000029102289</t>
  </si>
  <si>
    <t>XXXXXXXXXXXX8065</t>
  </si>
  <si>
    <t>RAMU/VSP , 9703803858</t>
  </si>
  <si>
    <t>19 246 UMA PARLOUR, SHRIKRISHNA PURAM,,,,VISAKHAPATNAM,530040</t>
  </si>
  <si>
    <t>KALIYA VASANTHA RAJ</t>
  </si>
  <si>
    <t>102000018104767</t>
  </si>
  <si>
    <t>XXXXXXXXXXXX4703</t>
  </si>
  <si>
    <t>LEELAPRASAD/RJY , 6281320071</t>
  </si>
  <si>
    <t>82-15-5, 4TH STREET, BURMA COLONY,,RAJAHMUNDRY (URBAN)BURMA COLONY,,,Rajahmundry,533101</t>
  </si>
  <si>
    <t>Mrs SANDHYA RANI PATTNAIK</t>
  </si>
  <si>
    <t>5241939131484005</t>
  </si>
  <si>
    <t>FLAT NO. 402 ,PLOT NO 230/A 230 B SAI KRISHNA RESIDENCY,BANDARI LAYOUT, BEHIND HANUMAN TEMPLE,NIZAMPET VILLAGE, QUTHUBULLAPUR 500090</t>
  </si>
  <si>
    <t>NIZAMPET</t>
  </si>
  <si>
    <t>MR GOGULA TEJA</t>
  </si>
  <si>
    <t>4035621822315002</t>
  </si>
  <si>
    <t>MR SHIVANNA R</t>
  </si>
  <si>
    <t>4035621902922008</t>
  </si>
  <si>
    <t>Mrs INDHUMATHI MURUGAN</t>
  </si>
  <si>
    <t>4035620566558009</t>
  </si>
  <si>
    <t>Ms. ASIF SYED ASIF HUSSAIN</t>
  </si>
  <si>
    <t>4102021169555005</t>
  </si>
  <si>
    <t>MR SARATH V</t>
  </si>
  <si>
    <t>4035620397291002</t>
  </si>
  <si>
    <t>MR DEVA S</t>
  </si>
  <si>
    <t>4035620621964010</t>
  </si>
  <si>
    <t>MRS Kumar</t>
  </si>
  <si>
    <t>4035621897330001</t>
  </si>
  <si>
    <t>MS SALEENA BEEGAM</t>
  </si>
  <si>
    <t>4035621860194004</t>
  </si>
  <si>
    <t>MS NISHA L</t>
  </si>
  <si>
    <t>4035621511860003</t>
  </si>
  <si>
    <t>MR Albin Jiji</t>
  </si>
  <si>
    <t>4315814548603006</t>
  </si>
  <si>
    <t>MR CHINTHAPALLE AJAY KUMAR</t>
  </si>
  <si>
    <t>4035620929580005</t>
  </si>
  <si>
    <t>MR GORSU SATISH KUMAR</t>
  </si>
  <si>
    <t>4035621637388004</t>
  </si>
  <si>
    <t>MR PRASAD BALASUBRAMANYAM</t>
  </si>
  <si>
    <t>4102021074182010</t>
  </si>
  <si>
    <t>MR NARENDIRAN E E</t>
  </si>
  <si>
    <t>4102021080759009</t>
  </si>
  <si>
    <t>Mr Vinod Kumar</t>
  </si>
  <si>
    <t>4748467717066005</t>
  </si>
  <si>
    <t>Mr Sukumara.</t>
  </si>
  <si>
    <t>4375518851214015</t>
  </si>
  <si>
    <t>MR SUBHASHIS JENA</t>
  </si>
  <si>
    <t>4035620457829006</t>
  </si>
  <si>
    <t>MR EMMANUEL ROBINSON</t>
  </si>
  <si>
    <t>4085110122311001</t>
  </si>
  <si>
    <t>MR LOGANATHAN C</t>
  </si>
  <si>
    <t>4315811829945015</t>
  </si>
  <si>
    <t>MS RUDRARAPU MOUNIKA</t>
  </si>
  <si>
    <t>9505350929</t>
  </si>
  <si>
    <t>4085110095738016</t>
  </si>
  <si>
    <t>SGR RECEIVED 5200/- 7TH MAY''26</t>
  </si>
  <si>
    <t>3-169ANNA NAGAR NARAPALLESAMSKRUTHI GHATKESARNEAR RAJIV SWAGRUHA POCHARAMHYDERABAD500088</t>
  </si>
  <si>
    <t>MR T RAVINDER REDDY</t>
  </si>
  <si>
    <t>7893647743</t>
  </si>
  <si>
    <t>4902471008916003</t>
  </si>
  <si>
    <t>SGR RECEIVED 11720/- 18TH APR''26</t>
  </si>
  <si>
    <t>3 4 784 785 BARKATPURA HIMAYATH NAGAR203 HIMAYAT NAGAR 5STN KACHIGUDAHYDERABAD500027</t>
  </si>
  <si>
    <t>KACHIGUDA</t>
  </si>
  <si>
    <t>MR SHAIK ISMAIL</t>
  </si>
  <si>
    <t>4102021122525004</t>
  </si>
  <si>
    <t>SGR RECEIVED 4200/- 18TH APR''26</t>
  </si>
  <si>
    <t>M BASHA // 9703186621</t>
  </si>
  <si>
    <t>H NO 199 1 STAN PURAMMAMATA NAGAR CHAITANYA TECHNO SCHOOLKURNOOLKURNOOL518006</t>
  </si>
  <si>
    <t>TUPALLISYED MAHAMOOD BASHA</t>
  </si>
  <si>
    <t>4035620139957001</t>
  </si>
  <si>
    <t>NAYAB // 9063080021</t>
  </si>
  <si>
    <t>"D.NO 11/457, RAJAJI STREET""PRODDATUR, CUDDAPAH,""CUDDAPAH,DIST"NEAR BY VASU PHOTO STUDIOPRODDATUR516360</t>
  </si>
  <si>
    <t>THATIKONDA HARISH</t>
  </si>
  <si>
    <t>4035620961318009</t>
  </si>
  <si>
    <t>TELANGANA ANIL APRIL SALARY CUTTING(30-04-26)</t>
  </si>
  <si>
    <t xml:space="preserve">8-65/1 SHALAPALLI   KARIMNAGAR KARIMNAGAR TNG 505188 </t>
  </si>
  <si>
    <t>SANGINADAM SATEESH</t>
  </si>
  <si>
    <t>4035620319991002</t>
  </si>
  <si>
    <t>SGR RECEIVED 6000/- 12TH MAY''26//PENDING 3702</t>
  </si>
  <si>
    <t>NAYAB/PRODDATUR , 6305351203</t>
  </si>
  <si>
    <t xml:space="preserve">"4-509-1 SUPER BAZAR ROAD,PRODDATUR,.,.,."     CUDDAPAH ANP 516360 </t>
  </si>
  <si>
    <t>MR MOHAMMAD SAMEER</t>
  </si>
  <si>
    <t>4315810231578000</t>
  </si>
  <si>
    <t>H NO 12 11 1903AMBER NAGARWARASIGUDANEAR SILAVER TAILER LANEHyderabadTNG500061</t>
  </si>
  <si>
    <t>MR Chandan Kumar Chaudhary</t>
  </si>
  <si>
    <t>9014997870</t>
  </si>
  <si>
    <t>4315814226687008</t>
  </si>
  <si>
    <t>NIRMALA.NILAYAM..H.NO.1.98.85.8..SRI.SAI.NAGAR..AYYAPPA.SOCIETY.MADHAPUR.NEAR HAPPY PET CLINICHYDERABADTNG500081</t>
  </si>
  <si>
    <t>MR NAKKA SRINIVAS GOUD</t>
  </si>
  <si>
    <t>9849533588</t>
  </si>
  <si>
    <t>4501721374150008</t>
  </si>
  <si>
    <t>TELANGANA RAHUL MARCH 21-TO APRIL 20TH BETWEEN SALARY CUTTING</t>
  </si>
  <si>
    <t>H NO 1-98  KUMMARI GUDA KUMMARI GUDA RANGAREDDI WANAPARTHY TNG  509217</t>
  </si>
  <si>
    <t>Mr TANGELLA RAMARAJU</t>
  </si>
  <si>
    <t>8125860742</t>
  </si>
  <si>
    <t>4501720987870002</t>
  </si>
  <si>
    <t>Rahul</t>
  </si>
  <si>
    <t>SGR RECEIVED 5K/- 20TH APR''26//PENDING 4400// SGR RECEIVED 4400/- 22ND APR''26</t>
  </si>
  <si>
    <t>"2-71,LACHAGUDEM,CHINTHAKANI"     KHAMMAM TNG  507208</t>
  </si>
  <si>
    <t>MR. GOKULA RAVIKANTH RAVIKANTH</t>
  </si>
  <si>
    <t>9885615350</t>
  </si>
  <si>
    <t>5241931139431005</t>
  </si>
  <si>
    <t>SGR RECEIVED 9850/- 20TH APR''26//SWIPED</t>
  </si>
  <si>
    <t>SRIKANTH</t>
  </si>
  <si>
    <t>H NO 8 3 228/979 RAHMATH NAGARYOUSUFGUDAOPP SHANTH VIDYA NIKETHAN HIGH SCHOOLHyderabad500045</t>
  </si>
  <si>
    <t>MR PAVANKUMAR LAXMAN BHANDARI</t>
  </si>
  <si>
    <t>4501720998597008</t>
  </si>
  <si>
    <t>PRATTAPRAM</t>
  </si>
  <si>
    <t>4501720826601006</t>
  </si>
  <si>
    <t>Mr VAMSI KRISHNA AKELLA</t>
  </si>
  <si>
    <t>4315812241637008</t>
  </si>
  <si>
    <t>MR IRSHAD MT</t>
  </si>
  <si>
    <t>4501721705575006</t>
  </si>
  <si>
    <t>MR SHABEER P</t>
  </si>
  <si>
    <t>4315810526127000</t>
  </si>
  <si>
    <t>MR Harsha M S</t>
  </si>
  <si>
    <t>4315814844639001</t>
  </si>
  <si>
    <t>MRS RAGHUVARAN</t>
  </si>
  <si>
    <t>MR K FAROOQ</t>
  </si>
  <si>
    <t>4501721099964006</t>
  </si>
  <si>
    <t>MR SOORAJ S</t>
  </si>
  <si>
    <t>4315812586757015</t>
  </si>
  <si>
    <t>MR BITRA GOPINATH</t>
  </si>
  <si>
    <t>5241933896499001</t>
  </si>
  <si>
    <t>MR MOHAMMED ISRAR AHMED</t>
  </si>
  <si>
    <t>4375513234143007</t>
  </si>
  <si>
    <t>MR ABDUL BAHISH</t>
  </si>
  <si>
    <t>4748469305791010</t>
  </si>
  <si>
    <t>Mr SONI SOMAN</t>
  </si>
  <si>
    <t>4748468309825006</t>
  </si>
  <si>
    <t>MS PRIYADHARSHINI P</t>
  </si>
  <si>
    <t>5241936754480005</t>
  </si>
  <si>
    <t>MR DASARI AKHIL KUMAR</t>
  </si>
  <si>
    <t>4035622680359009</t>
  </si>
  <si>
    <t>MR ANU THAMPI</t>
  </si>
  <si>
    <t>4035622921051001</t>
  </si>
  <si>
    <t>MS MANJUSHAR</t>
  </si>
  <si>
    <t>5241936808141009</t>
  </si>
  <si>
    <t>MS SAMALA USHASWI</t>
  </si>
  <si>
    <t>4748468239583006</t>
  </si>
  <si>
    <t>MS CELINA JYOTHI</t>
  </si>
  <si>
    <t>4035623242499002</t>
  </si>
  <si>
    <t>MR KRISHNAKUMAR K</t>
  </si>
  <si>
    <t>4315810921074005</t>
  </si>
  <si>
    <t>MR Govind P G</t>
  </si>
  <si>
    <t>4315814169138001</t>
  </si>
  <si>
    <t>MR POLLEPALLI KRISHNA ANJANEYULU</t>
  </si>
  <si>
    <t>4035623161721006</t>
  </si>
  <si>
    <t>Mr VIPINDAS E</t>
  </si>
  <si>
    <t>4375513896450005</t>
  </si>
  <si>
    <t>MRS JANEEFAR.</t>
  </si>
  <si>
    <t>4748468557535000</t>
  </si>
  <si>
    <t>MR VISHNU PV</t>
  </si>
  <si>
    <t>4748468264615012</t>
  </si>
  <si>
    <t>MR KRISHNAMOORTHY K</t>
  </si>
  <si>
    <t>4035622867348007</t>
  </si>
  <si>
    <t>MR SHAIK MAJALI</t>
  </si>
  <si>
    <t>4748468448798007</t>
  </si>
  <si>
    <t>MR OTHURU BABA</t>
  </si>
  <si>
    <t>4035623115213001</t>
  </si>
  <si>
    <t>PANDI  SANTHOSH</t>
  </si>
  <si>
    <t>124000001539114</t>
  </si>
  <si>
    <t>XXXXXXXXXXXX0983</t>
  </si>
  <si>
    <t>YASWANTH</t>
  </si>
  <si>
    <t>53 3 5KAKIVARI STREETMADDILAPALEMVISAKHAPATNAM530013</t>
  </si>
  <si>
    <t>DEVANANDAM  KALLEM</t>
  </si>
  <si>
    <t>200000010332920</t>
  </si>
  <si>
    <t>XXXXXXXXXXXX3734</t>
  </si>
  <si>
    <t>Q no 355A sector 6ukkunagaram townshipVISHAKHAPATNAMVISAKHAPATNAM530032</t>
  </si>
  <si>
    <t>S.PLANT</t>
  </si>
  <si>
    <t>RAVI  KUMAR</t>
  </si>
  <si>
    <t>200000009736172</t>
  </si>
  <si>
    <t>XXXXXXXXXXXX5298</t>
  </si>
  <si>
    <t>126, APSEZ COLONYANAKAPALLE531011</t>
  </si>
  <si>
    <t>MR VADDE PRASAD</t>
  </si>
  <si>
    <t>4035623006972004</t>
  </si>
  <si>
    <t>"00 N,CHIKKE PALLI N CHIKKE,PALLI,.,.,."  ... NEAR MAIN ROAD ANANTAPUR ANP 515408</t>
  </si>
  <si>
    <t>MS MADHURI KAMMARI</t>
  </si>
  <si>
    <t>5241935793068029</t>
  </si>
  <si>
    <t>MS BADAVATH SWAROOPA</t>
  </si>
  <si>
    <t>5241935769910022</t>
  </si>
  <si>
    <t>MR SHAIK ANAS</t>
  </si>
  <si>
    <t>4748461431310005</t>
  </si>
  <si>
    <t>MR ANNAPPASWAMY H</t>
  </si>
  <si>
    <t>4375518794970004</t>
  </si>
  <si>
    <t>MR NATARAJA C</t>
  </si>
  <si>
    <t>4748460976819016</t>
  </si>
  <si>
    <t>MR SHABARI GIRISHA</t>
  </si>
  <si>
    <t>4748460927113006</t>
  </si>
  <si>
    <t>MR HARIPRASAD A</t>
  </si>
  <si>
    <t>4375518785976002</t>
  </si>
  <si>
    <t>MR H SYED NAWAZ</t>
  </si>
  <si>
    <t>4375518365206002</t>
  </si>
  <si>
    <t>SGR RECEIVED 10K 15TH MAY''26 // PENDING 15281//BVR RECEIVED 21ST MAY''26 10K(OFFICE EXPENSIVE)//REMAINING PENDING 5281</t>
  </si>
  <si>
    <t>KRISHNA VJW(ASWINI)</t>
  </si>
  <si>
    <t>WOFF</t>
  </si>
  <si>
    <t>KODAMATI POORNA  VENKATESH</t>
  </si>
  <si>
    <t>8885743537</t>
  </si>
  <si>
    <t>089000001448737</t>
  </si>
  <si>
    <t>SETTLEMENT CASE  REMAINING AMOUNT 2K  WE PAY NON REFUNDABLE</t>
  </si>
  <si>
    <t>NO FOS</t>
  </si>
  <si>
    <t>4-21-15/1VIJAYAWADA LAMBADIPETAVIJAYAWADA520001</t>
  </si>
  <si>
    <t>LAMBADIPETA</t>
  </si>
  <si>
    <t>MR P PRATHAP</t>
  </si>
  <si>
    <t>4748464740715005</t>
  </si>
  <si>
    <t>MR APPARI SUNIL</t>
  </si>
  <si>
    <t>4748464741387010</t>
  </si>
  <si>
    <t>MR DEVARAM RAJENDRA PRASAD</t>
  </si>
  <si>
    <t>5241935776914009</t>
  </si>
  <si>
    <t>MR KATIKAREDDY SREENIVASULA REDDY</t>
  </si>
  <si>
    <t>5241935709331008</t>
  </si>
  <si>
    <t>MR AJNAS AP</t>
  </si>
  <si>
    <t>4073520409096006</t>
  </si>
  <si>
    <t>MR CHEVULA SRINIVASULU</t>
  </si>
  <si>
    <t>4748461141654007</t>
  </si>
  <si>
    <t>MR Basant Sethy</t>
  </si>
  <si>
    <t>6528690173261007</t>
  </si>
  <si>
    <t>MR SYED FARUKH</t>
  </si>
  <si>
    <t>4073520106787014</t>
  </si>
  <si>
    <t>MR ANJI BABU KONDA</t>
  </si>
  <si>
    <t>4748461252521003</t>
  </si>
  <si>
    <t>MS BINDHUR</t>
  </si>
  <si>
    <t>5241935709262039</t>
  </si>
  <si>
    <t>MR KRISHNACHAITANYA SRI</t>
  </si>
  <si>
    <t>6528690082124007</t>
  </si>
  <si>
    <t>MR EMANDI VENKATESHWAR RAO</t>
  </si>
  <si>
    <t>7207516848</t>
  </si>
  <si>
    <t>4748461260613016</t>
  </si>
  <si>
    <t>HYD SRINIVAS</t>
  </si>
  <si>
    <t>SGR RECEIVED 3090/- APR''26/-</t>
  </si>
  <si>
    <t>NO CALLER</t>
  </si>
  <si>
    <t xml:space="preserve">2-2-1105/B/8 INDRA NAGAR AMBERPET NA HYDERABAD 500013 </t>
  </si>
  <si>
    <t>AMBERPET</t>
  </si>
  <si>
    <t>MR NENAVATH PRAKASH</t>
  </si>
  <si>
    <t>9705602968</t>
  </si>
  <si>
    <t>4073520128282002</t>
  </si>
  <si>
    <t>12-19-38SEVALAL NAGAR MOOSAPET BALANAGARRANGAREDDYTNG500018</t>
  </si>
  <si>
    <t>MOOSAPET</t>
  </si>
  <si>
    <t>MR MOHAMMED ABAID</t>
  </si>
  <si>
    <t>7416155303</t>
  </si>
  <si>
    <t>4073520349375007</t>
  </si>
  <si>
    <t>"8-13-,SHASTHRIPURAM,129/10 FLR,""MAILARDEVPALLY,RAJENDRA NAGAR"HYDERABADTNG500030</t>
  </si>
  <si>
    <t>RAJENDRA NAGAR</t>
  </si>
  <si>
    <t>MS AVULA PUSHPALATHA</t>
  </si>
  <si>
    <t>7032932084</t>
  </si>
  <si>
    <t>4748464724466005</t>
  </si>
  <si>
    <t>SRINIVAS</t>
  </si>
  <si>
    <t>SGR RECEIVED 14280/- 21ST APR''26</t>
  </si>
  <si>
    <t>8-7-89/PH-1/164CHAITANYA NAGAR BN REDDY NAGARBN REDDY SIGNALHYDERABADTNG500070</t>
  </si>
  <si>
    <t>CHAINAYA NAGAR</t>
  </si>
  <si>
    <t>MS I MADHU MANJARI</t>
  </si>
  <si>
    <t>9963757216</t>
  </si>
  <si>
    <t>4748464710058014</t>
  </si>
  <si>
    <t>HNO 11-3-257/96KARACADE MADHURANAGAR COLONYSECUENDRABADNEAR SR HOAPITALHYDERABADTNG500061</t>
  </si>
  <si>
    <t>MR. GADAM MOHAN GADAM</t>
  </si>
  <si>
    <t>9949104906</t>
  </si>
  <si>
    <t>4375513518916003</t>
  </si>
  <si>
    <t>SGR RECEIVED 40K 23RD APR''26</t>
  </si>
  <si>
    <t>HNO 12-11-1169 2ND FLOOR MARREDPALLYWARASIGUDA SECUNDERABADKANAKA DURGA TEMPLE/BABHY BAKARYHyderabad500061</t>
  </si>
  <si>
    <t>MARREDPALLY</t>
  </si>
  <si>
    <t>9902514544</t>
  </si>
  <si>
    <t>SGR RECEIVED 5K/- 7TH MAY''26/PENDING 16220/-//SGR RECEIVED 16220/-  8TH MAY''26</t>
  </si>
  <si>
    <t>5 163 Bhavanamvaripalem Kotha Reddy Palem Kotha Reddy Palem GUNTUR ANP 522311</t>
  </si>
  <si>
    <t>MR. REESA RASOOL YASIN</t>
  </si>
  <si>
    <t>5241933310379003</t>
  </si>
  <si>
    <t>MR VIKAS SEMWAL</t>
  </si>
  <si>
    <t>4748467775870017</t>
  </si>
  <si>
    <t>MR. MOHD AYOUBKAUSER</t>
  </si>
  <si>
    <t>4375511192911001</t>
  </si>
  <si>
    <t>MR JALADI JAMES SANJAY</t>
  </si>
  <si>
    <t>4940600007741004</t>
  </si>
  <si>
    <t>MS KRISHNAMADHURI KONDEPUDI</t>
  </si>
  <si>
    <t>4315811389376015</t>
  </si>
  <si>
    <t>SGR RECEIVED 11410/- 29TH APR''26</t>
  </si>
  <si>
    <t>5-3/2/119 PLOT NO 161 PADMAVATI COLONY BODUPPAL NEAR SRI VIJAYA GANAPATHI TEMPLE HYDERABAD 500092</t>
  </si>
  <si>
    <t>BODUPPAL</t>
  </si>
  <si>
    <t>MR. VENU MADHAV THALLA</t>
  </si>
  <si>
    <t>4315810851898001</t>
  </si>
  <si>
    <t>NAVEEN</t>
  </si>
  <si>
    <t>H NO 42 763/2/1 GROUND SARDAR PATEL ANGAR COLONY MOULALINEAR MOULALI INDIAN OIL PETROL BUNK Hyderabad 500040</t>
  </si>
  <si>
    <t>MOULALI</t>
  </si>
  <si>
    <t>MR H Deepak Singh</t>
  </si>
  <si>
    <t>6528682097801000</t>
  </si>
  <si>
    <t>MR VINJAPURI KIRAN</t>
  </si>
  <si>
    <t>6528681118420006</t>
  </si>
  <si>
    <t>MR O REDDY</t>
  </si>
  <si>
    <t>5241930686205002</t>
  </si>
  <si>
    <t>MR. SUSHANT DASH</t>
  </si>
  <si>
    <t>4375510589933032</t>
  </si>
  <si>
    <t>MS KALAGOTLA MAHABOOBBEE</t>
  </si>
  <si>
    <t>4315814896290000</t>
  </si>
  <si>
    <t>MR Mudiga Venkatesh</t>
  </si>
  <si>
    <t>4315814799912007</t>
  </si>
  <si>
    <t>MR MA SYAMSUNDAR</t>
  </si>
  <si>
    <t>5241933969525013</t>
  </si>
  <si>
    <t>MS STUTI KATARIA</t>
  </si>
  <si>
    <t>4375513815581013</t>
  </si>
  <si>
    <t>MS POOJARI KALAVATHI</t>
  </si>
  <si>
    <t>9704248023</t>
  </si>
  <si>
    <t>4315814514639000</t>
  </si>
  <si>
    <t>SGR RECEIVED 15700/- 2ND MAY''26//PENDING 1000/-</t>
  </si>
  <si>
    <t>1-41ALLAGADDAAHOBILAMNANDYALANP518543</t>
  </si>
  <si>
    <t>GOVIND SIR</t>
  </si>
  <si>
    <t>BL HYD</t>
  </si>
  <si>
    <t>VISSAMPALLI  MADHU</t>
  </si>
  <si>
    <t>9959078134</t>
  </si>
  <si>
    <t>BPR029210148618</t>
  </si>
  <si>
    <t>AELUPULA  PRATAP</t>
  </si>
  <si>
    <t>9666075756</t>
  </si>
  <si>
    <t>BPR029211644732</t>
  </si>
  <si>
    <t>SGR RECEIVED 13750/- 2ND MAY''26</t>
  </si>
  <si>
    <t>KARUNAKAR - 9989734512</t>
  </si>
  <si>
    <t>KATIPALLY  SRIKANTH</t>
  </si>
  <si>
    <t>8498987521</t>
  </si>
  <si>
    <t>BPR000811532717</t>
  </si>
  <si>
    <t>MAHESH - 9177861515</t>
  </si>
  <si>
    <t>SHAHEDA  BEGUM</t>
  </si>
  <si>
    <t>9030930443</t>
  </si>
  <si>
    <t>BPR029211122687</t>
  </si>
  <si>
    <t>NAKKA  PRAKESH</t>
  </si>
  <si>
    <t>9177937265</t>
  </si>
  <si>
    <t>BPR029211645799</t>
  </si>
  <si>
    <t>SGR  RECEIVED  6500/- 23RD MAY''26</t>
  </si>
  <si>
    <t>PRAVEEN - 8639562425</t>
  </si>
  <si>
    <t>T K NARESH  .</t>
  </si>
  <si>
    <t>8341824138</t>
  </si>
  <si>
    <t>BPR073310327694</t>
  </si>
  <si>
    <t>RAHUL - 9642288392</t>
  </si>
  <si>
    <t>KASHIREDDY MAHIPAL REDDY</t>
  </si>
  <si>
    <t>8885886833</t>
  </si>
  <si>
    <t>BPR029208577509</t>
  </si>
  <si>
    <t>RAJKUMAR - 7670935091</t>
  </si>
  <si>
    <t>KOLA  KOTESWARARAO</t>
  </si>
  <si>
    <t>9010046458</t>
  </si>
  <si>
    <t>BPR029211509602</t>
  </si>
  <si>
    <t>SGR RECEIVED 12000/- 30TH MAY''26</t>
  </si>
  <si>
    <t>RANJITH - 7794980652</t>
  </si>
  <si>
    <t>MATTAPALLI  NARESH</t>
  </si>
  <si>
    <t>8978781178</t>
  </si>
  <si>
    <t>BPR002710869542</t>
  </si>
  <si>
    <t>SAI LIKITH - 7981063429</t>
  </si>
  <si>
    <t>SHAIK SIRAJ BABU</t>
  </si>
  <si>
    <t>9059471592</t>
  </si>
  <si>
    <t>BPR029212744930</t>
  </si>
  <si>
    <t>TALLAPALLY  HARISH</t>
  </si>
  <si>
    <t>9640802700</t>
  </si>
  <si>
    <t>BPR000810871693</t>
  </si>
  <si>
    <t>SRIKANTH ROTS - 9603185469</t>
  </si>
  <si>
    <t>BICHALA RAVI BABU</t>
  </si>
  <si>
    <t>9948464839</t>
  </si>
  <si>
    <t>BPR002712060516</t>
  </si>
  <si>
    <t>MANCHIKANTI  GOUTHAM</t>
  </si>
  <si>
    <t>9000073624</t>
  </si>
  <si>
    <t>BPR029211914009</t>
  </si>
  <si>
    <t>RAVI  VASU</t>
  </si>
  <si>
    <t>9248008120</t>
  </si>
  <si>
    <t>BPR029209937225</t>
  </si>
  <si>
    <t>SGR RECEIVED 15TH MAY''26//11300</t>
  </si>
  <si>
    <t>ACHAKARI  CHANDRAHAS</t>
  </si>
  <si>
    <t>9848929136</t>
  </si>
  <si>
    <t>BPR029209328664</t>
  </si>
  <si>
    <t>CHANDRA SEKHAR NYSETTI</t>
  </si>
  <si>
    <t>9866305959</t>
  </si>
  <si>
    <t>BPR000809722582</t>
  </si>
  <si>
    <t>HYD</t>
  </si>
  <si>
    <t>YAGNAM  LAKSHMI</t>
  </si>
  <si>
    <t>8099569964</t>
  </si>
  <si>
    <t>BPR024412648398</t>
  </si>
  <si>
    <t>BHOOMI  SATHISH</t>
  </si>
  <si>
    <t>9666554437</t>
  </si>
  <si>
    <t>BPR073313332055</t>
  </si>
  <si>
    <t>SGR RECEIVED 7TH MAY''26 19500/-</t>
  </si>
  <si>
    <t>SANGAREDDY</t>
  </si>
  <si>
    <t>MAY''26</t>
  </si>
  <si>
    <t>81 1 1 NALLACHERUVU ZERO LINE1ST CROSS RD GUNTUR GUNTURGUNTUR</t>
  </si>
  <si>
    <t>0007477800011410794</t>
  </si>
  <si>
    <t>RAMANA</t>
  </si>
  <si>
    <t>PLOT NO 56BALAJI VILLAS PHASE 2ITIKALAPALLE        515003</t>
  </si>
  <si>
    <t>MUTHIREDDY V S N MALLESWARA RAO</t>
  </si>
  <si>
    <t>0007477800008806012</t>
  </si>
  <si>
    <t>DNO 28-6-1694KISAN NAGAR MAIN ROADSANTHA PETTANELLORENELLORE</t>
  </si>
  <si>
    <t>VENKATALAKSHMI</t>
  </si>
  <si>
    <t>SGR RECEIVED 5K/- 20TH APR''26// SGR RECEIVED 2K 12TH MAY''26// 8803 PENDING// SGR RECEIVED 2000/- 16TH MAY''26 // REMAINING 6803/-//SGR RECEIVED 2000 19TH MAY''26// PENDING 4804//SGR RECEIVED 1640/- 29TH MAY''26 //PENDING 3164</t>
  </si>
  <si>
    <t>S/O SANJEEV RAO H NO 141030 ANAKAPALLIBOCHAVARI VEEDHI ANAKAPALLINEAR BY BOGALINGAML SCHOOL ANAKAPALLIANAKAPALLI</t>
  </si>
  <si>
    <t>HOUSE NO 27-3-50 NEAR RAGHVENDA SCHOOLSRINAGAR VISAKHAPATNAMVISAKHAPATNAM</t>
  </si>
  <si>
    <t>HOSUE NUMER 188YANANALA PALLE VILAGE PENT APADDU MANDALNEAR BY CHURHCI STREETTADEPALLIGUDEM</t>
  </si>
  <si>
    <t>MURALI BOYANAPALLI</t>
  </si>
  <si>
    <t>9441095408</t>
  </si>
  <si>
    <t>0007470470000502758</t>
  </si>
  <si>
    <t>xx4861</t>
  </si>
  <si>
    <t>PB COLONY J BLACK 17 NEW PENNAYADIKIMANDALAMBOYA REDDY PALLITADIPATRI</t>
  </si>
  <si>
    <t>DOOR NO 6/85OC COLONY LINGAREDDY PALI VILLAGENEAR BY GOVT SCHOOLDHARMAVARAM</t>
  </si>
  <si>
    <t>0007470350000317441</t>
  </si>
  <si>
    <t>xx6634</t>
  </si>
  <si>
    <t>HEMANTH</t>
  </si>
  <si>
    <t>PRNAMALURU, FLAT NO 102NEAR CHINNA GUDIVIJAYAWADA</t>
  </si>
  <si>
    <t>HNO 1-50-39 30-1, LAKSHMI NILAYAMVASUNDHARA NAGAR, THIRUCHANOOR, TIRUPATITIRUPATI</t>
  </si>
  <si>
    <t>D NO 18-7-95 KEDARESWARAPETAGANDHINAGARAMVIJAYAWADA</t>
  </si>
  <si>
    <t>PURUSHOTHAM J</t>
  </si>
  <si>
    <t>9666636625</t>
  </si>
  <si>
    <t>0007478830006644973</t>
  </si>
  <si>
    <t>xx2977</t>
  </si>
  <si>
    <t>DOOR NO 4-270MANGASAMUDRAM CHITTOORNEAR WATER TANK CHITTOORCHITTOOR</t>
  </si>
  <si>
    <t>FLAT NO 590 NEW RR PETA VIJAYAWADA URBANKRISHNA DISTRICT APVIJAYAWADA</t>
  </si>
  <si>
    <t>0007477800011261270</t>
  </si>
  <si>
    <t>2-7-86 PARUCHURI VARI STREETNAWABPETA - NEAR BASHEER HOSPITALNELLORE</t>
  </si>
  <si>
    <t>H NO 9 11 C MPL ROAD CHINTHAPARTHY,VAYALPAD,CHITTOR DIS APCHITTOOR</t>
  </si>
  <si>
    <t>SANTOSH ANDAVARAPU</t>
  </si>
  <si>
    <t>9000254870</t>
  </si>
  <si>
    <t>0007477800006751335</t>
  </si>
  <si>
    <t>55 8 14 HB COLONY LAST BUS STOPVISAKHAPATNAM URBAN BESIDE MUTHOOTFINACEVISAKHAPATNAM</t>
  </si>
  <si>
    <t>DNO 6951 DRIVERS COLONY NULL NULLGAJUWAKA - NR RAMALAYAMVISAKHAPATNAM</t>
  </si>
  <si>
    <t>BEHARA RAO</t>
  </si>
  <si>
    <t>9849196111</t>
  </si>
  <si>
    <t>0007477350043160207</t>
  </si>
  <si>
    <t>xx7663</t>
  </si>
  <si>
    <t>39-10-3/6 FF-2 VIJAYA RESIDENCY TENNETINAGAR NEAR SPENCERS MURALINAGARVISAKHAPATNAM (URBAN) INDUSTRIAL ESTATEVISAKHAPATNAM</t>
  </si>
  <si>
    <t>SRINIVASA RAO PERLA</t>
  </si>
  <si>
    <t>9493246329</t>
  </si>
  <si>
    <t>0007477770006463878</t>
  </si>
  <si>
    <t>2-122 MAIN BAZARPOST O0FFICE GALLIBESIDE LIGHT LOOK SHOW ROOMGUNTUR</t>
  </si>
  <si>
    <t>HARSHAVARDHAN POTRU</t>
  </si>
  <si>
    <t>7396270089</t>
  </si>
  <si>
    <t>0007470850001039803</t>
  </si>
  <si>
    <t>xx3367</t>
  </si>
  <si>
    <t>VILLA NO32 KOGANTI HOMESNH 16NEAR BY OPPOSITE DMARTTADEPALLIGUDEM</t>
  </si>
  <si>
    <t>KARRI VENKATARAMA NARAYANA</t>
  </si>
  <si>
    <t>9160742929</t>
  </si>
  <si>
    <t>0007470510000462220</t>
  </si>
  <si>
    <t>xx6291</t>
  </si>
  <si>
    <t>FLOT NO-203 SRI RAMAKRISHNA HEIGHTSCHINNAGANTYADA GAJUWAKANEAR MEE SEVAVISAKHAPATNAM</t>
  </si>
  <si>
    <t>MS YADLA NAGASURI</t>
  </si>
  <si>
    <t>9390245772</t>
  </si>
  <si>
    <t>0007478450019313027</t>
  </si>
  <si>
    <t>xx1064</t>
  </si>
  <si>
    <t>23-11-6 2 1 LB SHASTRI ROADLUTHERAN GIRIRAJAHMUNDRY</t>
  </si>
  <si>
    <t>PALLA KUMARSAIVAMSIKR</t>
  </si>
  <si>
    <t>9542515488</t>
  </si>
  <si>
    <t>0007470830006167056</t>
  </si>
  <si>
    <t>xx5798</t>
  </si>
  <si>
    <t>NEAR NAVODAYA GAS AGENCY CITYNIDADAVOLEATANUKU</t>
  </si>
  <si>
    <t>JANAKI VIJAY</t>
  </si>
  <si>
    <t>8498997799</t>
  </si>
  <si>
    <t>0007470130000157355</t>
  </si>
  <si>
    <t>xx8138</t>
  </si>
  <si>
    <t>H NO 3 21/2 SANIVASA AGINAMPUDIGAJUWAKA NEAR VEEPACHETTU JUNCTIONVISAKHAPATNAM</t>
  </si>
  <si>
    <t>BALA CHANDRA YADAV POTHINENI</t>
  </si>
  <si>
    <t>9063643333</t>
  </si>
  <si>
    <t>0007478950046548222</t>
  </si>
  <si>
    <t>xx0523</t>
  </si>
  <si>
    <t>HNO26/251 NETHAJI NAGARUP NETHAJI NAGAR ROADNO01NEAR BY CHODESHWARI TEMPLEPRODDATUR</t>
  </si>
  <si>
    <t>ALETI ESWAR RAO</t>
  </si>
  <si>
    <t>8374238030</t>
  </si>
  <si>
    <t>0007476840000531102</t>
  </si>
  <si>
    <t>xx9449</t>
  </si>
  <si>
    <t>36-95-125-2 KAPARADA KANCHARAPALEM NH 16ROADVISAKHAPATNAM</t>
  </si>
  <si>
    <t>D NO 1 313 A BLOCKSATELLIGHT CITY RAJAHMUNDRY RURALNEAR BY  CITY PUBLIC SCHOOLRAJAHMUNDRY</t>
  </si>
  <si>
    <t>FLAT.NO.313,MODI STREET,PRAHALADAPURAM,RAMAKRISHNA RESIDENCY VISAKHAPATNAMNEAR SAI BABA TEMPLE,VISAKHAPATNAM</t>
  </si>
  <si>
    <t>KOPPISETTI SATISH KUMAR</t>
  </si>
  <si>
    <t>9394852596</t>
  </si>
  <si>
    <t>0007476600036016787</t>
  </si>
  <si>
    <t>xx8030</t>
  </si>
  <si>
    <t>304 SATYASAI APARTMENT HB COLONYLALACHERUVU 7 ACCRES VINAYAKATEMPLERAJAHMUNDRY</t>
  </si>
  <si>
    <t>SHAIK BABU</t>
  </si>
  <si>
    <t>9059893981</t>
  </si>
  <si>
    <t>0007470810004635577</t>
  </si>
  <si>
    <t>xx9047</t>
  </si>
  <si>
    <t>2-228-2SAIBABA STREET GOSALAVIJAYAWADA APNEAR SAIBABA TEMPLEVIJAYAWADA</t>
  </si>
  <si>
    <t>KATHULA SUDHAKAR</t>
  </si>
  <si>
    <t>9553003411</t>
  </si>
  <si>
    <t>0007477800012054518</t>
  </si>
  <si>
    <t>D NO 6-143 ELURUVEGAVARAMWEST GODAVARI</t>
  </si>
  <si>
    <t>KALADI YOGA NANDA</t>
  </si>
  <si>
    <t>9581491946</t>
  </si>
  <si>
    <t>0007478950032049557</t>
  </si>
  <si>
    <t>xx0207</t>
  </si>
  <si>
    <t>D NO 48-1-42-2 MYLA VARI STREET MYLAVARI STREET JAGANAICKPUR KAKINADANEAR MULARAMMA TEMPLE KAKINADAKAKINADA</t>
  </si>
  <si>
    <t>DONTALA RAMU</t>
  </si>
  <si>
    <t>8309900761</t>
  </si>
  <si>
    <t>0007478700078663708</t>
  </si>
  <si>
    <t>xx2719</t>
  </si>
  <si>
    <t>HOUSE NO 1-23-16 THARAKRAMACOLONYKANAPAKANEAR OPP CULECTER BANGALAVIZIANAGARAM</t>
  </si>
  <si>
    <t>YEDUKONDALU VUYYURU</t>
  </si>
  <si>
    <t>7997887931</t>
  </si>
  <si>
    <t>0007477770007919175</t>
  </si>
  <si>
    <t>DOOR NO 2 63 CHATRAGADDAGUNTURNEAR ELEMENTARY SCHOOLGUNTUR</t>
  </si>
  <si>
    <t>MIRZA MAZAHAR</t>
  </si>
  <si>
    <t>8019667665</t>
  </si>
  <si>
    <t>0007477800008258370</t>
  </si>
  <si>
    <t>D-NO-4-240 1ST MAIN ROAD POLICE COLONYPODALKUR ROAD NELLORENEAR PARKNELLORE</t>
  </si>
  <si>
    <t>BUDESAHEBGARI SARDAR BASHA</t>
  </si>
  <si>
    <t>9441537045</t>
  </si>
  <si>
    <t>0007471150003201975</t>
  </si>
  <si>
    <t>xx1464</t>
  </si>
  <si>
    <t>H 7 -245- 1KHASBAKURNOOL</t>
  </si>
  <si>
    <t>KALATHOTI BRAHMAIAH</t>
  </si>
  <si>
    <t>9652115337</t>
  </si>
  <si>
    <t>0007478830000497386</t>
  </si>
  <si>
    <t>xx2474</t>
  </si>
  <si>
    <t>HNO 3-338GHADIYAPUDI COLONYNEAR BY AMBEDKAR STATUEONGOLE</t>
  </si>
  <si>
    <t>MATTUPALLI POWL RAJU</t>
  </si>
  <si>
    <t>8897245770</t>
  </si>
  <si>
    <t>0007478830006198848</t>
  </si>
  <si>
    <t>xx3765</t>
  </si>
  <si>
    <t>H NO 2751 MAINROADMAINROADPADAMATINAIDUPALEMBANDLAMUDINEAR BY SATCHVALAYAMONGOLE</t>
  </si>
  <si>
    <t>DANDE KESAVULU U</t>
  </si>
  <si>
    <t>9505057907</t>
  </si>
  <si>
    <t>0007470470000027590</t>
  </si>
  <si>
    <t>xx7063</t>
  </si>
  <si>
    <t>S/O DANDE SUBRAMANYAM LAKSHMIGARI PALLISETTIGUNTARAILWAY KODURU</t>
  </si>
  <si>
    <t>MR GHOUSE BASHA SHAIK</t>
  </si>
  <si>
    <t>9492722077</t>
  </si>
  <si>
    <t>0007470570002500302</t>
  </si>
  <si>
    <t>xx8423</t>
  </si>
  <si>
    <t>ROOM NO 100/27/10 OLD SHIVALYAM STREETNEAR VISHWANATH PURANA ANDHRA PRADESHCHITTOOR</t>
  </si>
  <si>
    <t>#497 KRISHNA NAGAR AYYAPPA NAGARSANTHI STREET NEAR BHAIRAVIVIJAYAWADA URBAN KRISHNAGARKRISHNA</t>
  </si>
  <si>
    <t>4-21 KANCHIKACHERLASC COLONYVIJAYAWADA</t>
  </si>
  <si>
    <t>SRI KRISHNA CHETHYA NAGAR 9TH WARD DNO8-4-45 KOVURU RAJAHMNADRY APNEAR BY MRO OFFICE RAODRAJAHMUNDRY</t>
  </si>
  <si>
    <t>MRS RAJESWARI NOOKA</t>
  </si>
  <si>
    <t>8332894746</t>
  </si>
  <si>
    <t>0007478650001737691</t>
  </si>
  <si>
    <t>xx5566</t>
  </si>
  <si>
    <t>C/O N SRINIVAS SFINIVAS MHALLCENTER VIJAYAWADAOPP KBN COLLAGEVIJAYAWADA</t>
  </si>
  <si>
    <t>THUMMAGINJALA REDDI SEKHARA</t>
  </si>
  <si>
    <t>9949553798</t>
  </si>
  <si>
    <t>0007470830012941692</t>
  </si>
  <si>
    <t>xx5920</t>
  </si>
  <si>
    <t>D NO20-3-125 THIRUMALA AIR BIPAS ROAD TIRUPATHI NR LEELA MAHALJUNCTION TIRUPATHI ANDHRA PRADESHTIRUPATI</t>
  </si>
  <si>
    <t>RAHIM KANKANALA</t>
  </si>
  <si>
    <t>8497905807</t>
  </si>
  <si>
    <t>0007476300016713657</t>
  </si>
  <si>
    <t>xx9951</t>
  </si>
  <si>
    <t>HNO76245 1ST LINEVASANTHARAYAPURAMNEAR BY SAI SUDHA BAR AND RESTAURANTGUNTUR</t>
  </si>
  <si>
    <t>SHAIK JAMRUN</t>
  </si>
  <si>
    <t>7658996613</t>
  </si>
  <si>
    <t>0007470810004988893</t>
  </si>
  <si>
    <t>xx2289</t>
  </si>
  <si>
    <t>D.NO 9/570-1 W/O SHAIK CHAN BASHARANGANAYUKULAPETA, RLY KODURRAILWAY KODURU</t>
  </si>
  <si>
    <t>MS INJUMURI RUKMUNI</t>
  </si>
  <si>
    <t>8074786996</t>
  </si>
  <si>
    <t>0007471650002505706</t>
  </si>
  <si>
    <t>xx6126</t>
  </si>
  <si>
    <t>DOOR NO 1-4 RAMALAYAM VEEDHIBAJI JUNCTION NEAR SHIVAJI KAMANDIR VISAKHAPATNAM ANDHRA PRADESHVISAKHAPATNAM</t>
  </si>
  <si>
    <t>MR GATTU VARA PRASADARAO</t>
  </si>
  <si>
    <t>9951732143</t>
  </si>
  <si>
    <t>0007476600043026225</t>
  </si>
  <si>
    <t>xx7524</t>
  </si>
  <si>
    <t>HOUSE NO 53-123 SALUR PRAPTARVATHI PURAMANYAM DIST NR RAMARAYAN TEMPLEVIZIANAGARAM</t>
  </si>
  <si>
    <t>CHILLA VAMSI KRISHNA</t>
  </si>
  <si>
    <t>6305620371</t>
  </si>
  <si>
    <t>0007476760003079570</t>
  </si>
  <si>
    <t>xx8332</t>
  </si>
  <si>
    <t>H NO 3-131/190EVLLANKI ANDNAPUR MANDAL VISAKHAPATNAMVISAKHAPATNAMVISAKHAPATNAM</t>
  </si>
  <si>
    <t>DNO684 MERAKA ALLAVARAMMERAKA ALLAVARAM AMALAPURAMNEAR BY RAMALAYAMCHINTALA MERAKAAMALAPURAM</t>
  </si>
  <si>
    <t>VEERAVENKATA SATISH NOOKELLA</t>
  </si>
  <si>
    <t>9676556115</t>
  </si>
  <si>
    <t>0007476740008525504</t>
  </si>
  <si>
    <t>xx3199</t>
  </si>
  <si>
    <t>3 24 OLD POSTOFFICE GOLLAPALEMGOLLAPALEM VIZIANAGARAMVIZIANAGARAM</t>
  </si>
  <si>
    <t>VIVEKANANDA MEDETI</t>
  </si>
  <si>
    <t>9052799038</t>
  </si>
  <si>
    <t>0007477800007849690</t>
  </si>
  <si>
    <t>NO 20 15 54 1ST STREET TUMMALOVASAMBA SIVA RAO PETANEAR SAI BABA TEMPLERAJAHMUNDRY</t>
  </si>
  <si>
    <t>SHAIK SHAKEELA</t>
  </si>
  <si>
    <t>9963827346</t>
  </si>
  <si>
    <t>0007476300016994794</t>
  </si>
  <si>
    <t>xx2266</t>
  </si>
  <si>
    <t>D NO-4-84 SRI RAM NAGAR 10TH STREETBUJA BUJA NELLORE,NELLORENELLORE</t>
  </si>
  <si>
    <t>NAMBURI SUNILVARMA</t>
  </si>
  <si>
    <t>7386987838</t>
  </si>
  <si>
    <t>0007476780004860349</t>
  </si>
  <si>
    <t>xx6549</t>
  </si>
  <si>
    <t>HNO15-70 VIRAT NAGAR SIMHACHALAMROADNEAR VIRATNAGAR BUSSTOPVISAKHAPATNAM</t>
  </si>
  <si>
    <t>VENKATESH PERUPALEM</t>
  </si>
  <si>
    <t>8328437470</t>
  </si>
  <si>
    <t>0007477800007903455</t>
  </si>
  <si>
    <t>H NO 19-16-102 SUNKARA PADDAYYA GAARISTREETNEAR LOTRAN HIGH SCHOOLRAJAHMUNDRY</t>
  </si>
  <si>
    <t>RAGHU BABU</t>
  </si>
  <si>
    <t>9491042892</t>
  </si>
  <si>
    <t>0007477800007656590</t>
  </si>
  <si>
    <t>H NO 26/259 UP CHINNA MARKET NULLCHINNA MARKET-KURNOOLOPP -ANJANEYANA SWAMY TEMPLEKURNOOL</t>
  </si>
  <si>
    <t>BHAGYALAKSHMI GENIPI</t>
  </si>
  <si>
    <t>7675925403</t>
  </si>
  <si>
    <t>0007476300016433694</t>
  </si>
  <si>
    <t>xx8106</t>
  </si>
  <si>
    <t>3-151-5 GANDHI NAGAR WATER TANK OPPGUDURNELLORE</t>
  </si>
  <si>
    <t>PICHIKA VIJAY KUMAR</t>
  </si>
  <si>
    <t>9553987999</t>
  </si>
  <si>
    <t>0007470870002763094</t>
  </si>
  <si>
    <t>xx6185</t>
  </si>
  <si>
    <t>D-NO 4-404 PANCHAYATHI ROAD NULL SAKHINETIPALLI - PANCHAYATHI ROAD EAST GODAVARINARSAPUR</t>
  </si>
  <si>
    <t>KORADA VENKATA RAMANA</t>
  </si>
  <si>
    <t>9866365868</t>
  </si>
  <si>
    <t>0007471930000219637</t>
  </si>
  <si>
    <t>xx8381</t>
  </si>
  <si>
    <t>1 27 S C COLONYJAMMUNARAYANAPURAMNEAR RAMALAYAMVIZIANAGARAM</t>
  </si>
  <si>
    <t>SHAIK KOUSAR</t>
  </si>
  <si>
    <t>8639916233</t>
  </si>
  <si>
    <t>0007470470002197953</t>
  </si>
  <si>
    <t>xx1850</t>
  </si>
  <si>
    <t>DOOR NO 13128 GUJJANAGUNDLA1ST LINE GUJJANAGUNDLA MAIN ROADNEAR BY WALKING PARKGUNTUR</t>
  </si>
  <si>
    <t>ANALA VEERA VENKATA SURESH</t>
  </si>
  <si>
    <t>8179742933</t>
  </si>
  <si>
    <t>0007478830004904965</t>
  </si>
  <si>
    <t>xx1826</t>
  </si>
  <si>
    <t>HNO 291 TIPPARAJUPALEMKAJULURU MANDALAMNEAR BY RAMALAYAM TEMPLEKAKINADA</t>
  </si>
  <si>
    <t>MR SRINIVASA GHANTA</t>
  </si>
  <si>
    <t>6304163093</t>
  </si>
  <si>
    <t>0007478830003375159</t>
  </si>
  <si>
    <t>xx4949</t>
  </si>
  <si>
    <t>5 147 VADDESWARAMTADEPALLI MANDALNEAR RLY STATIONGUNTUR</t>
  </si>
  <si>
    <t>MR MADHAN MOHAN REDDY</t>
  </si>
  <si>
    <t>5241933554731000</t>
  </si>
  <si>
    <t>MR VADDI JOHN WESLY</t>
  </si>
  <si>
    <t>4375517162708012</t>
  </si>
  <si>
    <t>MR PANIDAPU VENKATARAO</t>
  </si>
  <si>
    <t>4315810445949005</t>
  </si>
  <si>
    <t>MR SANKAR CHHOTA DAS</t>
  </si>
  <si>
    <t>6528680658873004</t>
  </si>
  <si>
    <t>MST NAVYASREE</t>
  </si>
  <si>
    <t>4748466921353001</t>
  </si>
  <si>
    <t>MR. PHILLIPS PARTHASARATHY G</t>
  </si>
  <si>
    <t>4629867000974001</t>
  </si>
  <si>
    <t>MR VANDANAM TANNERU</t>
  </si>
  <si>
    <t>6528682309616006</t>
  </si>
  <si>
    <t>MR G BAGYARAJ</t>
  </si>
  <si>
    <t>4375514948983001</t>
  </si>
  <si>
    <t>MR NAWAZBAIG SI</t>
  </si>
  <si>
    <t>6528681571368007</t>
  </si>
  <si>
    <t>MR KAKU SHIVA KUMAR</t>
  </si>
  <si>
    <t>5241933736299017</t>
  </si>
  <si>
    <t>MS JANGAM AKSHITHA</t>
  </si>
  <si>
    <t>6528681036893003</t>
  </si>
  <si>
    <t>MR. VINODSINGH TOMAR</t>
  </si>
  <si>
    <t>4375514779285021</t>
  </si>
  <si>
    <t>MR Kunamalla Shiva Kumar</t>
  </si>
  <si>
    <t>6528682363488003</t>
  </si>
  <si>
    <t>MS CHERUPALLY VANYA</t>
  </si>
  <si>
    <t>6528680834294000</t>
  </si>
  <si>
    <t>MS VEERABALLI BINDU</t>
  </si>
  <si>
    <t>6528682403390003</t>
  </si>
  <si>
    <t>MS AMBIKA T</t>
  </si>
  <si>
    <t>6528682866797009</t>
  </si>
  <si>
    <t>MR RAJESHKANNA SAKTHIVEL</t>
  </si>
  <si>
    <t>6528682857422005</t>
  </si>
  <si>
    <t>MR Pillalamarri Sai Vyshnav</t>
  </si>
  <si>
    <t>6528682208769005</t>
  </si>
  <si>
    <t>MR Ranjith C</t>
  </si>
  <si>
    <t>6528682430328000</t>
  </si>
  <si>
    <t>MR BIJU M M</t>
  </si>
  <si>
    <t>6528681873876004</t>
  </si>
  <si>
    <t>MR ADAPA SUDHAKARA REDDY</t>
  </si>
  <si>
    <t>6528681265515004</t>
  </si>
  <si>
    <t>MR FEBIN TA</t>
  </si>
  <si>
    <t>5241933576827018</t>
  </si>
  <si>
    <t>MR SAKSHI KUMAR</t>
  </si>
  <si>
    <t>6528682344257006</t>
  </si>
  <si>
    <t>MR NADELLA DHAVAN</t>
  </si>
  <si>
    <t>4035623189272008</t>
  </si>
  <si>
    <t>MS POPURI PAWAN KUMMAR</t>
  </si>
  <si>
    <t>6528681707977002</t>
  </si>
  <si>
    <t>MR PRAVEEN G</t>
  </si>
  <si>
    <t>4035620902362009</t>
  </si>
  <si>
    <t>MS VENGALA SHIVANI</t>
  </si>
  <si>
    <t>6528681905874001</t>
  </si>
  <si>
    <t>MS RAGOLU VENKATESWARA RAO</t>
  </si>
  <si>
    <t>6528680062905004</t>
  </si>
  <si>
    <t>MS KARI AMMORAMMA</t>
  </si>
  <si>
    <t>6528683074216006</t>
  </si>
  <si>
    <t>MS SNEHA ALAPPAT</t>
  </si>
  <si>
    <t>4375513849698007</t>
  </si>
  <si>
    <t>MR AMALAKANTI SRIKANTH</t>
  </si>
  <si>
    <t>6528682238290014</t>
  </si>
  <si>
    <t>MR PAKALAPATI VENKATARAMA RAJU</t>
  </si>
  <si>
    <t>6528681307331006</t>
  </si>
  <si>
    <t>MR PRAKASAM P</t>
  </si>
  <si>
    <t>6528682156658002</t>
  </si>
  <si>
    <t>MR Sreejith T</t>
  </si>
  <si>
    <t>6528682072791002</t>
  </si>
  <si>
    <t>HEMA</t>
  </si>
  <si>
    <t>MR ANGADI BASAVARAJU</t>
  </si>
  <si>
    <t>9908571767</t>
  </si>
  <si>
    <t>6528680605333003</t>
  </si>
  <si>
    <t>SGR RECEIVED 14510/- 3RD MAY''26</t>
  </si>
  <si>
    <t>PLOT NO 40/P KRISHNAMURTHY NAGARIDA JEEDIMETLA SUBHASHNAGARBHARATH PETROL BUNKHYDERABAD500055</t>
  </si>
  <si>
    <t>JEEDIMETLA</t>
  </si>
  <si>
    <t>MS THANNERU APARNA</t>
  </si>
  <si>
    <t>8341185082</t>
  </si>
  <si>
    <t>6528682595088001</t>
  </si>
  <si>
    <t>MIG-8"FLAT NO.504 ,5TH FLOOR CHITRAPURI COLONYCHITR"Ranga ReddyHYD500104</t>
  </si>
  <si>
    <t>MR CHANDA MALLA REDDY</t>
  </si>
  <si>
    <t>9527960713</t>
  </si>
  <si>
    <t>6528682030527001</t>
  </si>
  <si>
    <t xml:space="preserve">SGR RECEIVED 18K 18THMAY''26//PENDING 10K//7TH MAY 10K RECEIVED </t>
  </si>
  <si>
    <t>PLOT NO 169 CHANDA NAGAR HYDERABADNEAR BY P J RSTADIUMHYDERABAD500050</t>
  </si>
  <si>
    <t>MR CHANDRA SEKHAR GUNDA</t>
  </si>
  <si>
    <t>9849744532</t>
  </si>
  <si>
    <t>6528680563835007</t>
  </si>
  <si>
    <t>PRASIDHA</t>
  </si>
  <si>
    <t>SGR RECEIVED 7400/- 6TH MAY''26</t>
  </si>
  <si>
    <t>VIJAY/PRASAD</t>
  </si>
  <si>
    <t>48-12-7/9F-1 MANASA  APARMENT NEAT OLD SITI CABLE OFFICE  VISHAKAPATNAM  MAIN ROAD  VISHAKAPATNAM  530016</t>
  </si>
  <si>
    <t>AKKAYYAPALEM</t>
  </si>
  <si>
    <t xml:space="preserve">Q NO E88 OCC COLONY DEVAPOOR  KASIPET MANCHERIAL  MANCHERIAL NEAR MAIN ROAD ADILABAD TNG 504218  </t>
  </si>
  <si>
    <t>04-05-026</t>
  </si>
  <si>
    <t>ALLIPILLI APPOJI</t>
  </si>
  <si>
    <t>7989023041</t>
  </si>
  <si>
    <t>0007470190000269915</t>
  </si>
  <si>
    <t>xx1909</t>
  </si>
  <si>
    <t>D NO 2-15-31/6 SRI SAI SRINIVASAM NIVASBULDING GROUND FLOOR 1 SECTOR 9 MVPNEAR KAILASAGIRIVisakhapatnam530017</t>
  </si>
  <si>
    <t>BHANU PRAKASH KANDULA</t>
  </si>
  <si>
    <t>9515394153</t>
  </si>
  <si>
    <t>0007477770007097576</t>
  </si>
  <si>
    <t>SWARNA</t>
  </si>
  <si>
    <t>HNO 3 83 RAMALAYAM STREETKALA MANDAL WEST GODAVARI DISTRICTNEAR HIGH SCHOOLVISAKHAPATNAM530001</t>
  </si>
  <si>
    <t>SURYARAO KANDULA</t>
  </si>
  <si>
    <t>9989206589</t>
  </si>
  <si>
    <t>0007471200008487804</t>
  </si>
  <si>
    <t>xx8554</t>
  </si>
  <si>
    <t>SUNITHA_VJD</t>
  </si>
  <si>
    <t>D NO 8-61 DIVANAM VEEDHIJAGGAMPETA  KATRAVALAPALLENEAR ANJANEYASWAMI TEMPLE EAST GODAVARIEAST GODAVARI533437</t>
  </si>
  <si>
    <t>SURAJPAL DIDLA</t>
  </si>
  <si>
    <t>9989693705</t>
  </si>
  <si>
    <t>0007470850002221699</t>
  </si>
  <si>
    <t>xx4055</t>
  </si>
  <si>
    <t>SUREKHA</t>
  </si>
  <si>
    <t>D NO 2-8-22/2 MERAKAVEEDHIMERAKAVEEDHI,KOVVURUNEAR BY WATER TANKRAJAHMUNDRY534350</t>
  </si>
  <si>
    <t>SYED HASEEN BASHA</t>
  </si>
  <si>
    <t>9666690309</t>
  </si>
  <si>
    <t>0007471150003288907</t>
  </si>
  <si>
    <t>xx5702</t>
  </si>
  <si>
    <t>HOUSE DOOR NO 13 20 YENAMALA KUDURU ROAD2 NEW CURRENCYNAGAR TADIGADAPANEAR BY YSR BOMMAVIJAYAWADA520007</t>
  </si>
  <si>
    <t>MR SURESH NIMMAGADDA</t>
  </si>
  <si>
    <t>7013297878</t>
  </si>
  <si>
    <t>0007476780001464160</t>
  </si>
  <si>
    <t>xx8868</t>
  </si>
  <si>
    <t>PEDAIDIKIDU VILLAGE HNO 1 96PONNUR MANDAL GUNTUR DISTRICTNR BY AMBEDKAR STATUTEGUNTUR522124</t>
  </si>
  <si>
    <t>BURRI UDAYABHANU</t>
  </si>
  <si>
    <t>7893411491</t>
  </si>
  <si>
    <t>0007470170000459740</t>
  </si>
  <si>
    <t>xx1549</t>
  </si>
  <si>
    <t>D NO 2 260 KURNUTHALA VATTICHERUKURUGUNTUR NEAR JESUS STATUEGUNTUR522017</t>
  </si>
  <si>
    <t>SHAIK JAFFAR SADIQVALI</t>
  </si>
  <si>
    <t>9848259343</t>
  </si>
  <si>
    <t>0007470570001708377</t>
  </si>
  <si>
    <t>xx4377</t>
  </si>
  <si>
    <t>DOOR NO 12-1-318 ASHOK NAGARANANTAPURKURNOOL518001</t>
  </si>
  <si>
    <t>ANAND GORRELA</t>
  </si>
  <si>
    <t>9393393396</t>
  </si>
  <si>
    <t>0007470470000726399</t>
  </si>
  <si>
    <t>xx5107</t>
  </si>
  <si>
    <t>DRNO-13-2-50,NACHUVARI CENTRE,15 TH WARDGUNUPUDI,BHIMAVARAMNARSAPUR534201</t>
  </si>
  <si>
    <t>SRIRANGAM VALLABHARAO</t>
  </si>
  <si>
    <t>8309157833</t>
  </si>
  <si>
    <t>0007478950052056318</t>
  </si>
  <si>
    <t>xx8155</t>
  </si>
  <si>
    <t>D.NO.1-134 KOTHA VEEDHIPALAVALASAKASIBUGGA - NEAR VINAYAKA TEMPLEKASIBUGGA532264</t>
  </si>
  <si>
    <t>MR KOPPULA RAMAKRISHNA</t>
  </si>
  <si>
    <t>9848938018</t>
  </si>
  <si>
    <t>0007471150004829543</t>
  </si>
  <si>
    <t>xx9183</t>
  </si>
  <si>
    <t>H NO 1-104CHIRAKALAVARIPALEM NR BUS STANDGUNTUR522268</t>
  </si>
  <si>
    <t>MUKHESH PADAVALA</t>
  </si>
  <si>
    <t>6305864849</t>
  </si>
  <si>
    <t>0007471200013120275</t>
  </si>
  <si>
    <t>3 30 P V THOTA RAMANNAPALEM GRAMAM RAMANNAPALEM RAMANNAPALEM WE T GODAVARI ANDHRA PRADE HNARSAPUR534280</t>
  </si>
  <si>
    <t>KANULA SRAVAN KUMAR</t>
  </si>
  <si>
    <t>9908361628</t>
  </si>
  <si>
    <t>0007473488161812151</t>
  </si>
  <si>
    <t>xx0116</t>
  </si>
  <si>
    <t>H NO 28 9 755VENKATESHWARAPURAMNEAR VANI SCHOOLNELLORE524005</t>
  </si>
  <si>
    <t>VENKATESH KARRI</t>
  </si>
  <si>
    <t>9966312481</t>
  </si>
  <si>
    <t>0007471150001777992</t>
  </si>
  <si>
    <t>xx4828</t>
  </si>
  <si>
    <t>HNO  19-7-17MANTRIPRAGADASTREETNEAR BY HOSPITALKAKINADA533001</t>
  </si>
  <si>
    <t>VADAPALLI SRINIVASA RAO</t>
  </si>
  <si>
    <t>9394350025</t>
  </si>
  <si>
    <t>0007478830006312175</t>
  </si>
  <si>
    <t>xx8690</t>
  </si>
  <si>
    <t>HOUSE NO 3322ND STREET JANGAREDDYGUDEMNEAR BY WATER TANKJANGAREDDYGUDEM534447</t>
  </si>
  <si>
    <t>VIJAY KUMAR P</t>
  </si>
  <si>
    <t>7396163304</t>
  </si>
  <si>
    <t>0007478700127330457</t>
  </si>
  <si>
    <t>xx6428</t>
  </si>
  <si>
    <t>#38-30-185/1 HUSSAIN NAGAR MARRIPALEM -MARRIPALEMNEAR WATER TANK VISAKHAPATNAM URBANNEAR WATER TANK VISAKHAPATNAM URBANVisakhapatnam530018</t>
  </si>
  <si>
    <t>BODIREDLA SIVA</t>
  </si>
  <si>
    <t>9866459298</t>
  </si>
  <si>
    <t>0007478800009167983</t>
  </si>
  <si>
    <t>xx8766</t>
  </si>
  <si>
    <t>SGR RECEIVED 1906/- 29TH MAY''26</t>
  </si>
  <si>
    <t>H NO 2-15-47/1 KAILASGIRIROPE WAY ROAD GOLLAVARI STREET MVPSECTOR 9 NEAR BY BC WELFARE OFFICEVIZAG530017</t>
  </si>
  <si>
    <t>MOTUPALLI DURGADEVI</t>
  </si>
  <si>
    <t>8712804617</t>
  </si>
  <si>
    <t>0007470810014057762</t>
  </si>
  <si>
    <t>xx0363</t>
  </si>
  <si>
    <t>H NO 07-11-465 MAIN ROADHOUSING BOARD COLONYNEAR BY KRISHNA MANDIRONGOLE523001</t>
  </si>
  <si>
    <t>D YOGESH CHANDRA</t>
  </si>
  <si>
    <t>9866074149</t>
  </si>
  <si>
    <t>0007478950037960451</t>
  </si>
  <si>
    <t>xx2126</t>
  </si>
  <si>
    <t>F NO. 302 SAI KANTHI RESIDENCY Y V RAOHOSPITAL ROAD LABBIPET VIJAYWADA URBANKRISHNAKRISHNAKRISHNA520010</t>
  </si>
  <si>
    <t>0007478000001280534</t>
  </si>
  <si>
    <t>xx5761</t>
  </si>
  <si>
    <t>KATUMALA CHANDRA RAO</t>
  </si>
  <si>
    <t>9966044224</t>
  </si>
  <si>
    <t>0007471150006299083</t>
  </si>
  <si>
    <t>xx3998</t>
  </si>
  <si>
    <t>DNO 11135/A S/O YAKOBUAMBEDKAR NAGAR 1ST LINE SATTENAPALLINEAR RAILWAY STATIONPIDUGURALLA522403</t>
  </si>
  <si>
    <t>KISHOREBABU TALLAPUDI</t>
  </si>
  <si>
    <t>9059799888</t>
  </si>
  <si>
    <t>0007477800007590336</t>
  </si>
  <si>
    <t>D NO 3-3-48 MANGAYAMMARAO PETAMUNCAPAL OFFICEMUNCAPAL OFFICESAMALKOTA533450</t>
  </si>
  <si>
    <t>MR VANTAKULA RAMANA</t>
  </si>
  <si>
    <t>9247237770</t>
  </si>
  <si>
    <t>0007473000002653775</t>
  </si>
  <si>
    <t>xx3624</t>
  </si>
  <si>
    <t>2-107 ROLUGUNTA KOARAVOLUVISHAKAPATNAMVISAKHAPATNAM530001</t>
  </si>
  <si>
    <t>OGIRALA SRIKIRAN</t>
  </si>
  <si>
    <t>9000642553</t>
  </si>
  <si>
    <t>0007470890004627501</t>
  </si>
  <si>
    <t>xx0125</t>
  </si>
  <si>
    <t>D NO 4138 BHUJABALAPATNAMNEAR CBN CHURCHKAIKALURU KRISHNA DISTRICTKAIKALURU521340</t>
  </si>
  <si>
    <t>05-05-026</t>
  </si>
  <si>
    <t>49-54-7/17 F NO 104 GEETHA MANSION 6  BALAYYA SASTRI LAYOUT SEETHAMMADHARA  SAI BABA MHATAM STREET  SAI BABA MHATAM ARCH ROAD  VISHAKAPATNAM  530013</t>
  </si>
  <si>
    <t>A.RAMESH</t>
  </si>
  <si>
    <t>MR ERUPELLI VALLABHARAO</t>
  </si>
  <si>
    <t>4315811925734008</t>
  </si>
  <si>
    <t>DHANA LAXMI</t>
  </si>
  <si>
    <t>"71-31-1800 KAKARA LOVA,GANDHIGRAM,"  PEDAGANTYADA  VIZAG  -  VIZAG  530005</t>
  </si>
  <si>
    <t>MR DUSARLAPUDU VENKATA SATISHBABU</t>
  </si>
  <si>
    <t>4315811018203010</t>
  </si>
  <si>
    <t>SGR RECEIVED 9900/-27TH MAY''26</t>
  </si>
  <si>
    <t>QTR 217/D  SECTOR 1  VIZAG STEEL PLANT  NEAR HOSTEL BUSSTOP  VISHAKAPATNAM  530031</t>
  </si>
  <si>
    <t>M.SIVA</t>
  </si>
  <si>
    <t>MR LAKSHMAN KUMAR</t>
  </si>
  <si>
    <t>DHANA</t>
  </si>
  <si>
    <t>DRNO 6-19-10/A  EASTPOINT COLONY CHINNAWARTER    NR SAI BABA TEMPLE  VISHAKAPATNAM  530017</t>
  </si>
  <si>
    <t>CH.WALTAIR</t>
  </si>
  <si>
    <t>MR Peddarapu Nagaraju</t>
  </si>
  <si>
    <t>9704107534</t>
  </si>
  <si>
    <t>4315812703167007</t>
  </si>
  <si>
    <t>SGR RECEIVED 23900/- 2ND JUNE''26</t>
  </si>
  <si>
    <t>S/O Pullaiah!!2-102/1 1-1 To 398  Ambetkar Nagar!!Rentachintala Guntur!Andhra Pradesh!522421</t>
  </si>
  <si>
    <t>MS CH JYOTHSNA</t>
  </si>
  <si>
    <t>8106358955</t>
  </si>
  <si>
    <t>6528680871951009</t>
  </si>
  <si>
    <t>SURESH SIR</t>
  </si>
  <si>
    <t>SGR RECEIVED 20500/- 2ND JUNE''26//PENDING 2000</t>
  </si>
  <si>
    <t>FT-102, ISTFLOOR VEDHA TOWERS MRR COLONY CHAKRIPURAM 9848234125 KUSHAIGUDA Hyderabad 500062 Telangana MEDCHAL MALKAJGIRI India</t>
  </si>
  <si>
    <t>KHUSHAI GUDA</t>
  </si>
  <si>
    <t>2ND BKT KADAPA</t>
  </si>
  <si>
    <t>SGR RECEIVED 10K 15TH MAY''26 // PEDING 19770//SGR RECEIVED 19770/- 23RD MAY''26//SGR RECEIVED 19770/-23RD MAY''26</t>
  </si>
  <si>
    <t>1-4-19Abaad Petapkd roadAnantapurHINDUPURANP515201</t>
  </si>
  <si>
    <t>MR EERAPOGU YERRABURUJU PRAKASH</t>
  </si>
  <si>
    <t>7337561979</t>
  </si>
  <si>
    <t>4786720007242006</t>
  </si>
  <si>
    <t>SGR RECEIVED 10K 14TH MAY''26</t>
  </si>
  <si>
    <t>D NO 44 28 3 1 CHEMMUMIYAPETA"CUDDAPAH CUDDAPAH ,CUDDAPAH ,516001"MAINROADCUDDAPAHANP516004</t>
  </si>
  <si>
    <t>Mr MUPPALLA SIVAGANESH</t>
  </si>
  <si>
    <t>4035621812291007</t>
  </si>
  <si>
    <t>MR Monish D</t>
  </si>
  <si>
    <t>4315812224751008</t>
  </si>
  <si>
    <t>MR MOHD AFROZ</t>
  </si>
  <si>
    <t>4315812075427013</t>
  </si>
  <si>
    <t>MR. P SSV KRISHNA</t>
  </si>
  <si>
    <t>4315811630778001</t>
  </si>
  <si>
    <t>MR S Muthu Vinayagam</t>
  </si>
  <si>
    <t>4315812225653005</t>
  </si>
  <si>
    <t>MR Karthick Esakki Muthu</t>
  </si>
  <si>
    <t>4315812296660004</t>
  </si>
  <si>
    <t>MR A SAHAYARAJ</t>
  </si>
  <si>
    <t>5241934201492004</t>
  </si>
  <si>
    <t>08-05-026</t>
  </si>
  <si>
    <t>Ms Suvvari Anuradha</t>
  </si>
  <si>
    <t>4375519530680014</t>
  </si>
  <si>
    <t>MR LOYA AJAY</t>
  </si>
  <si>
    <t>4748464750067008</t>
  </si>
  <si>
    <t>Ms Bandla Prasanthi</t>
  </si>
  <si>
    <t>4375518896789005</t>
  </si>
  <si>
    <t>Mr RAHMAN Abdul Machingal</t>
  </si>
  <si>
    <t>4375519077563011</t>
  </si>
  <si>
    <t>MS SUMALATHA P</t>
  </si>
  <si>
    <t>4375515548392006</t>
  </si>
  <si>
    <t>MR ANIL MOHAN BADIGER</t>
  </si>
  <si>
    <t>4375519042778009</t>
  </si>
  <si>
    <t>MR SUNREDDY KONTHAM</t>
  </si>
  <si>
    <t>4375515465159040</t>
  </si>
  <si>
    <t>Mr Rakesh R</t>
  </si>
  <si>
    <t>4375519082135003</t>
  </si>
  <si>
    <t>MR. CLEMENTJOYAROKIASAMY A</t>
  </si>
  <si>
    <t>4748460013394023</t>
  </si>
  <si>
    <t>Mr GIRI Palla Praveen</t>
  </si>
  <si>
    <t>7382488618</t>
  </si>
  <si>
    <t>4375519074070028</t>
  </si>
  <si>
    <t>"DNO 19-109/2 SECTOR-1,SAI MADAVA NAGAR, NAIDUTHOTA"        VISAKHAPATNAM  530047</t>
  </si>
  <si>
    <t>NAIDU THOTA</t>
  </si>
  <si>
    <t>BOGI SANDEEP KUMAR</t>
  </si>
  <si>
    <t>8897535577</t>
  </si>
  <si>
    <t>0007477800008766612</t>
  </si>
  <si>
    <t>D.NO 14-9-3/4 ZILLAPARISHAD DANDI VEEDINEAR SESHAGIRI RAO HOSPITAL SRIKAKULAMVisakhapatnam532001</t>
  </si>
  <si>
    <t>DO NO 136-4-125 ADITYA NAGAR 0 LINESHIVANAGARAJU COLNY,GUNTURGUNTUR522002</t>
  </si>
  <si>
    <t>MR MALAPATI ASHOK</t>
  </si>
  <si>
    <t>8184970503</t>
  </si>
  <si>
    <t>0007471150005852361</t>
  </si>
  <si>
    <t>xx1842</t>
  </si>
  <si>
    <t>HNO 131 MOTHER THERESA COLONYNEAR VIJAYA DIGITALSGUNTUR</t>
  </si>
  <si>
    <t>9414201897</t>
  </si>
  <si>
    <t>MR KOKKILIGADDA RAMESH BABU</t>
  </si>
  <si>
    <t>7013583085</t>
  </si>
  <si>
    <t>0007476780002336441</t>
  </si>
  <si>
    <t>xx1186</t>
  </si>
  <si>
    <t>HNO-17-13-13 PALABAZAR GANDHINAGARVIJAYAWADA URBAN NEAR AMBEDKAR STATUESTATUEVIJAYAWADA520003</t>
  </si>
  <si>
    <t>MR EESUB BASHA SHAIK</t>
  </si>
  <si>
    <t>9848862971</t>
  </si>
  <si>
    <t>0007477800009060379</t>
  </si>
  <si>
    <t>PLOT NO 855 TEACHERS COLONYBAPATLA GUNTURNEAR BY TEMPLEGUNTUR522101</t>
  </si>
  <si>
    <t>KORAPATI SUDAKAR SUDHAKAR</t>
  </si>
  <si>
    <t>9866320578</t>
  </si>
  <si>
    <t>0007477800007913132</t>
  </si>
  <si>
    <t>DOOR NO 10-97 RICE MILL ROADGANNAVARAM RAM NAGAR NEAR GANDHI BOMMANEAR CURRENT OFFICEVIJAYAWADA521101</t>
  </si>
  <si>
    <t>KONDETIMURALIBA BABU</t>
  </si>
  <si>
    <t>9010603392</t>
  </si>
  <si>
    <t>0007477800008520597</t>
  </si>
  <si>
    <t>S/O K RAMAIAH D NO.7/91NARASARAM PETARAILWAY KODURRAILWAY KODURU516101</t>
  </si>
  <si>
    <t>MR GOKULA KRISHNA TENKAYALA</t>
  </si>
  <si>
    <t>9963021247</t>
  </si>
  <si>
    <t>0007477770006519893</t>
  </si>
  <si>
    <t>20 1A 87 3 1ST CROSS RDPARAMESHWARI NGRNELLORENELLORE524002</t>
  </si>
  <si>
    <t>MR SAI TEJA SANNAREDDY</t>
  </si>
  <si>
    <t>918686125137</t>
  </si>
  <si>
    <t>0007476780004824378</t>
  </si>
  <si>
    <t>xx4503</t>
  </si>
  <si>
    <t>HNO 127 2 ANNAPURNA APARTMENTNELLORE ANDHRA PRADESHNEAR BY MAIN ROADNELLORE</t>
  </si>
  <si>
    <t>BITRA SRINIVASULU</t>
  </si>
  <si>
    <t>919010535399</t>
  </si>
  <si>
    <t>0007473030000769513</t>
  </si>
  <si>
    <t>xx7456</t>
  </si>
  <si>
    <t>D NO 26-7-85 GANDHINAGARNEAR BY REASHAMA HOTEL524004</t>
  </si>
  <si>
    <t>POTTI VENKATA PRASANNA CHAITANYA KUMAR</t>
  </si>
  <si>
    <t>919849321077</t>
  </si>
  <si>
    <t>0007476600011999536</t>
  </si>
  <si>
    <t>xx8795</t>
  </si>
  <si>
    <t>H NO 6-1-390 GAYATRI COMPLEXSINGARAJU VARI STREET NELLOREOPPOSITE TO WATER TANK524002</t>
  </si>
  <si>
    <t>K V MADHAN KUMAR</t>
  </si>
  <si>
    <t>919603669043</t>
  </si>
  <si>
    <t>0007478950026823108</t>
  </si>
  <si>
    <t>xx2017</t>
  </si>
  <si>
    <t>FLAT NO. 1, B KALYANAMMA HOMES,YOGAMALLAVARAM, TIRUCHANOOR, TIRUPATHI,517503</t>
  </si>
  <si>
    <t>MR BOLLAM RAO</t>
  </si>
  <si>
    <t>5241931937789000</t>
  </si>
  <si>
    <t>MR PENDAKATLA SRINIVASA RAO</t>
  </si>
  <si>
    <t>5241933868483009</t>
  </si>
  <si>
    <t>MR DHARMA TEJA DHARMA TEJA CHOWDARY</t>
  </si>
  <si>
    <t>4748469882272004</t>
  </si>
  <si>
    <t>MS LIPSA BHUYAN</t>
  </si>
  <si>
    <t>4748460196308006</t>
  </si>
  <si>
    <t>MR MANGALA BALAKRISHNA</t>
  </si>
  <si>
    <t>4748469423853007</t>
  </si>
  <si>
    <t>MS HEMALATHA HEMALATHA</t>
  </si>
  <si>
    <t>5241931951280001</t>
  </si>
  <si>
    <t>MS VOJJALA ALEKHYA</t>
  </si>
  <si>
    <t>5241931922393008</t>
  </si>
  <si>
    <t>MR SOLOMON ANBURAJ C</t>
  </si>
  <si>
    <t>4375519851224012</t>
  </si>
  <si>
    <t>MR SIKANDER G</t>
  </si>
  <si>
    <t>374740391404018</t>
  </si>
  <si>
    <t>MR SANDIRI ARVIND KUMAR</t>
  </si>
  <si>
    <t>9885452666</t>
  </si>
  <si>
    <t>4748469398322004</t>
  </si>
  <si>
    <t>PLOTNO 110GANGAPHTRA COLONY"MUSHERABAD, HYDERABAD"100 METRES TO HANUMAN TEMPLEHYDERABADTNG500020</t>
  </si>
  <si>
    <t>MUSHERABAD</t>
  </si>
  <si>
    <t>MR Surakala Satyanandam</t>
  </si>
  <si>
    <t>7842348999</t>
  </si>
  <si>
    <t>4748460167762009</t>
  </si>
  <si>
    <t>SURYA</t>
  </si>
  <si>
    <t>20-101  CHINNA GADHILI MANDALAM  MAHATMA ADARSH NAGAR  NEAR ANJANEYASWAMY TEMPLE  VISHAKAPATNAM  530027</t>
  </si>
  <si>
    <t>ADARSH NAGAR</t>
  </si>
  <si>
    <t>MR GUJJELA MAHESH</t>
  </si>
  <si>
    <t>6303243719</t>
  </si>
  <si>
    <t>4748469632994006</t>
  </si>
  <si>
    <t>C-95 10  KUNTI STREET    KURIDI POST  ANAKAPALLE  531151</t>
  </si>
  <si>
    <t>MR SUNEEL KUMAR YADAV</t>
  </si>
  <si>
    <t>4315812338084007</t>
  </si>
  <si>
    <t>MR Rajendra Prasad D</t>
  </si>
  <si>
    <t>4315812416689008</t>
  </si>
  <si>
    <t>MR CHAKRAVARTHY KATAKAM</t>
  </si>
  <si>
    <t>4375517615738012</t>
  </si>
  <si>
    <t>MR Ragam Srinivas</t>
  </si>
  <si>
    <t>4315812905485009</t>
  </si>
  <si>
    <t>MR HARIBALAKRISHNAN KG</t>
  </si>
  <si>
    <t>4375517736383003</t>
  </si>
  <si>
    <t>MR Karanam Prasadarao</t>
  </si>
  <si>
    <t>4315814096060005</t>
  </si>
  <si>
    <t>MR Sheik Saleem</t>
  </si>
  <si>
    <t>4315815461064001</t>
  </si>
  <si>
    <t>MR BOTLA CHARAN KUMAR</t>
  </si>
  <si>
    <t>4315815177462002</t>
  </si>
  <si>
    <t>MR ANTONYDESLVA SATHISH MARYAN</t>
  </si>
  <si>
    <t>4315814630874010</t>
  </si>
  <si>
    <t>MS Thandra Anuradha</t>
  </si>
  <si>
    <t>4315814261953000</t>
  </si>
  <si>
    <t>MS V ANANTHI</t>
  </si>
  <si>
    <t>4315814582136004</t>
  </si>
  <si>
    <t>MR PRAKASH PRAKASH</t>
  </si>
  <si>
    <t>4315813362480004</t>
  </si>
  <si>
    <t>MR SILIVERU SAI TEJA</t>
  </si>
  <si>
    <t>4315816077954007</t>
  </si>
  <si>
    <t>MR Elayattu Saraj Mohan</t>
  </si>
  <si>
    <t>4315815795763005</t>
  </si>
  <si>
    <t>MR Regunta Shivateja</t>
  </si>
  <si>
    <t>4315814697453013</t>
  </si>
  <si>
    <t>MS Yenugula Radha</t>
  </si>
  <si>
    <t>4315815197592002</t>
  </si>
  <si>
    <t>MR C NANJUNDASWAMY</t>
  </si>
  <si>
    <t>4315814829958004</t>
  </si>
  <si>
    <t>MR SIVAKUMAR SIVAKUMAR</t>
  </si>
  <si>
    <t>4315815964083003</t>
  </si>
  <si>
    <t>MR Birudugadda Srikanth</t>
  </si>
  <si>
    <t>4315813981831009</t>
  </si>
  <si>
    <t>MR Kella Durga Rao</t>
  </si>
  <si>
    <t>4315815107069000</t>
  </si>
  <si>
    <t>MR SOBIN KA</t>
  </si>
  <si>
    <t>4315812691244008</t>
  </si>
  <si>
    <t>Mr KARTHIBAN S</t>
  </si>
  <si>
    <t>4315814979502008</t>
  </si>
  <si>
    <t>MR Jeyaselvin Durai Sukumar</t>
  </si>
  <si>
    <t>4315813348124007</t>
  </si>
  <si>
    <t>Mr Mahendran V</t>
  </si>
  <si>
    <t>4375515627941004</t>
  </si>
  <si>
    <t>MR Abishek AL</t>
  </si>
  <si>
    <t>4315814014402008</t>
  </si>
  <si>
    <t>MR Manje Appajirao</t>
  </si>
  <si>
    <t>4315814269761009</t>
  </si>
  <si>
    <t>MR Vantala Chetan Kumar</t>
  </si>
  <si>
    <t>4315814022313007</t>
  </si>
  <si>
    <t>MR SREELESH C</t>
  </si>
  <si>
    <t>4315812637426008</t>
  </si>
  <si>
    <t>MR Ahamed Sinan</t>
  </si>
  <si>
    <t>4315812426606000</t>
  </si>
  <si>
    <t>MS SHAIK NAZIYA</t>
  </si>
  <si>
    <t>4315814438885002</t>
  </si>
  <si>
    <t>MR G SIVA PRASAD</t>
  </si>
  <si>
    <t>4315814550867002</t>
  </si>
  <si>
    <t>MRT KARTHICK</t>
  </si>
  <si>
    <t>4315816026841008</t>
  </si>
  <si>
    <t>MR YARRAMSETTI SAI RAM</t>
  </si>
  <si>
    <t>4315813587910009</t>
  </si>
  <si>
    <t>MR SUJITH K</t>
  </si>
  <si>
    <t>4375517714768019</t>
  </si>
  <si>
    <t>MR VIGNESH RAJARAM</t>
  </si>
  <si>
    <t>4315812668303001</t>
  </si>
  <si>
    <t>MR PALOJU KUMAR</t>
  </si>
  <si>
    <t>4315814311760009</t>
  </si>
  <si>
    <t>MR VYSAKH J</t>
  </si>
  <si>
    <t>4315813416634002</t>
  </si>
  <si>
    <t>SGR RECEIVED 35161/- 13TH MAY''26</t>
  </si>
  <si>
    <t>SGR RECEIVED 23450/- 3RD JUNE</t>
  </si>
  <si>
    <t>BANGLORE</t>
  </si>
  <si>
    <t>Ms NAINA VENKATA MAHESWARI</t>
  </si>
  <si>
    <t>7995322338</t>
  </si>
  <si>
    <t>4315812897515003</t>
  </si>
  <si>
    <t>"-,9-13-16/2,-,NEAR GANESH TEMPLE,"  "NEW RESAPUVANIPALEM,NEW RESAPUVANIPALEM,"  VISAKHAPATNAM URBAN    VISHAKAPATNAM  530013</t>
  </si>
  <si>
    <t>MR Landa Mallesu</t>
  </si>
  <si>
    <t>9618278943</t>
  </si>
  <si>
    <t>4315814806147001</t>
  </si>
  <si>
    <t>D.NO.48.18.62  1.ST.FLOOR  TULASIPETA  NEAR UMA NURSING HOME  VISHAKAPATNAM  530013</t>
  </si>
  <si>
    <t>DWAKARAKANAGAR</t>
  </si>
  <si>
    <t xml:space="preserve">35-4-148 VIJAYAKANAKADURGA COLONY ROAD NUMBER 2 GOPALPUR HANAMKONDA SBI BANK OPP WARANGAL TNG 506002 </t>
  </si>
  <si>
    <t>MS Manimala Chilikam</t>
  </si>
  <si>
    <t>9494259944</t>
  </si>
  <si>
    <t>4315813220163008</t>
  </si>
  <si>
    <t>BVR RECEIVED 35741/- 30TH MAY''26(OFFICE EXPENSIVE)</t>
  </si>
  <si>
    <t xml:space="preserve">C/O Subba Reddy Chilikam 26 16 32 kaver i avenue kondayapalem road Nellore  Nell ore Andhra Pradesh 524004 near iskcon city NELLORE ANP 524004 </t>
  </si>
  <si>
    <t>MR SHAIK ABDUL KHADER</t>
  </si>
  <si>
    <t>9014211189</t>
  </si>
  <si>
    <t>4315814763674005</t>
  </si>
  <si>
    <t>BVR RECEIVED 12750/- 12TH MAY''26//PENDING12500//18TH MAY''26 12200/- BVR RECEIVED PENDING 300(OFFICE EXPENSIVE)</t>
  </si>
  <si>
    <t>21/275  HYDAR KHAN STREET   CUDDAPAH PRODDATUR ANP 516360</t>
  </si>
  <si>
    <t>MR JAMMALADINNE MAMILLA SUDHAKAR</t>
  </si>
  <si>
    <t>8179796510</t>
  </si>
  <si>
    <t>4748469409053002</t>
  </si>
  <si>
    <t>SGR RECEIVED 11300/- 15TH MAY''26</t>
  </si>
  <si>
    <t>"18-29,,KUMMARI STREET"  CHAGALAMARRI AZIM PUBLIC SCHOOL NANDYAL ANP 518553</t>
  </si>
  <si>
    <t>.  METTAKURU  G N NAIDU COLONYYANAM METTAKUR KAKINADA ANP 533464</t>
  </si>
  <si>
    <t>Mr K PARASHURAM</t>
  </si>
  <si>
    <t>9985981579</t>
  </si>
  <si>
    <t>4315812667305007</t>
  </si>
  <si>
    <t>RABBANI/KURNOOL , 9052323785</t>
  </si>
  <si>
    <t>"6-2-66,ATKARPET"    MAHBOOBNAGAR TNG 509125</t>
  </si>
  <si>
    <t>2ND BKT (VJW)</t>
  </si>
  <si>
    <t>KINTHADA SIVA  KAMESWARI</t>
  </si>
  <si>
    <t>9948928229</t>
  </si>
  <si>
    <t>141000000161034</t>
  </si>
  <si>
    <t>XXXXXXXXXXXX4738</t>
  </si>
  <si>
    <t>FLAT NO-205,1ST FLOOR,JAI DURGA TOWERS,KAMAYYATHOPU CENTER,KANURU,VIJAYAWADA (RURAL),,VIJAYAWADA,520007</t>
  </si>
  <si>
    <t>TULABANDULA SUDHAKAR  RAO</t>
  </si>
  <si>
    <t>9290042617</t>
  </si>
  <si>
    <t>1630000000723813</t>
  </si>
  <si>
    <t>XXXXXXXXXXXX4906</t>
  </si>
  <si>
    <t>SYDAWALLI</t>
  </si>
  <si>
    <t>SGR RECEIVED 3303/- 14TH MAY''26</t>
  </si>
  <si>
    <t>20-144,POTTI SRI RAMULU STREET CHILAKALURIPET,,GUNTUR,522616</t>
  </si>
  <si>
    <t>PINNIBOYENA VENKATA  KISHORE</t>
  </si>
  <si>
    <t>9440585642</t>
  </si>
  <si>
    <t>1830000001239791</t>
  </si>
  <si>
    <t>XXXXXXXXXXXX2562</t>
  </si>
  <si>
    <t>RANJITH</t>
  </si>
  <si>
    <t>12 67 by 3, RAGHAVAPURAM, KRISHNA,REDDIGUDEM MANDALAM,,VIJAYAWADA,521215</t>
  </si>
  <si>
    <t>REDDIGUDEM</t>
  </si>
  <si>
    <t>ADUSUMALLI  NARESH</t>
  </si>
  <si>
    <t>8121855530</t>
  </si>
  <si>
    <t>090000000339154</t>
  </si>
  <si>
    <t>XXXXXXXXXXXX2737</t>
  </si>
  <si>
    <t>26-64/a, venkata krishnapuram,devarayabhotlapalem venkta,krishnapuram guntur,GUNTUR,522509</t>
  </si>
  <si>
    <t>MEDAM CHAITANYA  KUMAR</t>
  </si>
  <si>
    <t>7799651425</t>
  </si>
  <si>
    <t>1830000000192439</t>
  </si>
  <si>
    <t>XXXXXXXXXXXX6909</t>
  </si>
  <si>
    <t>IMAM</t>
  </si>
  <si>
    <t>10-106, WARD 17, OLD TOWN,MACHERLA,GUNTUR,MACHERLA,522426</t>
  </si>
  <si>
    <t>SHAIK  NEELUFAR</t>
  </si>
  <si>
    <t>8247862344</t>
  </si>
  <si>
    <t>102000020450802</t>
  </si>
  <si>
    <t>XXXXXXXXXXXX0492</t>
  </si>
  <si>
    <t>21-4-104,JANDA STREET,,NELLORE,,,NELLORE,524001</t>
  </si>
  <si>
    <t>SHAIK NAZAR  ALI</t>
  </si>
  <si>
    <t>9010823794</t>
  </si>
  <si>
    <t>126000004986476</t>
  </si>
  <si>
    <t>XXXXXXXXXXXX2524</t>
  </si>
  <si>
    <t>8 11 51  1 ST FLOOR,NARAYANA SWAMY STREET  VINCHIPETA,VIJAYAWADA ANDHRA PRADESH,,VIJAYAWADA,520001</t>
  </si>
  <si>
    <t>THATIPARTHI  ABRAHAM</t>
  </si>
  <si>
    <t>8885334445</t>
  </si>
  <si>
    <t>102000023137398</t>
  </si>
  <si>
    <t>XXXXXXXXXXXX0862</t>
  </si>
  <si>
    <t>D NO 19 by 304 KAMAATI STREET NEAR KRISHNA MANDH,,,,NELLORE,524001</t>
  </si>
  <si>
    <t>TABETI PREM  KUMAR</t>
  </si>
  <si>
    <t>9989052499</t>
  </si>
  <si>
    <t>102000027798914</t>
  </si>
  <si>
    <t>XXXXXXXXXXXX3952</t>
  </si>
  <si>
    <t>PAVAN</t>
  </si>
  <si>
    <t>AJEES/OOGOLE , 7093700713</t>
  </si>
  <si>
    <t>5/123B AMBEDKAR STATUE, INAMANAMELLUR,,,,PRAKASAM,523211</t>
  </si>
  <si>
    <t>MOSA  SWAROOPA</t>
  </si>
  <si>
    <t>9966498337</t>
  </si>
  <si>
    <t>102000024037225</t>
  </si>
  <si>
    <t>XXXXXXXXXXXX3698</t>
  </si>
  <si>
    <t>26-12-1759, BANK COLONY, NEAR NUDA PARKBV,NAGAR,NELLORE 524004 RTO OFFICE ROAD,,KONDAYAPALEM, INDIRA NAGAR,,NELLORE,524003</t>
  </si>
  <si>
    <t>RIYAZ  SHAIK</t>
  </si>
  <si>
    <t>8143500812</t>
  </si>
  <si>
    <t>102000020594492</t>
  </si>
  <si>
    <t>XXXXXXXXXXXX9397</t>
  </si>
  <si>
    <t>FLAT NO 994 NSCP NAGAR,KUNDAWARI KANARIAKA,VIJAYAWADA,,VIJAYAWADA,520015</t>
  </si>
  <si>
    <t>Bojja Venkata  Kavya</t>
  </si>
  <si>
    <t>9100395409</t>
  </si>
  <si>
    <t>126000007856619</t>
  </si>
  <si>
    <t>XXXXXXXXXXXX4622</t>
  </si>
  <si>
    <t>SAI PAVAN</t>
  </si>
  <si>
    <t>D by O BOJJA SIVA KUMAR,36 by 443,7 1,ASHOK NAGAR CUDDAPAH,CHINNACHOWK,,CUDDAPAH CHINNACHOWK,,CUDDAPAH,516002</t>
  </si>
  <si>
    <t>PURAMA  GOPALARAO</t>
  </si>
  <si>
    <t>9705275296</t>
  </si>
  <si>
    <t>102000016611359</t>
  </si>
  <si>
    <t>XXXXXXXXXXXX4130</t>
  </si>
  <si>
    <t>SAI KUMAR</t>
  </si>
  <si>
    <t>5-43 VIJAYAWADA RURAL JAKKAMPUDI,JAKKAMPUDI,,,Vijayawada,520012</t>
  </si>
  <si>
    <t>MEDAVARAPU JAGANNADHA  SARVESWARA SRINIVAS</t>
  </si>
  <si>
    <t>9848534867</t>
  </si>
  <si>
    <t>102000021320087</t>
  </si>
  <si>
    <t>XXXXXXXXXXXX6684</t>
  </si>
  <si>
    <t>RAMA LAKSHMI</t>
  </si>
  <si>
    <t>14-604 AGRAHARAM DOWLAISWARAM,,,,DOWLAISWARAM,533125</t>
  </si>
  <si>
    <t>DOWLAISWARAM</t>
  </si>
  <si>
    <t>VUTA  NAGARAJU</t>
  </si>
  <si>
    <t>8185993188</t>
  </si>
  <si>
    <t>102000017896751</t>
  </si>
  <si>
    <t>XXXXXXXXXXXX9436</t>
  </si>
  <si>
    <t>S/O: UTA SURYANARAYANA, HOUSE,NUMBER 713/2 KALINGA PETA,,KOVVALI, WEST GODAVARI,,West godavari,534442</t>
  </si>
  <si>
    <t>West godavari</t>
  </si>
  <si>
    <t>MR. NIKIL MG</t>
  </si>
  <si>
    <t>5241932056947007</t>
  </si>
  <si>
    <t>MR. SURIYABABU R</t>
  </si>
  <si>
    <t>4375512382468000</t>
  </si>
  <si>
    <t>MR. MAHENDRA HM</t>
  </si>
  <si>
    <t>5241933265566000</t>
  </si>
  <si>
    <t>MR BIJU NK</t>
  </si>
  <si>
    <t>5241939343980006</t>
  </si>
  <si>
    <t>MR. SUNIL KUMAR JAMMAN</t>
  </si>
  <si>
    <t>4375513026773003</t>
  </si>
  <si>
    <t>MRS LAKSHMI LALAM</t>
  </si>
  <si>
    <t>5241939236310006</t>
  </si>
  <si>
    <t>MR INDARAPU RAVI</t>
  </si>
  <si>
    <t>5241939215227007</t>
  </si>
  <si>
    <t>Mr SRINIVASULU P</t>
  </si>
  <si>
    <t>4035620551392000</t>
  </si>
  <si>
    <t>MR MEKALA VENKATA VARA PRASAD</t>
  </si>
  <si>
    <t>4035621642350007</t>
  </si>
  <si>
    <t>MR MAYIL V</t>
  </si>
  <si>
    <t>4035620163572015</t>
  </si>
  <si>
    <t>MS BADE SRI HARSHA</t>
  </si>
  <si>
    <t>4035621990100004</t>
  </si>
  <si>
    <t>MR G INTHIYAS</t>
  </si>
  <si>
    <t>4748467729613000</t>
  </si>
  <si>
    <t>MR VEGU SWAMY</t>
  </si>
  <si>
    <t>4035621082556006</t>
  </si>
  <si>
    <t>MR CHARLES CHARLES</t>
  </si>
  <si>
    <t>4035621271737003</t>
  </si>
  <si>
    <t>MR RAVITEJA PENUMATSA</t>
  </si>
  <si>
    <t>4035620177341001</t>
  </si>
  <si>
    <t>MR SASIDHAR NERELLA</t>
  </si>
  <si>
    <t>4035620403184001</t>
  </si>
  <si>
    <t>1-7-9/1/2 CHAITHANYAPURIHYDERABADCHAITHANYA HIGH SCHOOLHYDERABAD500036</t>
  </si>
  <si>
    <t>CHAITANYAPURI</t>
  </si>
  <si>
    <t>MR RAGHU KALAL</t>
  </si>
  <si>
    <t>4035620702959004</t>
  </si>
  <si>
    <t>MS V KUMARI</t>
  </si>
  <si>
    <t>4035620579346004</t>
  </si>
  <si>
    <t>MR SEETEPALLI VIJAYA KANTHI KIRAN</t>
  </si>
  <si>
    <t>4035621612112007</t>
  </si>
  <si>
    <t>MR PAVANKUMAR R</t>
  </si>
  <si>
    <t>4035620689363006</t>
  </si>
  <si>
    <t>MR MOHAN R</t>
  </si>
  <si>
    <t>4102021127828007</t>
  </si>
  <si>
    <t>Mr MANIKANDARAJAN NAGARAJAN</t>
  </si>
  <si>
    <t>4085110023813006</t>
  </si>
  <si>
    <t>Mr CHIGULLAPALLY RENUKA</t>
  </si>
  <si>
    <t>4035621365246002</t>
  </si>
  <si>
    <t>MR PAGILLA ANJANEYULU</t>
  </si>
  <si>
    <t>4035620962296006</t>
  </si>
  <si>
    <t>Mr SANOFAR Mohammed M</t>
  </si>
  <si>
    <t>4375517440107003</t>
  </si>
  <si>
    <t>MR KRISHNA MIRIYALA</t>
  </si>
  <si>
    <t>4035620411689009</t>
  </si>
  <si>
    <t>MR SATHYAVETI SUBRAMANYAM</t>
  </si>
  <si>
    <t>4035621167280001</t>
  </si>
  <si>
    <t>MR RAJESH NAIK</t>
  </si>
  <si>
    <t>4035622052012004</t>
  </si>
  <si>
    <t>MR K RANGANATHA</t>
  </si>
  <si>
    <t>4035620754320006</t>
  </si>
  <si>
    <t>MR SAIDULU MACHHA</t>
  </si>
  <si>
    <t>9703824356</t>
  </si>
  <si>
    <t>4035620751439007</t>
  </si>
  <si>
    <t>DURGA</t>
  </si>
  <si>
    <t>P KUMAR/NALGONDA , 9133682546</t>
  </si>
  <si>
    <t>H.NO-2-7-NT0003 N.T.R.COLONY "SEETHARAM PURAM, SURYAPET" TELANGANA SURYAPET TNG 508213</t>
  </si>
  <si>
    <t>MR SANGINADAM SATEESH</t>
  </si>
  <si>
    <t>9642825622</t>
  </si>
  <si>
    <t>"4-509-1 SUPER BAZAR ROAD,PRODDATUR,.,.,."    CUDDAPAH ANP 516360</t>
  </si>
  <si>
    <t>Ms. MEESALA VARALAKSHMI</t>
  </si>
  <si>
    <t>7659084873</t>
  </si>
  <si>
    <t>4102021107782000</t>
  </si>
  <si>
    <t>SGR RECEIVED 7300/- 29TH MAY''26//PENDING 10090</t>
  </si>
  <si>
    <t>PLOTNO 168/169/170VALIGONDA ROADCHOUTUPPAL BUVANAGIRI  YADADRI   NLG TNG 508252</t>
  </si>
  <si>
    <t>MR MEDICHELIMI RAJUKUMAR</t>
  </si>
  <si>
    <t>9505001441</t>
  </si>
  <si>
    <t>4035621513318000</t>
  </si>
  <si>
    <t>SGR RECEIVED 9000/- 25TH MAY''26</t>
  </si>
  <si>
    <t>1-610/2/A CHOPPADANDI MANDALAM GANESH NAGAR  HYDERABAD TNG 505415</t>
  </si>
  <si>
    <t>MR G NAGARAJA</t>
  </si>
  <si>
    <t>7204868292</t>
  </si>
  <si>
    <t>4035621623432006</t>
  </si>
  <si>
    <t>ESWAR RAO</t>
  </si>
  <si>
    <t>ESWARRAO/TIRUPATI , 9030151410</t>
  </si>
  <si>
    <t>MADHAVA NAGAR 5-21 NEAR 7 HILLS SCHOOL AKKARAM PALLE ROAD TIRUPATHI ANP 517501</t>
  </si>
  <si>
    <t>MR SHAIK MOHAMMED ALI</t>
  </si>
  <si>
    <t>4375519778314003</t>
  </si>
  <si>
    <t>SWAROOP // 8106788719</t>
  </si>
  <si>
    <t>FIRST FLOOR 68/105 MKS STREET      GANDHI BAZAR  CUDDAPAH  516269</t>
  </si>
  <si>
    <t>MR GARIKE HAREESH</t>
  </si>
  <si>
    <t>4375517584242004</t>
  </si>
  <si>
    <t>6 32 MUSTAPALLI SIDDEPALLI  ATMAKUR  ATMAKUR    KURNOOL  518422</t>
  </si>
  <si>
    <t>MR DADISETTY NARAYANASWAMY</t>
  </si>
  <si>
    <t>4035620563132006</t>
  </si>
  <si>
    <t>1-60-1-3-B-C  SUNKULAMMA PALEM  SUNKULAMMA PALEM  ANANTAPUR  ANANTAPUR  515411</t>
  </si>
  <si>
    <t>2ND BKT KARIMNAGAR</t>
  </si>
  <si>
    <t>MR ADAPA VIJAY KUMAR</t>
  </si>
  <si>
    <t>4035621812585002</t>
  </si>
  <si>
    <t>"NC-71, SHARADHA NAGAR"  GODAVARIKHANI  "RAMAGUNDAM, KHARIMNAGAR"  NEAR GOVERNMENT GIRLS COLLEGE  PEDDAPALLI  505209</t>
  </si>
  <si>
    <t>MR JOBY JOHN</t>
  </si>
  <si>
    <t>4501721233809000</t>
  </si>
  <si>
    <t>Mr VENKATA KRISHNA P</t>
  </si>
  <si>
    <t>4501720992911007</t>
  </si>
  <si>
    <t>MS PRIYANKA L</t>
  </si>
  <si>
    <t>4501721167940003</t>
  </si>
  <si>
    <t>Mr ADITHYA SANKAR M T</t>
  </si>
  <si>
    <t>4501721801831006</t>
  </si>
  <si>
    <t>MR BURRA PRANAY</t>
  </si>
  <si>
    <t>4748469407881008</t>
  </si>
  <si>
    <t>MR JOMIN JOSE</t>
  </si>
  <si>
    <t>Mr UMMESALMA</t>
  </si>
  <si>
    <t>4501720905322003</t>
  </si>
  <si>
    <t>MR NAVNEET GARG</t>
  </si>
  <si>
    <t>4501721284903009</t>
  </si>
  <si>
    <t>MR HEMANTKUMAR BASAPPA BANDA</t>
  </si>
  <si>
    <t>4375517804668004</t>
  </si>
  <si>
    <t>Mr KARTHIK NANDULA</t>
  </si>
  <si>
    <t>4501720996652003</t>
  </si>
  <si>
    <t>Mr SINGH Tribhuwan Pal</t>
  </si>
  <si>
    <t>4315810664431016</t>
  </si>
  <si>
    <t>MR RAMESH R</t>
  </si>
  <si>
    <t>4375518040420028</t>
  </si>
  <si>
    <t>MR MOHAMMAD NAWAZ</t>
  </si>
  <si>
    <t>4611330078227000</t>
  </si>
  <si>
    <t>NAGARAJU</t>
  </si>
  <si>
    <t>SGR RECEIVED 35000/- 30TH MAY''26</t>
  </si>
  <si>
    <t>KARUNAKAR</t>
  </si>
  <si>
    <t>"18 89,A1 MAMINDLA WADA,HUZURABAD MANDAL,"  HUZURABAD      KARIMNAGAR  505468</t>
  </si>
  <si>
    <t>MR SUBRAMANYAM MADDI</t>
  </si>
  <si>
    <t>9494427248</t>
  </si>
  <si>
    <t>4501721249040004</t>
  </si>
  <si>
    <t xml:space="preserve">12-1-38/2A PARVATHI DEVI GUDI GANTAPALEM NEAR PARVATHAMMA TEMPLE ONGOLE ANP 523001 </t>
  </si>
  <si>
    <t>ONGOLE</t>
  </si>
  <si>
    <t>MR NALLAJARLA H.S.S.RANGANATH</t>
  </si>
  <si>
    <t>9248187372</t>
  </si>
  <si>
    <t>4501721187267007</t>
  </si>
  <si>
    <t xml:space="preserve">6-110/2 TANUKU MANDALAM   TANUKU ANP 534211 </t>
  </si>
  <si>
    <t>MR MANDALA CHIRANJEEVI</t>
  </si>
  <si>
    <t>9581502510</t>
  </si>
  <si>
    <t>4501721180799006</t>
  </si>
  <si>
    <t xml:space="preserve">1-168 ITUKALAPALLI ITUKALAPALLI  ANANTAPUR ANP 515721 </t>
  </si>
  <si>
    <t xml:space="preserve">H NO 1-98 KUMMARI GUDA KUMMARI GUDA RANGAREDDI WANAPARTHY TNG 509217 </t>
  </si>
  <si>
    <t>MATTA  SATISH</t>
  </si>
  <si>
    <t>8555812728</t>
  </si>
  <si>
    <t>XXXXXXXXXXXX5094</t>
  </si>
  <si>
    <t>152000008128916</t>
  </si>
  <si>
    <t>VALLI/GTR , 9963854572</t>
  </si>
  <si>
    <t>D NO:3-8-19/1a PATURU,Current office back 1 line,NARASARAOPET,,GUNTUR,522601</t>
  </si>
  <si>
    <t>MR VINAIGOPAL RAHIBANDLA</t>
  </si>
  <si>
    <t>4501721305827005</t>
  </si>
  <si>
    <t xml:space="preserve">SGR RECEIVED 22ND MAY''26 15K// SGR RECEIVED 23RD 60 MAY''26//25TH MAY''26 30K//28TH MAY''26 10K </t>
  </si>
  <si>
    <t>MR ASIF PASHA</t>
  </si>
  <si>
    <t>4748468885251007</t>
  </si>
  <si>
    <t>MS G REKHA</t>
  </si>
  <si>
    <t>5241936743014006</t>
  </si>
  <si>
    <t>Mr SAPPHIRE DAYANAND</t>
  </si>
  <si>
    <t>4748468344305006</t>
  </si>
  <si>
    <t>MR MOHAMMED KHAN</t>
  </si>
  <si>
    <t>374742369297002</t>
  </si>
  <si>
    <t>Mr K S VENKATESAN</t>
  </si>
  <si>
    <t>4748468523133005</t>
  </si>
  <si>
    <t>MS ANUSHREE H V</t>
  </si>
  <si>
    <t>374742587538005</t>
  </si>
  <si>
    <t>MR RACHABATTUNI HEMANTH</t>
  </si>
  <si>
    <t>4035623060013000</t>
  </si>
  <si>
    <t>MR DURGA PRASAD J</t>
  </si>
  <si>
    <t>5241936680724005</t>
  </si>
  <si>
    <t>MR NELAPATI POUL</t>
  </si>
  <si>
    <t>4035622979679018</t>
  </si>
  <si>
    <t>MR YAPARLA SATYAM REDDY</t>
  </si>
  <si>
    <t>4375515496577004</t>
  </si>
  <si>
    <t>MR. KIRAN V SADHUNAVAR</t>
  </si>
  <si>
    <t>4477473614379001</t>
  </si>
  <si>
    <t>MR AKSHAY AJITH</t>
  </si>
  <si>
    <t>4035623245632005</t>
  </si>
  <si>
    <t>MR VENGADESHWARAN T</t>
  </si>
  <si>
    <t>4035623184769008</t>
  </si>
  <si>
    <t>MR ANTONY SWAMY</t>
  </si>
  <si>
    <t>4748468154754004</t>
  </si>
  <si>
    <t>MR SIDHIQUE F</t>
  </si>
  <si>
    <t>4035622902185000</t>
  </si>
  <si>
    <t>MR MARRIBOINA HARSHAVARDHAN</t>
  </si>
  <si>
    <t>5241936858781001</t>
  </si>
  <si>
    <t>MR JOBIN M</t>
  </si>
  <si>
    <t>5241936848644004</t>
  </si>
  <si>
    <t>MR RAMADHAS R</t>
  </si>
  <si>
    <t>4748468558390009</t>
  </si>
  <si>
    <t>MR ARJUN K</t>
  </si>
  <si>
    <t>4748468439792001</t>
  </si>
  <si>
    <t>MS LINGADARULA KEERTHI MOUNIKA</t>
  </si>
  <si>
    <t>5241936767406005</t>
  </si>
  <si>
    <t>MR AMBADY V V</t>
  </si>
  <si>
    <t>4375513380811001</t>
  </si>
  <si>
    <t>MR PEDDI SAI CHAND</t>
  </si>
  <si>
    <t>8008038984</t>
  </si>
  <si>
    <t>4035623402069009</t>
  </si>
  <si>
    <t>SALARY CREDIT MAY PEDDI SAI CHAND</t>
  </si>
  <si>
    <t>KARUNAKAR/WARANGAL , 9989734512</t>
  </si>
  <si>
    <t xml:space="preserve">FLAT NO- 504 KRISHNA NAGAR OM SAI FREINDS ENCLAVES LB NAGAR WARANGAL TNG 506002 </t>
  </si>
  <si>
    <t>MR GUDIKANDULA SRINIVAS</t>
  </si>
  <si>
    <t>9000670275</t>
  </si>
  <si>
    <t>5241936804758004</t>
  </si>
  <si>
    <t>PRAVEEN</t>
  </si>
  <si>
    <t xml:space="preserve">"H.NO 25-3-122,SHANTHI KHANI,BELLAMPALLI," ...  NEAR HANUMAN TEMPLE ADILABAD TNG 504251 </t>
  </si>
  <si>
    <t>MR KUNCHAPOLLA KRISHNAIAH</t>
  </si>
  <si>
    <t>9848775458</t>
  </si>
  <si>
    <t>4035623185690013</t>
  </si>
  <si>
    <t xml:space="preserve">MAY MONTH  SALARY CONVERT TO RAHUL TELANGANA </t>
  </si>
  <si>
    <t xml:space="preserve">"MADANAPUR,1-79,KOTHAKOTA" ...  MADANAPUR WANAPARTHY TNG 509110 </t>
  </si>
  <si>
    <t>2ND BKT</t>
  </si>
  <si>
    <t>J  VENKATARAMANA</t>
  </si>
  <si>
    <t>9393202224</t>
  </si>
  <si>
    <t>1730000000607250</t>
  </si>
  <si>
    <t>XXXXXXXXXXXX7617</t>
  </si>
  <si>
    <t>SGR RECEIVED 10K//26TH MAY''26//PENDING 14000</t>
  </si>
  <si>
    <t>6/120A,KOZZILLIPET,MACHILIPATNAM,,,C6158,521001</t>
  </si>
  <si>
    <t>SWARNA  RAVIKUMAR</t>
  </si>
  <si>
    <t>8555968342</t>
  </si>
  <si>
    <t>200000012334353</t>
  </si>
  <si>
    <t>XXXXXXXXXXXX1812</t>
  </si>
  <si>
    <t xml:space="preserve">VARSHA </t>
  </si>
  <si>
    <t>SGR RECEIVED 9836//- 2ND JUNE''26</t>
  </si>
  <si>
    <t>HOUSE NUMBER 11-226,AMBATI NAGAR,YERRABALEM,MANGALAGIRI,,VIJAYAWADA,522503</t>
  </si>
  <si>
    <t>MANGALAGIRI</t>
  </si>
  <si>
    <t>DARLA MADAN  KUMAR</t>
  </si>
  <si>
    <t>7981387901</t>
  </si>
  <si>
    <t>200000007585753</t>
  </si>
  <si>
    <t>XXXXXXXXXXXX0439</t>
  </si>
  <si>
    <t>FLAT NO 105 FIRST FLOOR,RTC WORK SHOP ROAD,VD PURAM,VIJAYAWADA,520012</t>
  </si>
  <si>
    <t>VD PURAM</t>
  </si>
  <si>
    <t>GARIKA  SURESH</t>
  </si>
  <si>
    <t>9703372272</t>
  </si>
  <si>
    <t>089000018883052</t>
  </si>
  <si>
    <t>XXXXXXXXXXXX5847</t>
  </si>
  <si>
    <t>HOUDSE NO37 8 617 1,9TH LANE RAJEEV GANDHI NAGAR,GUNTUR ANDHRA PRADESH,GUNTUR,522002</t>
  </si>
  <si>
    <t>CHINTA  DEVANAND</t>
  </si>
  <si>
    <t>8074045129</t>
  </si>
  <si>
    <t>200000008713966</t>
  </si>
  <si>
    <t>XXXXXXXXXXXX4477</t>
  </si>
  <si>
    <t>7E-6-20 JAMIA MASJID,KATHIEF STREET, ELURU - 1,,,VIJAYAWADA,534001</t>
  </si>
  <si>
    <t>PAKA N  V DURGAMAHESH</t>
  </si>
  <si>
    <t>8500335999</t>
  </si>
  <si>
    <t>200000008837153</t>
  </si>
  <si>
    <t>XXXXXXXXXXXX7204</t>
  </si>
  <si>
    <t>LOHITH</t>
  </si>
  <si>
    <t>9-58 ASHOK NAGAR,KOYYALAGUDEM,ASHOK NAGAR,KOYYALAGUDEM,KOYYALAGUDEM,,KOYYALAGUDEM,534312</t>
  </si>
  <si>
    <t>KOYYAKAGUDEM</t>
  </si>
  <si>
    <t>MR VENKATESWARA RAO AKULA</t>
  </si>
  <si>
    <t>9985248858</t>
  </si>
  <si>
    <t>4375516935174007</t>
  </si>
  <si>
    <t>SGR RECEIVED 19400/- 31ST MAY''26</t>
  </si>
  <si>
    <t>H NO 5 5/27/177 SP ROAD NO 3BALAJI NAGARBOLLIGUDEM BODUPPALNEAR POCHAMMA TEMPLEHyderabad500092</t>
  </si>
  <si>
    <t>MODAMONU  SRIHARI</t>
  </si>
  <si>
    <t>9490447470</t>
  </si>
  <si>
    <t>XXXXXXXXXXXX6614</t>
  </si>
  <si>
    <t>200000006996837</t>
  </si>
  <si>
    <t>SGR RECEIVED 1100//- 3RD JUNE''26</t>
  </si>
  <si>
    <t>1 20 PANCHAYAT STREETHussaipuramSamalkotEAST GODAVARIRAJAHMUNDRY533434</t>
  </si>
  <si>
    <t>RAJAHMUNDRY</t>
  </si>
  <si>
    <t>MR RAMINI ANVESH</t>
  </si>
  <si>
    <t>4748460905240003</t>
  </si>
  <si>
    <t>"8-2-8-1 , VEGATABLE MARKET ROAD"  JAMMIKUNTA  KARIMNAGAR  VEGATSBLE MARKET ROAD  KARIMNAGAR  505122</t>
  </si>
  <si>
    <t>MR EPPALA MALLESHAM</t>
  </si>
  <si>
    <t>4073520265120007</t>
  </si>
  <si>
    <t>2-37/3 KONDAPUR  VELGATOOR  ENDEPALLI  NEAR BUS STOP  KARIMNAGAR  505526</t>
  </si>
  <si>
    <t>MR PULI VIJAY</t>
  </si>
  <si>
    <t>4748464731432008</t>
  </si>
  <si>
    <t>SGR RECEIVED 6260/- 31ST MAY''26</t>
  </si>
  <si>
    <t>9-8-32  RAMNAGAR    KARIMNAGAR  ADILABAD  505001</t>
  </si>
  <si>
    <t>MR KYADASL MALLAIAH</t>
  </si>
  <si>
    <t>5241935763973000</t>
  </si>
  <si>
    <t>H NO 8-62/2 SUBHASH NAGAR SULTANANABAD  MANDALAM    MAIN ROAD  KARIMNAGAR  505185</t>
  </si>
  <si>
    <t>MS MANDA SANDHYA</t>
  </si>
  <si>
    <t>4748464757650012</t>
  </si>
  <si>
    <t>1-95/3  GAGIREDDY PALLY      HYDERABAD  505481</t>
  </si>
  <si>
    <t>MS PALEM CHANDRIKA</t>
  </si>
  <si>
    <t>7799528930</t>
  </si>
  <si>
    <t>4748464737241007</t>
  </si>
  <si>
    <t>6/133  DIGUVA PETAGANDHI NAGAR CUDDAPAH CUDDAPAH ANP 516237</t>
  </si>
  <si>
    <t>MR NALLAMALA PUNITH</t>
  </si>
  <si>
    <t>9490508288</t>
  </si>
  <si>
    <t>4748464740323008</t>
  </si>
  <si>
    <t>BVR RECEIVED 5520/- 3RD MAY''26</t>
  </si>
  <si>
    <t>H.NO 1/25  KOSOGI VILLAGE KOSIGI MANDALKURNOOL OPPOSITE RTC BUSTAND SRI VISHNU MEDICAL KURNOOL ANP 518313</t>
  </si>
  <si>
    <t>MR D UDAY KUMAR</t>
  </si>
  <si>
    <t>9492850074</t>
  </si>
  <si>
    <t>4748464710371011</t>
  </si>
  <si>
    <t>H NO 1-111C  MUTHUNETALA PADUYSR  STATUE SC COLONY NEAR KALAPRANGAUAM CENTER Prakasam ANP 523262</t>
  </si>
  <si>
    <t>MS MONISHA PK</t>
  </si>
  <si>
    <t>5241935707904004</t>
  </si>
  <si>
    <t>MR MUQTADEER KHAN</t>
  </si>
  <si>
    <t>4748464745062007</t>
  </si>
  <si>
    <t>MR N C RADHAKRISHNAN</t>
  </si>
  <si>
    <t>4748464732693004</t>
  </si>
  <si>
    <t>MR MANUNATHA M</t>
  </si>
  <si>
    <t>4748460939056003</t>
  </si>
  <si>
    <t>MR ELAMPARUTHI M V</t>
  </si>
  <si>
    <t>4073520102740009</t>
  </si>
  <si>
    <t>MR LOKESH M</t>
  </si>
  <si>
    <t>5241935738629000</t>
  </si>
  <si>
    <t>MR AMAL MOHAN</t>
  </si>
  <si>
    <t>4748464751826014</t>
  </si>
  <si>
    <t>MR KARTHIK M</t>
  </si>
  <si>
    <t>4748464720329009</t>
  </si>
  <si>
    <t>MR ANIL PAWAR N</t>
  </si>
  <si>
    <t>5241935744610002</t>
  </si>
  <si>
    <t>MR M AHAMMED ALI BAIG</t>
  </si>
  <si>
    <t>8919615286</t>
  </si>
  <si>
    <t>4748460972041003</t>
  </si>
  <si>
    <t>BVR RECEIVED 9831/- 30TH MAY''26(OFFICE EXPENDITURE)</t>
  </si>
  <si>
    <t>45 142 47 2A AMEENAABBAS NAGAR    KURNOOL ANP 518001</t>
  </si>
  <si>
    <t>1-12  KARVETINAGARAM MANDALAMVENKATADRI PURAM VILLAGE VENKATADRI PURAM CHITTOOR ANP 517582</t>
  </si>
  <si>
    <t>8-83  ROWTHULAPUDIKOTA STREET EAST GODAVARI KAKINADA ANP 533446</t>
  </si>
  <si>
    <t>MR KIRAN KUMAR ETAKALA</t>
  </si>
  <si>
    <t>9652995399</t>
  </si>
  <si>
    <t>4748461090577001</t>
  </si>
  <si>
    <t>RAJKUMAR</t>
  </si>
  <si>
    <t>RAJKUMAR//MEDAK SALARY ADJEST(30-05-3036  RAMANA SIR MESSAGE IN GROUP)</t>
  </si>
  <si>
    <t>16-8/9/1  SHANTHINAGAR KARIMNAGAR HYDERABAD TNG 505467</t>
  </si>
  <si>
    <t>K CHANDRASEKHAR ACHARI</t>
  </si>
  <si>
    <t>4748460981681013</t>
  </si>
  <si>
    <t>"1-129,BASTIPADU,KURNOOL,BASTIPADU" - KURNOOL -- KURNOOL ANP 518218</t>
  </si>
  <si>
    <t>MR.S VASUDEVARAO</t>
  </si>
  <si>
    <t>4073520451764006</t>
  </si>
  <si>
    <t>5 163  Bhavanamvaripalem Kotha Reddy Palem Kotha Reddy Palem  GUNTUR ANP 522311</t>
  </si>
  <si>
    <t>MR EDAMAKANTI LAKSHMI NARAHARI</t>
  </si>
  <si>
    <t>8374353322</t>
  </si>
  <si>
    <t>4035620583345000</t>
  </si>
  <si>
    <t>NON- Refundable</t>
  </si>
  <si>
    <t>"16/-4C-3-225, VENKATESWARLU REDDY HOUSE"  MUTHUKURU ROAD DHANALAKSHMIPURAM "12TH WARD, GULLURU MOHAN HOUSE"  NELLORE ANP 524002</t>
  </si>
  <si>
    <t>MR KARRA NARASIMHARAO</t>
  </si>
  <si>
    <t>8341457749</t>
  </si>
  <si>
    <t>4315812640629002</t>
  </si>
  <si>
    <t>SGR RECEIVED 13793/- 30TH MAY''S6</t>
  </si>
  <si>
    <t>"12-88,NETAJI ROAD,YANAMALAKUDURU,"  YANAMALAKUDURU    VIJAYAWADA ANP 520007</t>
  </si>
  <si>
    <t>NAVI</t>
  </si>
  <si>
    <t>M/E</t>
  </si>
  <si>
    <t>Chikka Anilkumar</t>
  </si>
  <si>
    <t>Gireesha</t>
  </si>
  <si>
    <t>Bhavana</t>
  </si>
  <si>
    <t>Rakesh</t>
  </si>
  <si>
    <t>DR NO 11/291, 1-3-3-2, L R PETA, FCI GODOWNS, NUKA RAJU, SAI MANOGNA NAGAR, NAGRAJPETA, NEAR GURUKUL SCHOOL, PALAKOL, PALACOLE, WEST GODAVARI, ANDHRA PRADESH, INDIA, 534260</t>
  </si>
  <si>
    <t>PALAKOLLU</t>
  </si>
  <si>
    <t>Voggu Jyothi Lakshmi</t>
  </si>
  <si>
    <t>D No 1,3,3,2, L R Peta, Near F C Ipalakol, Palakol (MDL), Palakollu, West Godavari, Andhra Pradesh, 534260</t>
  </si>
  <si>
    <t>RAJESH PUVVADA</t>
  </si>
  <si>
    <t>C Srinivasa Rao</t>
  </si>
  <si>
    <t>D No 24-22-10, Kommana Vari Street, West Godavari, Tadepalligudem, Andhra Pradesh, 534211</t>
  </si>
  <si>
    <t>GUDLA APPARAO</t>
  </si>
  <si>
    <t xml:space="preserve">S O Gollayya, 1-128 Yadavula Veedhi, Near Ramalayam, Chinapulle, Kalla, Andhra Pradesh, 534237
</t>
  </si>
  <si>
    <t>CHINNAPULLE</t>
  </si>
  <si>
    <t>HYD BL</t>
  </si>
  <si>
    <t>BEJJENKI  SUMALATHA</t>
  </si>
  <si>
    <t>8977669920</t>
  </si>
  <si>
    <t>BPR000813782316</t>
  </si>
  <si>
    <t>KALYAN - 6301129141</t>
  </si>
  <si>
    <t>49-317,BAL REDDY NAGAR CHINTAL QUTUBULLAPUR RANGAREDDINEAR HANUMAN TEMPLE  HYDERABAD TELANGANA 500055 INDIA</t>
  </si>
  <si>
    <t>JOSE SUMEET DEV KAMALLA</t>
  </si>
  <si>
    <t>7032278485</t>
  </si>
  <si>
    <t>BPR002710027425</t>
  </si>
  <si>
    <t>BHARATH - 9032875589</t>
  </si>
  <si>
    <t>2-2-127/A/62 VIJAYAPURI COLONY UPPAL UPPAL CHRISTIAN BRETHERN CHURCH CHRISTIAN BRETHERN CHURCH  HYDERABAD TELANGANA 500039 INDIA</t>
  </si>
  <si>
    <t>PAKKA  SUJATHA</t>
  </si>
  <si>
    <t>9912343321</t>
  </si>
  <si>
    <t>BPR002711494638</t>
  </si>
  <si>
    <t>AMARNATH - 7013038337</t>
  </si>
  <si>
    <t>1-7-1022/9/B,ZAMISTANPUR,HARINAGAR, HYDERABAD OPP SABITHA CLINIC LINE  HYDERABAD TELANGANA 500020 INDIA</t>
  </si>
  <si>
    <t>MOHD GHOUSE UDDIN</t>
  </si>
  <si>
    <t>9533616522</t>
  </si>
  <si>
    <t>BPR073312343103</t>
  </si>
  <si>
    <t>18-12-419/29/2 HAFIZ BABA NAGAR HYDERABADMADINA MASJID  HYDERABAD TELANGANA 500005 INDIA</t>
  </si>
  <si>
    <t>MOHAMMAD  GOUSE</t>
  </si>
  <si>
    <t>9866921715</t>
  </si>
  <si>
    <t>BPR029212284253</t>
  </si>
  <si>
    <t>HNO 2 3 69 FISHMARKET MAHABUBABADMAHABUBABAD  WARANGAL TELANGANA 506101 INDIA</t>
  </si>
  <si>
    <t>DEVARUPPALA  PRUDVIRAJ</t>
  </si>
  <si>
    <t>8977771702</t>
  </si>
  <si>
    <t>BPR002711937755</t>
  </si>
  <si>
    <t>SRIKANTH - 9603185469</t>
  </si>
  <si>
    <t>4 108 HANUMAN NAGAR BIBI NAGAR BIBI NAGAR BIBI NAGAR NEAR MRO OFFICE  NALGONDA TELANGANA 508126 INDIA</t>
  </si>
  <si>
    <t>ASHOK KUMAR VUMMANENI</t>
  </si>
  <si>
    <t>7794880148</t>
  </si>
  <si>
    <t>BPR029210950114</t>
  </si>
  <si>
    <t>KARTHIK - 8688997363</t>
  </si>
  <si>
    <t>DWARAKA NAGAR KHAMMAM DWARAKA NAGAR KHAMMAM DWARAKA NAGAR KHAMMAM  KHAMMAM TELANGANA 507001 INDIA</t>
  </si>
  <si>
    <t>AMARNATH  PATIL</t>
  </si>
  <si>
    <t>9160734596</t>
  </si>
  <si>
    <t>BPR019311940496</t>
  </si>
  <si>
    <t>2-1-195, N G OS COLONY, ZAHEERABAD, MEDAK, 2-1-195, N G OS COLONY, ZAHEERABAD, MEDAK, 2-1-195, N G OS COLONY, ZAHEERABAD, MEDAK,  MEDAK TELANGANA 502220 INDIA</t>
  </si>
  <si>
    <t>ARRAM  VIJAYA</t>
  </si>
  <si>
    <t>7396505943</t>
  </si>
  <si>
    <t>BPR029211489543</t>
  </si>
  <si>
    <t>SANTOSH</t>
  </si>
  <si>
    <t>3-57,PARIVEDA,KARIMNAGAR KARIMNAGAR KARIMNAGAR  KARIMNAGAR TELANGANA 505467 INDIA</t>
  </si>
  <si>
    <t>JUNE''26</t>
  </si>
  <si>
    <t>BHUKYA RAVI KUMAR</t>
  </si>
  <si>
    <t>6528680271233008</t>
  </si>
  <si>
    <t>SGR RECEIVED 15300/- 3RD JUNE''26</t>
  </si>
  <si>
    <t>MR RAVISHANKAR POLISETTY</t>
  </si>
  <si>
    <t>9866427658</t>
  </si>
  <si>
    <t>6528680057204009</t>
  </si>
  <si>
    <t xml:space="preserve">SGR RECEIVED 17000/-4TH JAN''26//PENDING </t>
  </si>
  <si>
    <t>RAHAMATH</t>
  </si>
  <si>
    <t>NO 1205 BLOCK B MAHINDRA ASHVITAAPARTMENTS NEAR HI TECH CITY MMTSHAFEEZPETNEAR BUS STOPHYDERABADTNG500072</t>
  </si>
  <si>
    <t>MR KONDAGORRI DAMTHESWARA RAO</t>
  </si>
  <si>
    <t>4748464752452000</t>
  </si>
  <si>
    <t>MS KANAKALA YAMUNA</t>
  </si>
  <si>
    <t>6528680623165007</t>
  </si>
  <si>
    <t>MR GIDIJALA SHIVARAM PRASAD</t>
  </si>
  <si>
    <t>6528681558945009</t>
  </si>
  <si>
    <t>MR INDUKURI D V</t>
  </si>
  <si>
    <t>4315811772992006</t>
  </si>
  <si>
    <t>MR SANGAS KUMAR</t>
  </si>
  <si>
    <t>4315813061880009</t>
  </si>
  <si>
    <t>MR NAGELLA SUBBAIAH</t>
  </si>
  <si>
    <t>6528683032339007</t>
  </si>
  <si>
    <t>Mr SHARATH CHANDRA PULLURI</t>
  </si>
  <si>
    <t>6528681363583003</t>
  </si>
  <si>
    <t>MR Mohammed Khaled</t>
  </si>
  <si>
    <t>6528681950046000</t>
  </si>
  <si>
    <t>MR C THANIGAIMANI</t>
  </si>
  <si>
    <t>6528680549077005</t>
  </si>
  <si>
    <t>MR NAGA SUNKANNA</t>
  </si>
  <si>
    <t>6528680638936004</t>
  </si>
  <si>
    <t>MR HAVIN K</t>
  </si>
  <si>
    <t>6528680189958001</t>
  </si>
  <si>
    <t>MR ADUNOORI CHANDRA KANTH</t>
  </si>
  <si>
    <t>4748464722719017</t>
  </si>
  <si>
    <t>MR JOSE PRINCE</t>
  </si>
  <si>
    <t>6528680615892006</t>
  </si>
  <si>
    <t>MR RAVISANKAR S</t>
  </si>
  <si>
    <t>6528681928303004</t>
  </si>
  <si>
    <t>MR RAYINI AMARENDAR RAO</t>
  </si>
  <si>
    <t>6528680337813017</t>
  </si>
  <si>
    <t>MR THAKUR SHAILENDER SINGH</t>
  </si>
  <si>
    <t>6528680632274006</t>
  </si>
  <si>
    <t>MR BandaruBala Venkata Ramana</t>
  </si>
  <si>
    <t>6528682069682008</t>
  </si>
  <si>
    <t>MR SATHEESHA G M</t>
  </si>
  <si>
    <t>6528681593409003</t>
  </si>
  <si>
    <t>MS ASWATHY SYAMALAN</t>
  </si>
  <si>
    <t>6528681284924005</t>
  </si>
  <si>
    <t>MR VISSAKOTI ANIL KUMAR</t>
  </si>
  <si>
    <t>6528681743985001</t>
  </si>
  <si>
    <t>MR Sam T Varghese</t>
  </si>
  <si>
    <t>6528681803869004</t>
  </si>
  <si>
    <t>MR. BOBY P J-</t>
  </si>
  <si>
    <t>5241933446920019</t>
  </si>
  <si>
    <t>MS REMYA KRISHNAN PR</t>
  </si>
  <si>
    <t>6528681367859011</t>
  </si>
  <si>
    <t>MR MUHAMMED ASHRAF T</t>
  </si>
  <si>
    <t>6528681702895001</t>
  </si>
  <si>
    <t>MR POOLA V SHANMUKHA DHEERAZ</t>
  </si>
  <si>
    <t>6528680938651006</t>
  </si>
  <si>
    <t>MR BURAM SADANANDAM</t>
  </si>
  <si>
    <t>6528680190174002</t>
  </si>
  <si>
    <t>KUNCHALA VENUGOPAL</t>
  </si>
  <si>
    <t>9533366693</t>
  </si>
  <si>
    <t>0007476770000561108</t>
  </si>
  <si>
    <t>xx5408</t>
  </si>
  <si>
    <t>D NO 18-42-108 5TH LINE SANGADIGUNTANEAR KONDAVEEDU PUBLIC SCHOOLGUNTUR</t>
  </si>
  <si>
    <t>VISHNU</t>
  </si>
  <si>
    <t>SOMASEKHAR GAJULAPALLI</t>
  </si>
  <si>
    <t>9246996356</t>
  </si>
  <si>
    <t>0007476710003391905</t>
  </si>
  <si>
    <t>xx1215</t>
  </si>
  <si>
    <t>10-94A, YOGIMALLAVARAM, TIRUCHANOOR,YOGIMALLAVARAM MAIN ROAD, YOGIMALLAVARAMTIRUPATI</t>
  </si>
  <si>
    <t>SAI PULUSIGANTI</t>
  </si>
  <si>
    <t>8885025513</t>
  </si>
  <si>
    <t>0007478000001896438</t>
  </si>
  <si>
    <t>xx3017</t>
  </si>
  <si>
    <t>71 31 804 KRANTHI NAGAR GANDHIGRAMAMGANDHIGRAMVisakhapatnam</t>
  </si>
  <si>
    <t>0007470170000211380</t>
  </si>
  <si>
    <t>xx1327</t>
  </si>
  <si>
    <t>RAGHAVENDRA KUMAR PAPPOPULA</t>
  </si>
  <si>
    <t>8919132262</t>
  </si>
  <si>
    <t>0007473030000490284</t>
  </si>
  <si>
    <t>14-524 ARILOVAARILOVANEAR AMERICAN HOSPITALVISAKHAPATNAM</t>
  </si>
  <si>
    <t>MR RAVOORI SRIKANTH</t>
  </si>
  <si>
    <t>8019540982</t>
  </si>
  <si>
    <t>0007476740010724087</t>
  </si>
  <si>
    <t>xx3868</t>
  </si>
  <si>
    <t>H NO5 21RANGARAJA STREETNEAR MAIN ROADKURNOOL</t>
  </si>
  <si>
    <t>SRAVANTHI</t>
  </si>
  <si>
    <t>HANOK KUMAR INDUPALLI</t>
  </si>
  <si>
    <t>9885494323</t>
  </si>
  <si>
    <t>0007471150008316158</t>
  </si>
  <si>
    <t>xx9081</t>
  </si>
  <si>
    <t>HOUSE NO B8107 MAIN ROADSC COLONY GUDIVADANEAR BY CHURCH ROADGUDIVADA</t>
  </si>
  <si>
    <t>DANDAMUDI SUBHASH</t>
  </si>
  <si>
    <t>9640302997</t>
  </si>
  <si>
    <t>0007470890008417396</t>
  </si>
  <si>
    <t>xx7317</t>
  </si>
  <si>
    <t>HOUSE NO 4 96ADUSUMALLINEAR BY ELEMENTARY SCHOOLCHIRALA</t>
  </si>
  <si>
    <t>BRAHMA RAJU VEMAGIRI</t>
  </si>
  <si>
    <t>9959858949</t>
  </si>
  <si>
    <t>0007478950041705389</t>
  </si>
  <si>
    <t>xx6179</t>
  </si>
  <si>
    <t>HNO 1021 KOLAMURU AMBEDKAR NAGARKONTHAMURU RAJAHMUNDRYNEAR BY AMBEDHKAR STATUERAJAHMUNDRY</t>
  </si>
  <si>
    <t>H NO 9 11 C MPL ROAD CHINTHAPARTHY,VAYALPAD,CHITTOR DIS APNEAR BY TAMOTO MARKETCHITTOOR</t>
  </si>
  <si>
    <t>TIPIRISETTI PRASANTHI KUMAR</t>
  </si>
  <si>
    <t>9515449251</t>
  </si>
  <si>
    <t>0007478950053167486</t>
  </si>
  <si>
    <t>xx7734</t>
  </si>
  <si>
    <t>S O SAI BABU HOUSE NO 6 413BEHIND BHARATHI SCHOOL MAIN ROADRANGAMPETA MANDALEAST GODAVARI ANDHRA PRADESHEAST GODAVARI</t>
  </si>
  <si>
    <t>FLAT NO 590 NEW RR PETA VIJAYAWADA URBANKRISHNA DISTRICT APNEAR WATER TANKVIJAYAWADA</t>
  </si>
  <si>
    <t>RAMBHA SURESH</t>
  </si>
  <si>
    <t>9963618095</t>
  </si>
  <si>
    <t>0007476600011289375</t>
  </si>
  <si>
    <t>xx3304</t>
  </si>
  <si>
    <t>H NO 6 66 1/7 RD NO 10 SRAMIK NAGARCHINNAGANTIYADA GAJUWAKANEAR GOWRI PARAMESWARI TEMPLEVISAKHAPATNAM</t>
  </si>
  <si>
    <t>RATNALA VENKAYAMMA</t>
  </si>
  <si>
    <t>9014651090</t>
  </si>
  <si>
    <t>0007471150003158142</t>
  </si>
  <si>
    <t>xx4477</t>
  </si>
  <si>
    <t>3-39 VENNA DEVI SATTENAPALLI MDVENNA DEVI SATTENAPALLI MDNR MPP SCHOOLPIDUGURALLA</t>
  </si>
  <si>
    <t>DIVYA JYOTHI MUDDHANA</t>
  </si>
  <si>
    <t>8574156999</t>
  </si>
  <si>
    <t>0007471150006653057</t>
  </si>
  <si>
    <t>xx9171</t>
  </si>
  <si>
    <t>DOORNO 332 CHINNAVVDHICHAYARKUNAPALLYNERA BY RAMALAYAMAMALAPURAM</t>
  </si>
  <si>
    <t>0007477770005962292</t>
  </si>
  <si>
    <t>MR AETURI SESHADRI</t>
  </si>
  <si>
    <t>8309993473</t>
  </si>
  <si>
    <t>0007470850004129098</t>
  </si>
  <si>
    <t>xx7866</t>
  </si>
  <si>
    <t>15 107 NADI VEEDHIKURNOOLNEAR ANJANEYA SWAMY TEMPLSKURNOOL</t>
  </si>
  <si>
    <t>RAJASEKHAR DAGGUPATI</t>
  </si>
  <si>
    <t>8555042341</t>
  </si>
  <si>
    <t>0007476760008541434</t>
  </si>
  <si>
    <t>xx7424</t>
  </si>
  <si>
    <t>HNO 77 124 16 1A AYYAPPA SWAMY NAGARKALLUR ESTATE KURNOOLNEAR SUNKULAMMA TEMPLEKURNOOL</t>
  </si>
  <si>
    <t>BOBBY</t>
  </si>
  <si>
    <t>MR PULICHERLA VENKATESWARA RAO</t>
  </si>
  <si>
    <t>7416591969</t>
  </si>
  <si>
    <t>0007476760005249080</t>
  </si>
  <si>
    <t>xx1047</t>
  </si>
  <si>
    <t>FLAT NO 504 PALLAVI SUDHAHEIGHTS NEAR SAKSHI HEAD OFFICE BESHEIGHTS NEAR SAKSHI HEAD OFFGUNTUR</t>
  </si>
  <si>
    <t>KORADA MANIKANTA</t>
  </si>
  <si>
    <t>9966120024</t>
  </si>
  <si>
    <t>0007470810007402819</t>
  </si>
  <si>
    <t>xx2514</t>
  </si>
  <si>
    <t>45-4-8 RAMALAYAM STREET AKKAYYAPALEMEET 80FEET ROAD VISAKHAPATNAM 530016NEAR SHRI NAAGRVISAKHAPATNAM</t>
  </si>
  <si>
    <t>0007478730002244549</t>
  </si>
  <si>
    <t>xx1945</t>
  </si>
  <si>
    <t>ARAGALA SIVAKUMAR</t>
  </si>
  <si>
    <t>7095943317</t>
  </si>
  <si>
    <t>0007477800009987811</t>
  </si>
  <si>
    <t>00 KARETIVARIPALEM KAVALI MDKARETIVARIPALEM NR RAMULAVARI TEMPLENR RAMULAVARI TEMPLEKAVALI</t>
  </si>
  <si>
    <t>JAGADEESH KURUVA</t>
  </si>
  <si>
    <t>9052404106</t>
  </si>
  <si>
    <t>0007471200013484440</t>
  </si>
  <si>
    <t>xx5646</t>
  </si>
  <si>
    <t>H NO 3-53 P RUDRAVARAM VILLAGEKURNOOLNEAR BY RACHAKATAKURNOOL</t>
  </si>
  <si>
    <t>MUTHURU VENKATARAMANA</t>
  </si>
  <si>
    <t>9704738372</t>
  </si>
  <si>
    <t>0007478830008114496</t>
  </si>
  <si>
    <t>xx3650</t>
  </si>
  <si>
    <t>HNO36386/4 ASHOK NAGARASHOK NAGARNEAR BY RAMLAYAM TEMPLECUDDAPAH</t>
  </si>
  <si>
    <t>DUVVI DURGA</t>
  </si>
  <si>
    <t>6300074624</t>
  </si>
  <si>
    <t>0007471200011167674</t>
  </si>
  <si>
    <t>xx3805</t>
  </si>
  <si>
    <t>HNO   17 20NTR COLONEY  VENKATAPURAMELURU MANDALWEST GODAVARIELURU</t>
  </si>
  <si>
    <t>RAMYAKRISHNA AKULA</t>
  </si>
  <si>
    <t>9052275730</t>
  </si>
  <si>
    <t>0007470810011921655</t>
  </si>
  <si>
    <t>xx8981</t>
  </si>
  <si>
    <t>DNO-3-47-11 SUBBARAO PETASRIRAMULU STREET TADEPALLIGUDEMNEAR BY GAS PUMPTADEPALLIGUDEM</t>
  </si>
  <si>
    <t>MIDTHURI HEMALATHA</t>
  </si>
  <si>
    <t>9052107476</t>
  </si>
  <si>
    <t>0007471200010747583</t>
  </si>
  <si>
    <t>xx9402</t>
  </si>
  <si>
    <t>HOUSE NO:49/50 A-71LAKSHMI NAGAR COLONYNEAR KRISTIAN ASSEMBLY HALLKURNOOL</t>
  </si>
  <si>
    <t>THUMMALA ASHOK KUMAR</t>
  </si>
  <si>
    <t>8790360730</t>
  </si>
  <si>
    <t>0007477770006525858</t>
  </si>
  <si>
    <t>5-120 BSNL OFFICE STREET . PEDDAVADUGURUNEAR SBI BANKTIRUPATITIRUPATI</t>
  </si>
  <si>
    <t>KADIYAM NARAYANA SHARMA</t>
  </si>
  <si>
    <t>9177047439</t>
  </si>
  <si>
    <t>0007478730002263903</t>
  </si>
  <si>
    <t>DOOR NO 785SC COLONYNEAR BY ANJANEYA SWAMY TEMPLONGOLE</t>
  </si>
  <si>
    <t>IJJAPUREDDY RAJUBABU</t>
  </si>
  <si>
    <t>9603898447</t>
  </si>
  <si>
    <t>0007471150008312181</t>
  </si>
  <si>
    <t>xx9320</t>
  </si>
  <si>
    <t>DOOR NO 1242SURAMPALEM GANDEPALLI MANDALAMNEAR BY RAMALAYAM TEMPLESAMALKOTA</t>
  </si>
  <si>
    <t>#497 KRISHNA NAGAR AYYAPPA NAGARSANTHI STREET NEAR BHAIRAVIVIJAYAWADA URBAN KRISHNAGARVIJAYAWADA URBAN KRISHNAGARKRISHNA</t>
  </si>
  <si>
    <t>REVURI LAKSHMI</t>
  </si>
  <si>
    <t>9491507503</t>
  </si>
  <si>
    <t>0007478730002544500</t>
  </si>
  <si>
    <t>xx9569</t>
  </si>
  <si>
    <t>DOOR NO 43396/AGIRIPURAM VILLAGENEAR BY CHINNA MUTYALAMMA TEMPLETIRUPATI</t>
  </si>
  <si>
    <t>NAGARAJU KOMMIRIPALEPU</t>
  </si>
  <si>
    <t>9000038380</t>
  </si>
  <si>
    <t>0007478700132036792</t>
  </si>
  <si>
    <t>xx9765</t>
  </si>
  <si>
    <t>H.NO.2-1 BHOGAPURAM VILLAGEPEDAVEGI MANDALAMNEAR GOVT HIGH SCHOOLELURU</t>
  </si>
  <si>
    <t>DHANANJAYA RAO CHANDANALA</t>
  </si>
  <si>
    <t>8096040657</t>
  </si>
  <si>
    <t>0007477800008430599</t>
  </si>
  <si>
    <t>HNO 1 1PYDIWADA AGRAHARAMNEAR BY DURGA TEMPLEVIZIANAGARAM</t>
  </si>
  <si>
    <t>PATHAN HAFEEZ KHAN</t>
  </si>
  <si>
    <t>7075786888</t>
  </si>
  <si>
    <t>0007477800011169697</t>
  </si>
  <si>
    <t>HNO 15 135 JAFARULLA STREET 5 LINEKRISHNA ANDHRA PRADESHNEARBY URDU SCHOOLVIJAYAWADA</t>
  </si>
  <si>
    <t>SYED SAMEER</t>
  </si>
  <si>
    <t>6300798213</t>
  </si>
  <si>
    <t>0007478700060259788</t>
  </si>
  <si>
    <t>xx3894</t>
  </si>
  <si>
    <t>HOUSE NO204517 S/O SYED NAZEERMANSOOR NAGAR KONDA DIBBANEAR BY MASJIDEREHMATIYANELLORE</t>
  </si>
  <si>
    <t>DASARISRINIVAS SRINIVAS</t>
  </si>
  <si>
    <t>8096210464</t>
  </si>
  <si>
    <t>0007470830014264572</t>
  </si>
  <si>
    <t>xx3569</t>
  </si>
  <si>
    <t>NEERUS D NO 6 5 1 MAINROAD SYAMALA CENTER OPPOSITE BALAJI BAKERY BESIDE JOS ALUKA RAJAMUNDRYVISAKHAPATNAM</t>
  </si>
  <si>
    <t>MOHANPRASAD PATI</t>
  </si>
  <si>
    <t>9666240456</t>
  </si>
  <si>
    <t>0007470870005783610</t>
  </si>
  <si>
    <t>xx6936</t>
  </si>
  <si>
    <t>DNO - 2-4/1 BHEEMANAPALLISINGIRAI PALLEM, AMALAPURAMNEAR VINAYAKA TEMPLEAMALAPURAM</t>
  </si>
  <si>
    <t>SAI SOWJANYA DEGALA</t>
  </si>
  <si>
    <t>7995107767</t>
  </si>
  <si>
    <t>0007470650004762801</t>
  </si>
  <si>
    <t>xx3701</t>
  </si>
  <si>
    <t>DNO 6 6 71 KOTA VARISTREET 16WARD ANDHRA PRADESH 522101WARD ANDHRA PRADESH 522101GUNTUR</t>
  </si>
  <si>
    <t>SILARAPU MADHUR I</t>
  </si>
  <si>
    <t>8555038381</t>
  </si>
  <si>
    <t>0007478830003385844</t>
  </si>
  <si>
    <t>xx9138</t>
  </si>
  <si>
    <t>DNO 3-48, W/O SURESH BAPULAPADUMANDALAM KOYYURU,HANUMAN JUNCTION</t>
  </si>
  <si>
    <t>SRINIVASA RAO N</t>
  </si>
  <si>
    <t>9581497497</t>
  </si>
  <si>
    <t>0007477770006464959</t>
  </si>
  <si>
    <t>12-25\\1 VISAKAPATNAM GANESH NAGARBHEEMUNIPATNAMVisakhapatnam</t>
  </si>
  <si>
    <t>SANTHAVARAPU GOPI</t>
  </si>
  <si>
    <t>7995286659</t>
  </si>
  <si>
    <t>0007471150006625279</t>
  </si>
  <si>
    <t>xx9732</t>
  </si>
  <si>
    <t>H NO 1 1 S/O VENKATESWARLUTAKKELLAPADU VILLAGE DACHEPALLI MANDALNEAR SIVALAYAM TEMPLEPIDUGURALLA</t>
  </si>
  <si>
    <t>ALTHI MADHAVARAO</t>
  </si>
  <si>
    <t>7702930718</t>
  </si>
  <si>
    <t>0007473050000284693</t>
  </si>
  <si>
    <t>xx7217</t>
  </si>
  <si>
    <t>DOOR NO- 1-2 , RAJA STREETTHAMMAPURAMVIZIANAGARAM</t>
  </si>
  <si>
    <t>SANTOSHKUMAR MYPALLI</t>
  </si>
  <si>
    <t>8328283826</t>
  </si>
  <si>
    <t>0007477800010226092</t>
  </si>
  <si>
    <t>HNO20-100-71GOLLAVEEDHINEAR AVN COLLEGEVISAKHAPATNAM</t>
  </si>
  <si>
    <t>MANJULA PEERU</t>
  </si>
  <si>
    <t>9133515478</t>
  </si>
  <si>
    <t>0007477250010527752</t>
  </si>
  <si>
    <t>xx5720</t>
  </si>
  <si>
    <t>H NO 55-40-252SIMHADRIPURAM HB COLONY VISAKHAPATNAMNR SIVALAYAM TEMPLE URBANVisakhapatnam</t>
  </si>
  <si>
    <t>MR ABDUL MINILLA ABDUL S</t>
  </si>
  <si>
    <t>7416643779</t>
  </si>
  <si>
    <t>0007478700131669890</t>
  </si>
  <si>
    <t>xx3370</t>
  </si>
  <si>
    <t>DOOR.NO. 2-307 THIRD FLOOR INDIRAGANDHI NAGAR RAMALYAM NEAR OLDDAIRY FORM VISAKHAPATNAM ANDHRAPRADESHVISAKHAPATNAM</t>
  </si>
  <si>
    <t>RAMBABU KARLAPUDI</t>
  </si>
  <si>
    <t>8919959694</t>
  </si>
  <si>
    <t>0007471150008153080</t>
  </si>
  <si>
    <t>xx1556</t>
  </si>
  <si>
    <t>D NO 2471 MOPIDEVIREPALLEANDHRAPRADESH521125REPALLE</t>
  </si>
  <si>
    <t>K SURESH</t>
  </si>
  <si>
    <t>8008336807</t>
  </si>
  <si>
    <t>0007471150009629849</t>
  </si>
  <si>
    <t>xx4679</t>
  </si>
  <si>
    <t>DOOR NUMBER 13-7-79/1ATADIPAIAH BAZAR 19TH WARDBAPATLA GUNTURREPALLE</t>
  </si>
  <si>
    <t>MR RANGINENI SURYA</t>
  </si>
  <si>
    <t>6281626020</t>
  </si>
  <si>
    <t>0007473480253640426</t>
  </si>
  <si>
    <t>xx8177</t>
  </si>
  <si>
    <t>S/O RANGINENI SURESH HNO 20/471WARD NO 20 KONETIMITTA NELLORENEAR BY ZUDIO STORENELLORE</t>
  </si>
  <si>
    <t>MR SAGAR NAYAK</t>
  </si>
  <si>
    <t>9776962644</t>
  </si>
  <si>
    <t>0007473030000350066</t>
  </si>
  <si>
    <t>xx6036</t>
  </si>
  <si>
    <t>QUTERNO S3 INS SARKAR ESTRERNNOVEL COMMAND NEARBY SINDHIA JUNCTIONVISAKHAPATNAM</t>
  </si>
  <si>
    <t>SARABHA MOHAN RAO</t>
  </si>
  <si>
    <t>8985363514</t>
  </si>
  <si>
    <t>0007478800013174660</t>
  </si>
  <si>
    <t>xx7138</t>
  </si>
  <si>
    <t>TYPE-2 QUARTER NO 462 PORT QUARTERSSALIGRAMAPURAM - NR RAITHU BAZARRAITU BAZARVISAKHAPATNAM</t>
  </si>
  <si>
    <t>GUNNAM VASU</t>
  </si>
  <si>
    <t>9346193970</t>
  </si>
  <si>
    <t>0007476840002737459</t>
  </si>
  <si>
    <t>xx9421</t>
  </si>
  <si>
    <t>BLOCK NO-58 FLAT NO G-4 JNNURM COLONYMADEENABAGH ISLAMPETA PEDAGANTYADAVISAKHAPATNAM</t>
  </si>
  <si>
    <t>VARUN KUMAR SAMPANGI</t>
  </si>
  <si>
    <t>7673946157</t>
  </si>
  <si>
    <t>0007470890004996492</t>
  </si>
  <si>
    <t>xx4761</t>
  </si>
  <si>
    <t>HOUSE NUMBER 201008/1GOLLAVEDHI BAJANA KOVELANEAR BY AVN COLLAGEVISAKHAPATNAM</t>
  </si>
  <si>
    <t>THADI SRIDHAR</t>
  </si>
  <si>
    <t>9912255971</t>
  </si>
  <si>
    <t>0007471150000989101</t>
  </si>
  <si>
    <t>xx0845</t>
  </si>
  <si>
    <t>13-17-8 MAHARANIPETAM R PETADIBBALAPALEM - NR OPP MUNCIPALKALYANA OPP MUNCIPAL KALYANAVISAKHAPATNAM ANDHRA PRADESHVISAKHAPATNAM</t>
  </si>
  <si>
    <t>SURYANARAYANA NANDAM</t>
  </si>
  <si>
    <t>9030099141</t>
  </si>
  <si>
    <t>0007477770005399511</t>
  </si>
  <si>
    <t>HOUSE NO 102 A BLOCKPINAMMA NAINI RESIDENCY VIJAYWADAKRISHNAKRISHNA</t>
  </si>
  <si>
    <t>0007471150005079361</t>
  </si>
  <si>
    <t>xx9829</t>
  </si>
  <si>
    <t>YAMINI SOMESWARA RAO</t>
  </si>
  <si>
    <t>8297982095</t>
  </si>
  <si>
    <t>0005243736700398584</t>
  </si>
  <si>
    <t>xx8053</t>
  </si>
  <si>
    <t>7-21 DUVVADA SECTOR-1NEAR RAMALAYAMVISAKHAPATNAM</t>
  </si>
  <si>
    <t>VIJAYA KUMAR GOBATTINA</t>
  </si>
  <si>
    <t>9533123675</t>
  </si>
  <si>
    <t>0007477770006047333</t>
  </si>
  <si>
    <t>4 198 SRI MAHA LAKSHMI NAGARPORANKIVIJAYAWADA</t>
  </si>
  <si>
    <t>GALETI SHRIKANT</t>
  </si>
  <si>
    <t>8019784795</t>
  </si>
  <si>
    <t>0007477770005566879</t>
  </si>
  <si>
    <t>D NO 10 125 MASJID STREET GOLLAPUDIKRISHNA DTNEAR RISHIK APARTMENTKRISHNA</t>
  </si>
  <si>
    <t>9581089958</t>
  </si>
  <si>
    <t>FLAT NO416 UNIT 2 CHIPPADA DSN SEZ BHIMI  VISHAKAPHTNAM PIN CODE 531162    DSN HOSTEL  VISHAKAPATNAM  531162</t>
  </si>
  <si>
    <t>8712368307</t>
  </si>
  <si>
    <t>ABHISHEK</t>
  </si>
  <si>
    <t>53-2-6 SEERAPU VEEDHI MADDILAPALAM  P AND T COLONY    NR RTC DEPOT  VISHAKAPATNAM  530013</t>
  </si>
  <si>
    <t>9533655830</t>
  </si>
  <si>
    <t>1.FLAT.NO.405..108.6.27.FLR..SANJEEVINI.  SIMHACHALAM  ..SIMHACHALAM  SIMHACHALAM  VISHAKAPATNAM  530028</t>
  </si>
  <si>
    <t>MR Indukuri D V</t>
  </si>
  <si>
    <t>9666736174</t>
  </si>
  <si>
    <t>2-121/1   West Godavari West Godavari ANP 534156</t>
  </si>
  <si>
    <t>WEST GODAVARI</t>
  </si>
  <si>
    <t>BVR</t>
  </si>
  <si>
    <t xml:space="preserve">Q NO E88 OCC COLONY DEVAPOOR  KASIPET MANCHERIAL MANCHERIAL NEAR MAIN ROAD ADILABAD TNG 504218 </t>
  </si>
  <si>
    <t>MR SUDHAKAR PAMARTHI</t>
  </si>
  <si>
    <t>9848444383</t>
  </si>
  <si>
    <t>4375514894162006</t>
  </si>
  <si>
    <t>ALTHAF</t>
  </si>
  <si>
    <t xml:space="preserve">HOUSE NUMBER 71-3-7 PATAMATA  KONERU VARI STREET  BESIDE SUNITHA NARSING HOME VIJAYAWADA ANP 520010 </t>
  </si>
  <si>
    <t>Customer Alternate No</t>
  </si>
  <si>
    <t>JAN''26</t>
  </si>
  <si>
    <t>MADAKAM VENKATALAKSHMI</t>
  </si>
  <si>
    <t>919492116043</t>
  </si>
  <si>
    <t>0007470830017857463</t>
  </si>
  <si>
    <t>xx8833</t>
  </si>
  <si>
    <t>SGR RECEIVED 2277/- 3RD JAN'26</t>
  </si>
  <si>
    <t>919666622642</t>
  </si>
  <si>
    <t>GOVINDU VADDI</t>
  </si>
  <si>
    <t>918639499150</t>
  </si>
  <si>
    <t>0007478830006167710</t>
  </si>
  <si>
    <t>xx6120</t>
  </si>
  <si>
    <t>GANGAPATLA HARIBABU</t>
  </si>
  <si>
    <t>919494790762</t>
  </si>
  <si>
    <t>0007476760003825014</t>
  </si>
  <si>
    <t>xx5599</t>
  </si>
  <si>
    <t>MR RAJESH VILLA</t>
  </si>
  <si>
    <t>918801030410</t>
  </si>
  <si>
    <t>0007478950025794250</t>
  </si>
  <si>
    <t>xx1145</t>
  </si>
  <si>
    <t>MANJUNATH T</t>
  </si>
  <si>
    <t>918886827459</t>
  </si>
  <si>
    <t>0007478650015999543</t>
  </si>
  <si>
    <t>xx1292</t>
  </si>
  <si>
    <t>CHINTHALA GUNAMBIKA</t>
  </si>
  <si>
    <t>919494289520</t>
  </si>
  <si>
    <t>0007478830001146586</t>
  </si>
  <si>
    <t>xx9246</t>
  </si>
  <si>
    <t>919440174384</t>
  </si>
  <si>
    <t>0007477770007816512</t>
  </si>
  <si>
    <t>SATISHBABU PELLURU</t>
  </si>
  <si>
    <t>919000392266</t>
  </si>
  <si>
    <t>0007477800009584816</t>
  </si>
  <si>
    <t>GAYATHRI ADUSUMALLI</t>
  </si>
  <si>
    <t>917337433881</t>
  </si>
  <si>
    <t>0007471150003039383</t>
  </si>
  <si>
    <t>xx4378</t>
  </si>
  <si>
    <t>APPALASETTI VENKATA RAMANA</t>
  </si>
  <si>
    <t>919030911940</t>
  </si>
  <si>
    <t>0007478650020753760</t>
  </si>
  <si>
    <t>xx5905</t>
  </si>
  <si>
    <t>MUNI PRASAD VAKATI</t>
  </si>
  <si>
    <t>917382277246</t>
  </si>
  <si>
    <t>0007478700073060785</t>
  </si>
  <si>
    <t>xx5584</t>
  </si>
  <si>
    <t>918056586847</t>
  </si>
  <si>
    <t>SAIRAMARAJU UPENDRAM</t>
  </si>
  <si>
    <t>919849485177</t>
  </si>
  <si>
    <t>0007476780001138061</t>
  </si>
  <si>
    <t>xx1254</t>
  </si>
  <si>
    <t>MR MANOJ DAYALDAS CHUGANI CHUGANI</t>
  </si>
  <si>
    <t>919493288290</t>
  </si>
  <si>
    <t>0007478950045351768</t>
  </si>
  <si>
    <t>xx8276</t>
  </si>
  <si>
    <t>MR BARLA VENKATA RAMARAO</t>
  </si>
  <si>
    <t>918008715114</t>
  </si>
  <si>
    <t>0007476770000981280</t>
  </si>
  <si>
    <t>xx5673</t>
  </si>
  <si>
    <t>KUDUPUDI VIJAYAKUMAR</t>
  </si>
  <si>
    <t>919550129525</t>
  </si>
  <si>
    <t>0007470870005783735</t>
  </si>
  <si>
    <t>xx7058</t>
  </si>
  <si>
    <t>KODALI NAGENDRABABU</t>
  </si>
  <si>
    <t>919063368333</t>
  </si>
  <si>
    <t>0007471150007693623</t>
  </si>
  <si>
    <t>xx6960</t>
  </si>
  <si>
    <t>ISMAIL ABDUL</t>
  </si>
  <si>
    <t>919177678615</t>
  </si>
  <si>
    <t>0007478950041410840</t>
  </si>
  <si>
    <t>xx6623</t>
  </si>
  <si>
    <t>SGR RECEIVED 1000/-3RD FEB''26</t>
  </si>
  <si>
    <t>VENKATARATNAM GARBHAM</t>
  </si>
  <si>
    <t>919490776292</t>
  </si>
  <si>
    <t>0007477350051163846</t>
  </si>
  <si>
    <t>xx9845</t>
  </si>
  <si>
    <t>CHINNA PULLAIAH</t>
  </si>
  <si>
    <t>919640253051</t>
  </si>
  <si>
    <t>0007477800011634211</t>
  </si>
  <si>
    <t>K SUDHARSHAN SUDHARSHAN THEJA</t>
  </si>
  <si>
    <t>918328290563</t>
  </si>
  <si>
    <t>0007476300016796918</t>
  </si>
  <si>
    <t>xx3714</t>
  </si>
  <si>
    <t>PAVANI</t>
  </si>
  <si>
    <t>MR GEDDANAPALLI SRINIVASARAO</t>
  </si>
  <si>
    <t>919248422398</t>
  </si>
  <si>
    <t>0007477250026559492</t>
  </si>
  <si>
    <t>xx9759</t>
  </si>
  <si>
    <t>MR MANTRI DURGA PRASAD</t>
  </si>
  <si>
    <t>919550697818</t>
  </si>
  <si>
    <t>0007477770007479691</t>
  </si>
  <si>
    <t>BALLA SRINIVASA RAO</t>
  </si>
  <si>
    <t>919849690994</t>
  </si>
  <si>
    <t>0007477800007995477</t>
  </si>
  <si>
    <t>SAMBA SRIKANTH</t>
  </si>
  <si>
    <t>919705438467</t>
  </si>
  <si>
    <t>0007476740008210354</t>
  </si>
  <si>
    <t>xx6215</t>
  </si>
  <si>
    <t>NEELAKANTAM RAVI KANTH</t>
  </si>
  <si>
    <t>919959391886</t>
  </si>
  <si>
    <t>0007476740002770429</t>
  </si>
  <si>
    <t>VELUGURI PRAVEEN KUMAR</t>
  </si>
  <si>
    <t>917702614210</t>
  </si>
  <si>
    <t>0007476300015682218</t>
  </si>
  <si>
    <t>xx9683</t>
  </si>
  <si>
    <t>VELPULA BALAJI</t>
  </si>
  <si>
    <t>919573373330</t>
  </si>
  <si>
    <t>0007477800009402316</t>
  </si>
  <si>
    <t>MUNIKOTI SAI KUMAR</t>
  </si>
  <si>
    <t>916281315719</t>
  </si>
  <si>
    <t>0007477250030079859</t>
  </si>
  <si>
    <t>xx3563</t>
  </si>
  <si>
    <t>NAGULAPATI LAKSHMINARAYANA</t>
  </si>
  <si>
    <t>919704309449</t>
  </si>
  <si>
    <t>0007476860014780628</t>
  </si>
  <si>
    <t>xx7312</t>
  </si>
  <si>
    <t>GVSS SUBRAMANYA SWAMY</t>
  </si>
  <si>
    <t>919989899488</t>
  </si>
  <si>
    <t>0007478950045387341</t>
  </si>
  <si>
    <t>xx4097</t>
  </si>
  <si>
    <t>MAILA MAHIDHAR REDDY</t>
  </si>
  <si>
    <t>919573480199</t>
  </si>
  <si>
    <t>0007476770000759678</t>
  </si>
  <si>
    <t>xx4576</t>
  </si>
  <si>
    <t>0007477800008972939</t>
  </si>
  <si>
    <t>PARAMESWARA RAO BALLA</t>
  </si>
  <si>
    <t>918555044590</t>
  </si>
  <si>
    <t>0007471150003204193</t>
  </si>
  <si>
    <t>xx8803</t>
  </si>
  <si>
    <t>SUDARSANAREDDY POTHULAPADU</t>
  </si>
  <si>
    <t>919703602072</t>
  </si>
  <si>
    <t>0007470570000829695</t>
  </si>
  <si>
    <t>xx8906</t>
  </si>
  <si>
    <t>TIRNATHI MAHESHKUMAR</t>
  </si>
  <si>
    <t>917893857569</t>
  </si>
  <si>
    <t>0007473000001031924</t>
  </si>
  <si>
    <t>xx0592</t>
  </si>
  <si>
    <t>KOTESWARA RAO GARIKA</t>
  </si>
  <si>
    <t>919701149140</t>
  </si>
  <si>
    <t>0007476740002480532</t>
  </si>
  <si>
    <t>xx6906</t>
  </si>
  <si>
    <t>MR SHANKAR KASIMKOTA</t>
  </si>
  <si>
    <t>917569991666</t>
  </si>
  <si>
    <t>0007478000001096278</t>
  </si>
  <si>
    <t>xx8270</t>
  </si>
  <si>
    <t>C SAI SIVA KUMAR</t>
  </si>
  <si>
    <t>919550170789</t>
  </si>
  <si>
    <t>0007476400004528669</t>
  </si>
  <si>
    <t>919441481149</t>
  </si>
  <si>
    <t>919347971341</t>
  </si>
  <si>
    <t>HASAVATHU SRINIVASA RAO</t>
  </si>
  <si>
    <t>918142346434</t>
  </si>
  <si>
    <t>0007478600000228184</t>
  </si>
  <si>
    <t>xx5625</t>
  </si>
  <si>
    <t>919966985317</t>
  </si>
  <si>
    <t>BALAKRISHNA BOMMALI</t>
  </si>
  <si>
    <t>919392303899</t>
  </si>
  <si>
    <t>0007477200000285853</t>
  </si>
  <si>
    <t>xx0936</t>
  </si>
  <si>
    <t>VADDI SUDHEER</t>
  </si>
  <si>
    <t>917382123316</t>
  </si>
  <si>
    <t>0007478700097554763</t>
  </si>
  <si>
    <t>xx8170</t>
  </si>
  <si>
    <t>NADAKUDITI NAGANJANEYULU</t>
  </si>
  <si>
    <t>919032335733</t>
  </si>
  <si>
    <t>0007476760003731832</t>
  </si>
  <si>
    <t>xx6873</t>
  </si>
  <si>
    <t>SATYENDRA DUBEY</t>
  </si>
  <si>
    <t>919390714926</t>
  </si>
  <si>
    <t>0007478700128478529</t>
  </si>
  <si>
    <t>xx7953</t>
  </si>
  <si>
    <t>MR SAHID ANSARI</t>
  </si>
  <si>
    <t>918297341120</t>
  </si>
  <si>
    <t>0007476840003183406</t>
  </si>
  <si>
    <t>xx8730</t>
  </si>
  <si>
    <t>SREELALITHA VADDADI</t>
  </si>
  <si>
    <t>919550291330</t>
  </si>
  <si>
    <t>0007478700072807558</t>
  </si>
  <si>
    <t>xx8652</t>
  </si>
  <si>
    <t>KIRAN PALLEPOGU</t>
  </si>
  <si>
    <t>917093020787</t>
  </si>
  <si>
    <t>0007476760006080567</t>
  </si>
  <si>
    <t>xx7686</t>
  </si>
  <si>
    <t>C H RAMA RAO</t>
  </si>
  <si>
    <t>919531928962</t>
  </si>
  <si>
    <t>0007476860015439091</t>
  </si>
  <si>
    <t>xx5074</t>
  </si>
  <si>
    <t>PEMMIREDDY NAGENDRAVARAPRASAD</t>
  </si>
  <si>
    <t>918555939481</t>
  </si>
  <si>
    <t>0007476600042733128</t>
  </si>
  <si>
    <t>xx1411</t>
  </si>
  <si>
    <t>BAGU DARAPPA</t>
  </si>
  <si>
    <t>917036057173</t>
  </si>
  <si>
    <t>0007471930000256894</t>
  </si>
  <si>
    <t>xx0660</t>
  </si>
  <si>
    <t>MR RAMAIAH KANUPURU</t>
  </si>
  <si>
    <t>918179797402</t>
  </si>
  <si>
    <t>0007478650008826729</t>
  </si>
  <si>
    <t>xx5784</t>
  </si>
  <si>
    <t>MR POLAVARAPU VASU</t>
  </si>
  <si>
    <t>919550381221</t>
  </si>
  <si>
    <t>0007476770002356572</t>
  </si>
  <si>
    <t>xx6095</t>
  </si>
  <si>
    <t>RAJESH GADHE</t>
  </si>
  <si>
    <t>918143814335</t>
  </si>
  <si>
    <t>0007470830010632871</t>
  </si>
  <si>
    <t>xx1963</t>
  </si>
  <si>
    <t>MUTCHI HARISH</t>
  </si>
  <si>
    <t>SGR RECEIVED 4K/-3RD FEB''26//SGR RECEIVED 6TH FEB''26 4K//PENDING 1540//SGR RECEIVED 1540/-7TH FEB''26</t>
  </si>
  <si>
    <t>NOV</t>
  </si>
  <si>
    <t>VUDDAGIRI SAIKUMAR</t>
  </si>
  <si>
    <t>5241933601546005</t>
  </si>
  <si>
    <t>DEC</t>
  </si>
  <si>
    <t>PRADIP KAMBLE</t>
  </si>
  <si>
    <t>4748469533912016</t>
  </si>
  <si>
    <t>HYD RAVIKIRAN</t>
  </si>
  <si>
    <t>MEKALA SANDHYA RANI</t>
  </si>
  <si>
    <t>6528680419173009</t>
  </si>
  <si>
    <t>SGR RECEIVED 25TH JAN''26  8400/-</t>
  </si>
  <si>
    <t>RANJITH/TS 7794980652</t>
  </si>
  <si>
    <t>NORM</t>
  </si>
  <si>
    <t>KORITALA JAGADESH PRASAD</t>
  </si>
  <si>
    <t>4748468827094002</t>
  </si>
  <si>
    <t>SK AYESHA</t>
  </si>
  <si>
    <t>PRUDHVI/GTR 8185079989</t>
  </si>
  <si>
    <t>JALALA SUNEEL KUMAR</t>
  </si>
  <si>
    <t>SGR RECEIVED 8TH JAN''26 24750/-</t>
  </si>
  <si>
    <t>OCT</t>
  </si>
  <si>
    <t>4THBKT VIZAG</t>
  </si>
  <si>
    <t xml:space="preserve">Yellabilli vss narayana </t>
  </si>
  <si>
    <t>5241933586719007</t>
  </si>
  <si>
    <t>SGR RECEIVED 1300/- 6TH JAN''25</t>
  </si>
  <si>
    <t xml:space="preserve"> NORM</t>
  </si>
  <si>
    <t>APR</t>
  </si>
  <si>
    <t>PUDOTA IGNATIOUS VIVEK</t>
  </si>
  <si>
    <t>919885100333</t>
  </si>
  <si>
    <t>0007477770007096313</t>
  </si>
  <si>
    <t>NUDURUMATI VEERABHADRARAO</t>
  </si>
  <si>
    <t>919494309999</t>
  </si>
  <si>
    <t>0007477800007335914</t>
  </si>
  <si>
    <t>JHANEE BHASHA SHAIK</t>
  </si>
  <si>
    <t>919030348834</t>
  </si>
  <si>
    <t>0007477350011826045</t>
  </si>
  <si>
    <t>xx3811</t>
  </si>
  <si>
    <t>KOTTAKOTA SAI KUMAR</t>
  </si>
  <si>
    <t>919491158341</t>
  </si>
  <si>
    <t>0007476760004218946</t>
  </si>
  <si>
    <t>xx0354</t>
  </si>
  <si>
    <t>0007477770004812837</t>
  </si>
  <si>
    <t>SHAIK HUSSAIN VALI</t>
  </si>
  <si>
    <t>919848571141</t>
  </si>
  <si>
    <t>0007478800040654726</t>
  </si>
  <si>
    <t>xx8945</t>
  </si>
  <si>
    <t>KANDUKURI SRIKANTH</t>
  </si>
  <si>
    <t>919989497404</t>
  </si>
  <si>
    <t>0007476300010255119</t>
  </si>
  <si>
    <t>xx2071</t>
  </si>
  <si>
    <t>ABDUL SUBHAN SHAIK</t>
  </si>
  <si>
    <t>919866673241</t>
  </si>
  <si>
    <t>0007470570003339858</t>
  </si>
  <si>
    <t>xx0646</t>
  </si>
  <si>
    <t>DURGAPRASAD ANJURI</t>
  </si>
  <si>
    <t>917337287973</t>
  </si>
  <si>
    <t>0007476600004149768</t>
  </si>
  <si>
    <t>MALLIKARJUNA REDDY MEDIKURTHI</t>
  </si>
  <si>
    <t>919603788079</t>
  </si>
  <si>
    <t>0007470710003226669</t>
  </si>
  <si>
    <t>xx5448</t>
  </si>
  <si>
    <t>KUTAGULLA JOSEPH CHARLES KUMAR</t>
  </si>
  <si>
    <t>919885581739</t>
  </si>
  <si>
    <t>0007471200002400050</t>
  </si>
  <si>
    <t>xx2969</t>
  </si>
  <si>
    <t>MOUNDURI AMARNADH</t>
  </si>
  <si>
    <t>919966800829</t>
  </si>
  <si>
    <t>0007478950046532291</t>
  </si>
  <si>
    <t>xx7150</t>
  </si>
  <si>
    <t>BASINA GOPI</t>
  </si>
  <si>
    <t>919701648046</t>
  </si>
  <si>
    <t>0007476860014888231</t>
  </si>
  <si>
    <t>xx2290</t>
  </si>
  <si>
    <t>LATHA NUNNAM</t>
  </si>
  <si>
    <t>917382273106</t>
  </si>
  <si>
    <t>0007476760011323515</t>
  </si>
  <si>
    <t>xx4665</t>
  </si>
  <si>
    <t>917036381782</t>
  </si>
  <si>
    <t>YADLAPALLI LOWA PRASAD</t>
  </si>
  <si>
    <t>919110585478</t>
  </si>
  <si>
    <t>0007477800009185036</t>
  </si>
  <si>
    <t>MADHULATHA POLIMETLA</t>
  </si>
  <si>
    <t>918309302199</t>
  </si>
  <si>
    <t>0007477800009756950</t>
  </si>
  <si>
    <t>SRIVIDYA DANDOLU</t>
  </si>
  <si>
    <t>919440853799</t>
  </si>
  <si>
    <t>0007471150007881319</t>
  </si>
  <si>
    <t>xx0503</t>
  </si>
  <si>
    <t>JAAKI S</t>
  </si>
  <si>
    <t>919885436668</t>
  </si>
  <si>
    <t>0007470870003055730</t>
  </si>
  <si>
    <t>xx0190</t>
  </si>
  <si>
    <t>KASTURI RAMESH</t>
  </si>
  <si>
    <t>918500707578</t>
  </si>
  <si>
    <t>0007470870009685548</t>
  </si>
  <si>
    <t>xx8604</t>
  </si>
  <si>
    <t>KOSURI SANYASI RAO</t>
  </si>
  <si>
    <t>919959369194</t>
  </si>
  <si>
    <t>0007478730002455129</t>
  </si>
  <si>
    <t>xx3794</t>
  </si>
  <si>
    <t>0007470870000779019</t>
  </si>
  <si>
    <t>xx9107</t>
  </si>
  <si>
    <t>KOTESWARARAO KALA</t>
  </si>
  <si>
    <t>919059688384</t>
  </si>
  <si>
    <t>0007476770000598639</t>
  </si>
  <si>
    <t>xx7643</t>
  </si>
  <si>
    <t>YALAMAKUR DASTAGIRI</t>
  </si>
  <si>
    <t>916304474165</t>
  </si>
  <si>
    <t>0007471150004852529</t>
  </si>
  <si>
    <t>xx1958</t>
  </si>
  <si>
    <t>BALA KRISHNA JADAPALLI</t>
  </si>
  <si>
    <t>917799991165</t>
  </si>
  <si>
    <t>0007478730001377480</t>
  </si>
  <si>
    <t>xx7098</t>
  </si>
  <si>
    <t>SGR RECEIVED 2216/- 5TH FEB'26//PENDING 949.83</t>
  </si>
  <si>
    <t>GUNDE PAVAN KUMAR</t>
  </si>
  <si>
    <t>918186036013</t>
  </si>
  <si>
    <t>0007476770001858271</t>
  </si>
  <si>
    <t>xx4525</t>
  </si>
  <si>
    <t>MR KAGITHAPALLI RAMBABU</t>
  </si>
  <si>
    <t>918333807071</t>
  </si>
  <si>
    <t>0007478830005867534</t>
  </si>
  <si>
    <t>xx4705</t>
  </si>
  <si>
    <t>KOLIKIPAMULA MOUNIKA</t>
  </si>
  <si>
    <t>919603864098</t>
  </si>
  <si>
    <t>0007476300018158950</t>
  </si>
  <si>
    <t>xx3522</t>
  </si>
  <si>
    <t>SANGULA SAIGANESH</t>
  </si>
  <si>
    <t>919949991717</t>
  </si>
  <si>
    <t>0007477800008215255</t>
  </si>
  <si>
    <t>SREENIVASA RAO IMANDI</t>
  </si>
  <si>
    <t>919391210558</t>
  </si>
  <si>
    <t>0007478780000328026</t>
  </si>
  <si>
    <t>RAJASHEKAR VENKATA BATHULA</t>
  </si>
  <si>
    <t>919885840709</t>
  </si>
  <si>
    <t>0007470870002878819</t>
  </si>
  <si>
    <t>SRINIVASARAO MOKANA</t>
  </si>
  <si>
    <t>919963344789</t>
  </si>
  <si>
    <t>0007470810010702296</t>
  </si>
  <si>
    <t>xx4770</t>
  </si>
  <si>
    <t>KASIREDDI VEERA VENKATA NARASIMHARAO</t>
  </si>
  <si>
    <t>919440088975</t>
  </si>
  <si>
    <t>0007474600004042007</t>
  </si>
  <si>
    <t>xx4326</t>
  </si>
  <si>
    <t>0007477800006199733</t>
  </si>
  <si>
    <t>ANSAR WALI SHAIK</t>
  </si>
  <si>
    <t>919949949012</t>
  </si>
  <si>
    <t>0007478800013204038</t>
  </si>
  <si>
    <t>xx8044</t>
  </si>
  <si>
    <t>YARRAKULA SRINIVASA RAO</t>
  </si>
  <si>
    <t>919542601806</t>
  </si>
  <si>
    <t>0007478650026062042</t>
  </si>
  <si>
    <t>xx2033</t>
  </si>
  <si>
    <t>DODDA CHAITANYA</t>
  </si>
  <si>
    <t>919666333119</t>
  </si>
  <si>
    <t>0007477800007542675</t>
  </si>
  <si>
    <t>POTULA NAGAPURNACHANDRAPRAKASH</t>
  </si>
  <si>
    <t>917997882236</t>
  </si>
  <si>
    <t>0007470890004645438</t>
  </si>
  <si>
    <t>xx9322</t>
  </si>
  <si>
    <t>BHASKAR SENDHIL</t>
  </si>
  <si>
    <t>917013620487</t>
  </si>
  <si>
    <t>0007477800006159430</t>
  </si>
  <si>
    <t>SALEEM LAMBOO</t>
  </si>
  <si>
    <t>919966756542</t>
  </si>
  <si>
    <t>0007470810010966669</t>
  </si>
  <si>
    <t>xx5753</t>
  </si>
  <si>
    <t>NIMMANA PEDDABABU</t>
  </si>
  <si>
    <t>919182427126</t>
  </si>
  <si>
    <t>0007470830017271715</t>
  </si>
  <si>
    <t>SUNKARA MANISAI</t>
  </si>
  <si>
    <t>918886634452</t>
  </si>
  <si>
    <t>0007478730001230150</t>
  </si>
  <si>
    <t>xx2389</t>
  </si>
  <si>
    <t>919866686667</t>
  </si>
  <si>
    <t>MOTEPALLI PRABHU</t>
  </si>
  <si>
    <t>919490621067</t>
  </si>
  <si>
    <t>0007477800008603674</t>
  </si>
  <si>
    <t>KOLUKULURI RAMABHADRA RAJU</t>
  </si>
  <si>
    <t>919573518186</t>
  </si>
  <si>
    <t>0007478830006402018</t>
  </si>
  <si>
    <t>xx1474</t>
  </si>
  <si>
    <t>GURRAM LATHA</t>
  </si>
  <si>
    <t>919985880309</t>
  </si>
  <si>
    <t>0007471150007217464</t>
  </si>
  <si>
    <t>xx9563</t>
  </si>
  <si>
    <t>Sriram Gurunadham</t>
  </si>
  <si>
    <t>919066776670</t>
  </si>
  <si>
    <t>0007470850001505043</t>
  </si>
  <si>
    <t>xx1068</t>
  </si>
  <si>
    <t>KHADAR BASHA DALBUNDI</t>
  </si>
  <si>
    <t>919032220534</t>
  </si>
  <si>
    <t>0007470890000679373</t>
  </si>
  <si>
    <t>xx5852</t>
  </si>
  <si>
    <t>MR CHITTIBABU PRATHEEP</t>
  </si>
  <si>
    <t>919704991607</t>
  </si>
  <si>
    <t>0007473030000429001</t>
  </si>
  <si>
    <t>xx5263</t>
  </si>
  <si>
    <t>NELLIPATLA MARUTHI PRASAD</t>
  </si>
  <si>
    <t>919347843337</t>
  </si>
  <si>
    <t>0007471150007816554</t>
  </si>
  <si>
    <t>xx9058</t>
  </si>
  <si>
    <t>SRI HARI CHITTIBOMMA</t>
  </si>
  <si>
    <t>919885959595</t>
  </si>
  <si>
    <t>0005369077355168370</t>
  </si>
  <si>
    <t>xx8370</t>
  </si>
  <si>
    <t>HAREESH MARUTHOTI</t>
  </si>
  <si>
    <t>919701262026</t>
  </si>
  <si>
    <t>0007478830000585024</t>
  </si>
  <si>
    <t>KANIKARAM MEDARA SANJEEV KUMAR</t>
  </si>
  <si>
    <t>916302111452</t>
  </si>
  <si>
    <t>0007478830003000849</t>
  </si>
  <si>
    <t>xx2080</t>
  </si>
  <si>
    <t>SGR RECEIVED 500/- 26TH JAN</t>
  </si>
  <si>
    <t>SHAIK SHAIKSHAVALI</t>
  </si>
  <si>
    <t>919949903803</t>
  </si>
  <si>
    <t>0007478730000248948</t>
  </si>
  <si>
    <t>xx5872</t>
  </si>
  <si>
    <t>SS JASIMA BHANU</t>
  </si>
  <si>
    <t>918142223334</t>
  </si>
  <si>
    <t>0007477800005383577</t>
  </si>
  <si>
    <t>YELURI JAYA RAJU</t>
  </si>
  <si>
    <t>919553339349</t>
  </si>
  <si>
    <t>0007478830001726627</t>
  </si>
  <si>
    <t>xx6901</t>
  </si>
  <si>
    <t>DUNNA RAJESH</t>
  </si>
  <si>
    <t>917893234597</t>
  </si>
  <si>
    <t>0007478950009599329</t>
  </si>
  <si>
    <t>xx8651</t>
  </si>
  <si>
    <t>ANILKUMAR UPPALAMURTHI</t>
  </si>
  <si>
    <t>919700092575</t>
  </si>
  <si>
    <t>0007478950034514772</t>
  </si>
  <si>
    <t>xx2205</t>
  </si>
  <si>
    <t>918179992124</t>
  </si>
  <si>
    <t>SUMAN REDDY ESWARAWAKA</t>
  </si>
  <si>
    <t>918088757775</t>
  </si>
  <si>
    <t>0007478830002419578</t>
  </si>
  <si>
    <t>xx0677</t>
  </si>
  <si>
    <t>DAVIDRAJU KANDRU</t>
  </si>
  <si>
    <t>919866543443</t>
  </si>
  <si>
    <t>0007478600000052766</t>
  </si>
  <si>
    <t>xx2737</t>
  </si>
  <si>
    <t>DUDEKULA VENKATARAMESHBA</t>
  </si>
  <si>
    <t>918106915546</t>
  </si>
  <si>
    <t>0007477800009435951</t>
  </si>
  <si>
    <t>BAPATLA MADHU BABU</t>
  </si>
  <si>
    <t>919493053212</t>
  </si>
  <si>
    <t>0007478830008055103</t>
  </si>
  <si>
    <t>xx1216</t>
  </si>
  <si>
    <t>GORANTLA SANTOSH KUMAR</t>
  </si>
  <si>
    <t>918500109009</t>
  </si>
  <si>
    <t>0007470810010134656</t>
  </si>
  <si>
    <t>xx3652</t>
  </si>
  <si>
    <t>SATYANARAYANA MAREDU</t>
  </si>
  <si>
    <t>919396877552</t>
  </si>
  <si>
    <t>0007477800011366418</t>
  </si>
  <si>
    <t>SURENDRASIMHA K</t>
  </si>
  <si>
    <t>919000546406</t>
  </si>
  <si>
    <t>0007477770005549537</t>
  </si>
  <si>
    <t>J KRANTHI</t>
  </si>
  <si>
    <t>918374651733</t>
  </si>
  <si>
    <t>0007476770000646875</t>
  </si>
  <si>
    <t>xx3549</t>
  </si>
  <si>
    <t>MUTHINA SURESH</t>
  </si>
  <si>
    <t>917386567669</t>
  </si>
  <si>
    <t>0007470470000682493</t>
  </si>
  <si>
    <t>xx3500</t>
  </si>
  <si>
    <t>MEDISETTY KUMARI</t>
  </si>
  <si>
    <t>919398841911</t>
  </si>
  <si>
    <t>0007470870009889645</t>
  </si>
  <si>
    <t>xx2224</t>
  </si>
  <si>
    <t>MR BANDARI ANJANEYULU</t>
  </si>
  <si>
    <t>919885681278</t>
  </si>
  <si>
    <t>0007476780002812938</t>
  </si>
  <si>
    <t>xx2908</t>
  </si>
  <si>
    <t>RAMISETTI RAJASEKHAR</t>
  </si>
  <si>
    <t>919700102130</t>
  </si>
  <si>
    <t>0007478700122643821</t>
  </si>
  <si>
    <t>xx3943</t>
  </si>
  <si>
    <t>NAKKA RAMANJANEYULU</t>
  </si>
  <si>
    <t>919705662278</t>
  </si>
  <si>
    <t>0007471150006457095</t>
  </si>
  <si>
    <t>xx3742</t>
  </si>
  <si>
    <t>MIRTHIPATI MIDHAN VEERA SAI</t>
  </si>
  <si>
    <t>918106882970</t>
  </si>
  <si>
    <t>0007476600038761604</t>
  </si>
  <si>
    <t>xx8320</t>
  </si>
  <si>
    <t>S KHALEELBASHA</t>
  </si>
  <si>
    <t>919441803898</t>
  </si>
  <si>
    <t>0007477800008129878</t>
  </si>
  <si>
    <t>MUDIAM MOHAN</t>
  </si>
  <si>
    <t>919885722540</t>
  </si>
  <si>
    <t>0007471930000162373</t>
  </si>
  <si>
    <t>xx2504</t>
  </si>
  <si>
    <t>VARA PRASAD CHELIKANI</t>
  </si>
  <si>
    <t>919963974295</t>
  </si>
  <si>
    <t>0007470830010625891</t>
  </si>
  <si>
    <t>xx2855</t>
  </si>
  <si>
    <t>APPALARAJU MOOGI</t>
  </si>
  <si>
    <t>919701884760</t>
  </si>
  <si>
    <t>0007477800008655716</t>
  </si>
  <si>
    <t>MR BADIGANTALA PYDIRAJU</t>
  </si>
  <si>
    <t>917396672183</t>
  </si>
  <si>
    <t>0007476760007054124</t>
  </si>
  <si>
    <t>xx1632</t>
  </si>
  <si>
    <t>MADHU SUDHANA CHARI CHEPURI</t>
  </si>
  <si>
    <t>919642863461</t>
  </si>
  <si>
    <t>0007477800008391551</t>
  </si>
  <si>
    <t>VADDADI KIRANKUMAR</t>
  </si>
  <si>
    <t>919032497193</t>
  </si>
  <si>
    <t>0007478700121527942</t>
  </si>
  <si>
    <t>xx9955</t>
  </si>
  <si>
    <t>MR VASKURI RAMAMOHAN RAO</t>
  </si>
  <si>
    <t>919248336333</t>
  </si>
  <si>
    <t>0007478700126142721</t>
  </si>
  <si>
    <t>xx7490</t>
  </si>
  <si>
    <t>BONTHALA ASHOK KUMAR</t>
  </si>
  <si>
    <t>919908069069</t>
  </si>
  <si>
    <t>0007476860006606559</t>
  </si>
  <si>
    <t>xx6883</t>
  </si>
  <si>
    <t>PORALA NARENDRANATH</t>
  </si>
  <si>
    <t>919848116389</t>
  </si>
  <si>
    <t>0007477800006878435</t>
  </si>
  <si>
    <t>SGR RECEIVED 1000/- 8TH JAN''26</t>
  </si>
  <si>
    <t>0007478830002382636</t>
  </si>
  <si>
    <t>xx0610</t>
  </si>
  <si>
    <t>RAJESH MEESALA</t>
  </si>
  <si>
    <t>918555964949</t>
  </si>
  <si>
    <t>0007478650007644586</t>
  </si>
  <si>
    <t>xx1523</t>
  </si>
  <si>
    <t>RADHA PACHIPULUSU</t>
  </si>
  <si>
    <t>919121333561</t>
  </si>
  <si>
    <t>0007478700110470757</t>
  </si>
  <si>
    <t>xx6273</t>
  </si>
  <si>
    <t>KATIKE MAHABOOB BASHA</t>
  </si>
  <si>
    <t>919014583118</t>
  </si>
  <si>
    <t>0007470290001033441</t>
  </si>
  <si>
    <t>xx6288</t>
  </si>
  <si>
    <t>MRS ANJAMMA JUPUDI</t>
  </si>
  <si>
    <t>916301002320</t>
  </si>
  <si>
    <t>0007470810013204365</t>
  </si>
  <si>
    <t>xx8674</t>
  </si>
  <si>
    <t>CHIRANJEEVI O</t>
  </si>
  <si>
    <t>918341885040</t>
  </si>
  <si>
    <t>0007478700127415357</t>
  </si>
  <si>
    <t>xx9514</t>
  </si>
  <si>
    <t>MADUGULA VIJAYA M</t>
  </si>
  <si>
    <t>918639258490</t>
  </si>
  <si>
    <t>0007477800008510234</t>
  </si>
  <si>
    <t>SAMEER SHAIK</t>
  </si>
  <si>
    <t>918885110979</t>
  </si>
  <si>
    <t>0007478700100203374</t>
  </si>
  <si>
    <t>VENKATESH BILLAKURTI</t>
  </si>
  <si>
    <t>917396922270</t>
  </si>
  <si>
    <t>0007478830006428658</t>
  </si>
  <si>
    <t>xx4117</t>
  </si>
  <si>
    <t>0007478650019730175</t>
  </si>
  <si>
    <t>xx6088</t>
  </si>
  <si>
    <t>MANISH BOBBILI</t>
  </si>
  <si>
    <t>919347054006</t>
  </si>
  <si>
    <t>0007478700088534600</t>
  </si>
  <si>
    <t>xx6327</t>
  </si>
  <si>
    <t>KURUKUNDA SRIKANTHREDDY</t>
  </si>
  <si>
    <t>919000333614</t>
  </si>
  <si>
    <t>0007470850002515181</t>
  </si>
  <si>
    <t>xx0297</t>
  </si>
  <si>
    <t>HARANADH PANDRANKI</t>
  </si>
  <si>
    <t>919542688049</t>
  </si>
  <si>
    <t>0007476760011713665</t>
  </si>
  <si>
    <t>xx1996</t>
  </si>
  <si>
    <t>RAMANJANEYA CHAPPALI</t>
  </si>
  <si>
    <t>917013356538</t>
  </si>
  <si>
    <t>0007470570000062610</t>
  </si>
  <si>
    <t>xx4382</t>
  </si>
  <si>
    <t>UMMADISETTY BHARGAV SANKAR</t>
  </si>
  <si>
    <t>919247718721</t>
  </si>
  <si>
    <t>0007470470001755496</t>
  </si>
  <si>
    <t>xx1398</t>
  </si>
  <si>
    <t>RANJITH KUMAR MULUKALA</t>
  </si>
  <si>
    <t>919849885627</t>
  </si>
  <si>
    <t>0007477800009218571</t>
  </si>
  <si>
    <t>A LAKSHMINARAYANA</t>
  </si>
  <si>
    <t>918121677962</t>
  </si>
  <si>
    <t>0007478800054596532</t>
  </si>
  <si>
    <t>xx4739</t>
  </si>
  <si>
    <t>MR NARENDRA NELLORE</t>
  </si>
  <si>
    <t>919000482049</t>
  </si>
  <si>
    <t>0007477770007569392</t>
  </si>
  <si>
    <t>LEELA PRIYANKA DHANDAMRAJ</t>
  </si>
  <si>
    <t>917989027546</t>
  </si>
  <si>
    <t>0007477800009478993</t>
  </si>
  <si>
    <t>RAKESH REDDY NIMMA</t>
  </si>
  <si>
    <t>919515858498</t>
  </si>
  <si>
    <t>0007470850004756205</t>
  </si>
  <si>
    <t>xx7845</t>
  </si>
  <si>
    <t>TELUGU BABU RAMBABU</t>
  </si>
  <si>
    <t>917981084295</t>
  </si>
  <si>
    <t>0007477350018478964</t>
  </si>
  <si>
    <t>xx2774</t>
  </si>
  <si>
    <t>MR BOGGULA BADRINATH</t>
  </si>
  <si>
    <t>918790077556</t>
  </si>
  <si>
    <t>0007478830003199872</t>
  </si>
  <si>
    <t>xx2140</t>
  </si>
  <si>
    <t>MRS REKAVATHI Y</t>
  </si>
  <si>
    <t>919908836914</t>
  </si>
  <si>
    <t>0007470870008511786</t>
  </si>
  <si>
    <t>xx4743</t>
  </si>
  <si>
    <t>KURUBA RAMACHANDRA</t>
  </si>
  <si>
    <t>919292905329</t>
  </si>
  <si>
    <t>0007478700121734738</t>
  </si>
  <si>
    <t>xx2385</t>
  </si>
  <si>
    <t>SAIDU POLARAJU</t>
  </si>
  <si>
    <t>919000148729</t>
  </si>
  <si>
    <t>0007470230000543214</t>
  </si>
  <si>
    <t>xx8882</t>
  </si>
  <si>
    <t>BALAKRISHNA BAMMIDI</t>
  </si>
  <si>
    <t>919573703731</t>
  </si>
  <si>
    <t>0007470870010004515</t>
  </si>
  <si>
    <t>xx6932</t>
  </si>
  <si>
    <t>SUBRAHMANYAM KOTHALANKA</t>
  </si>
  <si>
    <t>919849158802</t>
  </si>
  <si>
    <t>0007477250009224890</t>
  </si>
  <si>
    <t>xx0405</t>
  </si>
  <si>
    <t>SURESH VEMULAPALLI</t>
  </si>
  <si>
    <t>919381622766</t>
  </si>
  <si>
    <t>0007478650000339580</t>
  </si>
  <si>
    <t>xx0835</t>
  </si>
  <si>
    <t>NANABOINA NAGA SATISH</t>
  </si>
  <si>
    <t>919491444989</t>
  </si>
  <si>
    <t>0007478950009633888</t>
  </si>
  <si>
    <t>xx0533</t>
  </si>
  <si>
    <t>KURAKULA YESUBABU</t>
  </si>
  <si>
    <t>919573458285</t>
  </si>
  <si>
    <t>0007478730002710861</t>
  </si>
  <si>
    <t>xx5419</t>
  </si>
  <si>
    <t>GALI NAGARJUNA</t>
  </si>
  <si>
    <t>918142449295</t>
  </si>
  <si>
    <t>0007478650019689330</t>
  </si>
  <si>
    <t>xx9860</t>
  </si>
  <si>
    <t>NARESH MANGALI</t>
  </si>
  <si>
    <t>917569563698</t>
  </si>
  <si>
    <t>0007478700051300971</t>
  </si>
  <si>
    <t>xx4325</t>
  </si>
  <si>
    <t>SGR RECEIVED 880/-8TH JAN''26</t>
  </si>
  <si>
    <t>PANDUGALA SUDHAKAR REDDY</t>
  </si>
  <si>
    <t>917731953204</t>
  </si>
  <si>
    <t>0007478830005374598</t>
  </si>
  <si>
    <t>xx5323</t>
  </si>
  <si>
    <t>MR RUPAVATH SUNIL KUMAR</t>
  </si>
  <si>
    <t>9010662235</t>
  </si>
  <si>
    <t>4315813525640007</t>
  </si>
  <si>
    <t>SWAGATH/ADILABAD , 9666210999</t>
  </si>
  <si>
    <t>MR Jakkala Guru Varaprasad</t>
  </si>
  <si>
    <t>9959114392</t>
  </si>
  <si>
    <t>4315811913077006</t>
  </si>
  <si>
    <t>SGR RECEIVED 8K/- 8TH JAN''26</t>
  </si>
  <si>
    <t>ESWARAIYYA/ANANTHAPUR , 7799440558</t>
  </si>
  <si>
    <t>JUN</t>
  </si>
  <si>
    <t>MR SRINIVASA RAO KANDIBANDA</t>
  </si>
  <si>
    <t>9885355819</t>
  </si>
  <si>
    <t>4375515337646018</t>
  </si>
  <si>
    <t>SGR RECEIVED 18K/- 25TH JAN''26 // PENDING 18790</t>
  </si>
  <si>
    <t>APRIL MONTH END//SGR//DURGA PRASAD</t>
  </si>
  <si>
    <t>SGR RECEIVED 27TH JAN''26 4K/REMAINING PENDING 2640/-//SGR RECEIVED 5K/ 2640 THIS MONTH REMAIING AMOUNT MAR</t>
  </si>
  <si>
    <t>PTP 25TH</t>
  </si>
  <si>
    <t>AJAYKUMAR KUMAR PEEKA</t>
  </si>
  <si>
    <t>919490907780</t>
  </si>
  <si>
    <t>0007470510000027890</t>
  </si>
  <si>
    <t>xx7933</t>
  </si>
  <si>
    <t>MADDI JAYASEKHAR</t>
  </si>
  <si>
    <t>919347088893</t>
  </si>
  <si>
    <t>0007471200006373386</t>
  </si>
  <si>
    <t>xx5128</t>
  </si>
  <si>
    <t>GAJJALA VENKATAREDDY</t>
  </si>
  <si>
    <t>919000613693</t>
  </si>
  <si>
    <t>0007471150004544076</t>
  </si>
  <si>
    <t>xx1037</t>
  </si>
  <si>
    <t>SGR RECEIVED 9TH JAN''26 5100/-</t>
  </si>
  <si>
    <t>SIVALINGAPPAGARI VENKAPPASWAMY</t>
  </si>
  <si>
    <t>919160802375</t>
  </si>
  <si>
    <t>0007478450020352345</t>
  </si>
  <si>
    <t>VEERABABU TANGELLA</t>
  </si>
  <si>
    <t>919573200419</t>
  </si>
  <si>
    <t>0007476840005244461</t>
  </si>
  <si>
    <t>xx8493</t>
  </si>
  <si>
    <t>BAIG SHAJAHAN</t>
  </si>
  <si>
    <t>919989332834</t>
  </si>
  <si>
    <t>0007478830000465227</t>
  </si>
  <si>
    <t>xx0948</t>
  </si>
  <si>
    <t>JOHN MADADHA</t>
  </si>
  <si>
    <t>918074814060</t>
  </si>
  <si>
    <t>0007476840003593141</t>
  </si>
  <si>
    <t>xx8623</t>
  </si>
  <si>
    <t>RAMA SAVITRI MUTTA</t>
  </si>
  <si>
    <t>919966445919</t>
  </si>
  <si>
    <t>0007478700130827317</t>
  </si>
  <si>
    <t>xx6884</t>
  </si>
  <si>
    <t>INTI KUMAR TARUNKUMAR</t>
  </si>
  <si>
    <t>919618068243</t>
  </si>
  <si>
    <t>0007470650005207566</t>
  </si>
  <si>
    <t>xx1440</t>
  </si>
  <si>
    <t>MS VEERAMALLU MAHESWARI</t>
  </si>
  <si>
    <t>9398626970</t>
  </si>
  <si>
    <t>6529190004459002</t>
  </si>
  <si>
    <t>CHINNAOBULESU P</t>
  </si>
  <si>
    <t>SGR RECEIVED 10K 17TH JAN''26//REMAINING PENDING 9600/</t>
  </si>
  <si>
    <t>MR SRINIVASA RAO KOTTAKOTA</t>
  </si>
  <si>
    <t>SGR RECEIVED 2K MAR''26// PENDING 4990</t>
  </si>
  <si>
    <t>JAN''25</t>
  </si>
  <si>
    <t>SGR RECEIVED 3909/- 8TH JAN''26</t>
  </si>
  <si>
    <t>JUL</t>
  </si>
  <si>
    <t>Mr R Saloman Jeldi</t>
  </si>
  <si>
    <t>4375519494999004</t>
  </si>
  <si>
    <t>Mr PAVAN Pathiri Kumar</t>
  </si>
  <si>
    <t>8019787173</t>
  </si>
  <si>
    <t>4375519408574018</t>
  </si>
  <si>
    <t>SGR RECEIVED 1000/- 6TH APR''26//PENDING 4171/-</t>
  </si>
  <si>
    <t>MR NEELAPU BHASKARARAO</t>
  </si>
  <si>
    <t>4748469568679001</t>
  </si>
  <si>
    <t>SGR RECEIVED 30K 6TH FEB''26</t>
  </si>
  <si>
    <t>LAXMAN</t>
  </si>
  <si>
    <t>Mrs SADASIVUNI BALA SHANKAR</t>
  </si>
  <si>
    <t>5241934224814010</t>
  </si>
  <si>
    <t>SGR RECEIVED 10K 2ND FEB''26//PENDING 9442.69// SGR RECEIVED 10K 10TH FEB''26//CUSTOMER AMOUNT HOLD 557/-</t>
  </si>
  <si>
    <t>RF</t>
  </si>
  <si>
    <t>SGR RECEIVED 50K// 36089/-REMAINING FEB MONTH FUNDING</t>
  </si>
  <si>
    <t>SEP</t>
  </si>
  <si>
    <t>SGR RECEIVED 23780/- 2ND FEB''26</t>
  </si>
  <si>
    <t>SGR RECEIVED 2370/- 28TH JAN''26</t>
  </si>
  <si>
    <t>MR MUNGALA TARUN</t>
  </si>
  <si>
    <t>4315813711157006</t>
  </si>
  <si>
    <t>RB</t>
  </si>
  <si>
    <t>FEB</t>
  </si>
  <si>
    <t>MR SANJEEB KUMAR MAHAPATRO</t>
  </si>
  <si>
    <t>4315813113838005</t>
  </si>
  <si>
    <t>MR Lagudu S V</t>
  </si>
  <si>
    <t>4315813628987008</t>
  </si>
  <si>
    <t>SGR RECEIVED 10K14TH JAN''26/REMAINING PENDING 4000//39K RECEIVED 9TH JAN''26</t>
  </si>
  <si>
    <t>MR Gundumogula Avinash Naidu</t>
  </si>
  <si>
    <t>SGR RECEIVED 1500/- 28TH JAN''26//SGR RECEIVED 2511/- 31ST JAN''26/</t>
  </si>
  <si>
    <t>MR Botsa Ramesh</t>
  </si>
  <si>
    <t>4315813617793003</t>
  </si>
  <si>
    <t>MR GajulaSatya Kiran Kumar</t>
  </si>
  <si>
    <t>4315814127384002</t>
  </si>
  <si>
    <t>MS VOMMI VENKATA SIMHADRI</t>
  </si>
  <si>
    <t>4315815101945007</t>
  </si>
  <si>
    <t>MR Kondapalli Sandeep</t>
  </si>
  <si>
    <t>4315815223715007</t>
  </si>
  <si>
    <t>MR Kodukula Yeswanth</t>
  </si>
  <si>
    <t>4315813519316002</t>
  </si>
  <si>
    <t>SGR RECEIVED 1700/- 17TH FEB''26</t>
  </si>
  <si>
    <t>NO</t>
  </si>
  <si>
    <t>N M PVVPKAKARAPARTH</t>
  </si>
  <si>
    <t>919441941341</t>
  </si>
  <si>
    <t>0007477800009824832</t>
  </si>
  <si>
    <t>PATURI AKHIL</t>
  </si>
  <si>
    <t>5241930685656007</t>
  </si>
  <si>
    <t>SAMAB</t>
  </si>
  <si>
    <t>SGR RECEIVED 20K 8TH FEB''26 //SGR RECEIVED 40K 6TH MAR''26//PENDING 42814/-// THIS AMOUNT AMOUNT CLEARE BY RAGHU CALLER (INCENTIVE) PURPOSE CLESES CONFIRMED BY SGR</t>
  </si>
  <si>
    <t>SATTIREDDY/KAKINADA , 9959229827</t>
  </si>
  <si>
    <t>CC X BKT</t>
  </si>
  <si>
    <t>SEELAM MAHESH</t>
  </si>
  <si>
    <t>XXXXXXXXXXXX0876</t>
  </si>
  <si>
    <t>THINNALURI NARENDRA</t>
  </si>
  <si>
    <t>XXXXXXXXXXXX8231</t>
  </si>
  <si>
    <t>TALAPROLU SURESH GOPI</t>
  </si>
  <si>
    <t>XXXXXXXXXXXX7506</t>
  </si>
  <si>
    <t>MAGANTI SRIMANNARAYANA RAO</t>
  </si>
  <si>
    <t>XXXXXXXXXXXX6545</t>
  </si>
  <si>
    <t>MUKTHAPURAM JAYAPRAKASH REDDY</t>
  </si>
  <si>
    <t>XXXXXXXXXXXX3278</t>
  </si>
  <si>
    <t>XXXXXXXXXXXX3252</t>
  </si>
  <si>
    <t>SHAIK NAGUL BASHA</t>
  </si>
  <si>
    <t>XXXXXXXXXXXX8614</t>
  </si>
  <si>
    <t>SHAIK AMEER  JOHN</t>
  </si>
  <si>
    <t>XXXXXXXXXXXX2571</t>
  </si>
  <si>
    <t>BANDI NAVEEN CHANDRA KUMAR</t>
  </si>
  <si>
    <t>XXXXXXXXXXXX6979</t>
  </si>
  <si>
    <t>2BKT</t>
  </si>
  <si>
    <t>MARLAPUDI RAVIKUMAR</t>
  </si>
  <si>
    <t>XXXXXXXXXXXX5153</t>
  </si>
  <si>
    <t>VALAVALA YESUPADAM</t>
  </si>
  <si>
    <t>XXXXXXXXXXXX8928</t>
  </si>
  <si>
    <t>XXXXXXXXXXXX1330</t>
  </si>
  <si>
    <t>GADE NAGABABU</t>
  </si>
  <si>
    <t>XXXXXXXXXXXX1352</t>
  </si>
  <si>
    <t>NALLAMOTHU KANTH</t>
  </si>
  <si>
    <t>XXXXXXXXXXXX1569</t>
  </si>
  <si>
    <t>NAGA VAISHNAVI</t>
  </si>
  <si>
    <t>XXXXXXXXXXXX9410</t>
  </si>
  <si>
    <t>SGR RECEIVED 23 JAN''26 2500/-</t>
  </si>
  <si>
    <t>MANSOOR  SYED</t>
  </si>
  <si>
    <t>9059744806</t>
  </si>
  <si>
    <t>5555</t>
  </si>
  <si>
    <t>ERUGULA  RAJESH</t>
  </si>
  <si>
    <t>9701436819</t>
  </si>
  <si>
    <t>7318</t>
  </si>
  <si>
    <t>Ariga  Srinu</t>
  </si>
  <si>
    <t>8179866555</t>
  </si>
  <si>
    <t>7824</t>
  </si>
  <si>
    <t>ANISETTY  MANIKANTA</t>
  </si>
  <si>
    <t>7382990989</t>
  </si>
  <si>
    <t>1165</t>
  </si>
  <si>
    <t>PALAMANGALAMRAMESH</t>
  </si>
  <si>
    <t>9959720879</t>
  </si>
  <si>
    <t>5686</t>
  </si>
  <si>
    <t>SUBRAMANYAM  KANAMARALAPUDI</t>
  </si>
  <si>
    <t>9502737322</t>
  </si>
  <si>
    <t>4243</t>
  </si>
  <si>
    <t>ALLADI  SUBRAMANYAM</t>
  </si>
  <si>
    <t>8825499323</t>
  </si>
  <si>
    <t>8130</t>
  </si>
  <si>
    <t>TELUGU  RAVIKUMAR</t>
  </si>
  <si>
    <t>8886264515</t>
  </si>
  <si>
    <t>9363</t>
  </si>
  <si>
    <t>SHAIK JOHN  AHMAD</t>
  </si>
  <si>
    <t>7569134754</t>
  </si>
  <si>
    <t>0740</t>
  </si>
  <si>
    <t>VENNAPUSA RAKESH  REDDY</t>
  </si>
  <si>
    <t>9866464967</t>
  </si>
  <si>
    <t>5632</t>
  </si>
  <si>
    <t>MR Surya Prakash K</t>
  </si>
  <si>
    <t>4315813337771000,</t>
  </si>
  <si>
    <t>SPCASES</t>
  </si>
  <si>
    <t>MR MD FAZALUDDIN</t>
  </si>
  <si>
    <t>4315813933638000,</t>
  </si>
  <si>
    <t>MS Nakka Divyasree</t>
  </si>
  <si>
    <t>4315813984803000,</t>
  </si>
  <si>
    <t>MR Meghavath Laxman Naik</t>
  </si>
  <si>
    <t>4315812383183000,</t>
  </si>
  <si>
    <t>4315812587838000,</t>
  </si>
  <si>
    <t>MR Seetharamaraju Datla</t>
  </si>
  <si>
    <t>4315813540722000,</t>
  </si>
  <si>
    <t>MS BANCHODE SWETHA</t>
  </si>
  <si>
    <t>4315813860105000,</t>
  </si>
  <si>
    <t>MR Madan Kumar Rajanala</t>
  </si>
  <si>
    <t>4315813313665000,</t>
  </si>
  <si>
    <t>MR. SANTOSH KUMAR JAISWAL</t>
  </si>
  <si>
    <t>4315815859771000,</t>
  </si>
  <si>
    <t>SATYASURESH VV KOTIPALLI</t>
  </si>
  <si>
    <t>4315813883418004,</t>
  </si>
  <si>
    <t>PRATHYUSHA</t>
  </si>
  <si>
    <t>SGR RECEIVED 13020/-31ST JAN''26</t>
  </si>
  <si>
    <t>MR Ksheerasagar Santhosh</t>
  </si>
  <si>
    <t>4315812777388000,</t>
  </si>
  <si>
    <t>SGR RECEIVED 5K 4TH FEB''26/ PENDING 3350// SGR RECEIVED 3350/- 26TH MAR''26</t>
  </si>
  <si>
    <t>RTP</t>
  </si>
  <si>
    <t>Ainamahanthi Prabhudev</t>
  </si>
  <si>
    <t>4315813660997006,</t>
  </si>
  <si>
    <t>SGR RECEIVED 4550/- 2ND MAR''26</t>
  </si>
  <si>
    <t>B RANJITH/BADRACHALAM , 9154994666</t>
  </si>
  <si>
    <t>NAINALA GIRI  SRAVANTH</t>
  </si>
  <si>
    <t>1800000006280192</t>
  </si>
  <si>
    <t>XXXXXXXXXXXX5247</t>
  </si>
  <si>
    <t>AKBARALI JAVITH  ASHRAF</t>
  </si>
  <si>
    <t>1800000011335817</t>
  </si>
  <si>
    <t>XXXXXXXXXXXX8618</t>
  </si>
  <si>
    <t>BRAHMAIAH G</t>
  </si>
  <si>
    <t>4035620260030008</t>
  </si>
  <si>
    <t>ESCLATION CASE</t>
  </si>
  <si>
    <t>RAGIREDDY REDDY</t>
  </si>
  <si>
    <t>4748469406604005</t>
  </si>
  <si>
    <t>MOHAMMAD NAYEEM</t>
  </si>
  <si>
    <t>4035621425018011</t>
  </si>
  <si>
    <t>SGR RECEIVED 16161/- 19TH JAN''26</t>
  </si>
  <si>
    <t>MEDICHELIMI RAJUKUMAR</t>
  </si>
  <si>
    <t>SANTOSH SALARY CUTTING</t>
  </si>
  <si>
    <t>TATHAM NIRANJAN</t>
  </si>
  <si>
    <t>4035621223211008</t>
  </si>
  <si>
    <t>SGR RECEIVED  31ST JAN''26 15K// SGR RECEIVED 19000/- 3RD FEB''26</t>
  </si>
  <si>
    <t>PALLA MAHESH</t>
  </si>
  <si>
    <t>4375517836282006</t>
  </si>
  <si>
    <t>SGR RECEIVED 30K 15TH FEB''26// SGR RECEIVED 2ND MAR''26//</t>
  </si>
  <si>
    <t>SUNKARI KUMAR</t>
  </si>
  <si>
    <t>4035621362959003</t>
  </si>
  <si>
    <t>SGR RECEIVED 10K 1ST FEB''26//PENDING 11580//SGR RECEIVED 10K 18TH FEB''26//PENDING 1582/-// SGR RECEIVED 1580/- 21ST FEB''26</t>
  </si>
  <si>
    <t>JULATHOTA SUJATHAMMA</t>
  </si>
  <si>
    <t>4035620871144008</t>
  </si>
  <si>
    <t>SGR RECEIVED 18300/- 11TH FEB''26</t>
  </si>
  <si>
    <t>Mr ANANTHA LAKSHMI N</t>
  </si>
  <si>
    <t>7016109853</t>
  </si>
  <si>
    <t>4501721600062019</t>
  </si>
  <si>
    <t>SGR RECEIVED 30900/- 23JAN''26</t>
  </si>
  <si>
    <t>JAKKALA GURU PRASAD</t>
  </si>
  <si>
    <t>XXXXXXXXXXXX5637</t>
  </si>
  <si>
    <t>SGR RECEIVED 31000/- 19TH JAN''26//SGR RECEIVED 2600/- 20TH JAN''26</t>
  </si>
  <si>
    <t>SGR RECEIVED 13K 24TH JAN''26/REMAINING PENDIN 1K//SGR RECEIVED 1K 30TH JAN''26</t>
  </si>
  <si>
    <t>MAY</t>
  </si>
  <si>
    <t>MR BANDARU MADHUSUDHANA CHARI</t>
  </si>
  <si>
    <t>7661099118</t>
  </si>
  <si>
    <t>4748469433645005</t>
  </si>
  <si>
    <t>EVERY MONTH 25K CUSTOMER PAID PROMISED// CUSTOMER PAID TOTAL 37500/-30K THIS CUSTOMER REMAINING// REMAINING 7500/- MS KAMBHAMPATI SANTHI //PENDING 78000/-</t>
  </si>
  <si>
    <t>Ramana sir</t>
  </si>
  <si>
    <t>MR SHAIK MASTHAN SHERIFF</t>
  </si>
  <si>
    <t>9866055303</t>
  </si>
  <si>
    <t>4501720905777008</t>
  </si>
  <si>
    <t>Non Refundable</t>
  </si>
  <si>
    <t>AYESHA</t>
  </si>
  <si>
    <t>MR SYED ABDUL SHAHID</t>
  </si>
  <si>
    <t>9985432421</t>
  </si>
  <si>
    <t>4501720941308008</t>
  </si>
  <si>
    <t>SGR RECEIVED 13560-/- 5TH FEB''26</t>
  </si>
  <si>
    <t>2BKT VJW</t>
  </si>
  <si>
    <t>KOTTAPU  RAVIKIRAN</t>
  </si>
  <si>
    <t>9550803453</t>
  </si>
  <si>
    <t>200000018252054</t>
  </si>
  <si>
    <t>XXXXXXXXXXXX6082</t>
  </si>
  <si>
    <t>KUMAR</t>
  </si>
  <si>
    <t>SGR RECEIVED 6535/- 2ND FEB''26</t>
  </si>
  <si>
    <t xml:space="preserve">KUMAR </t>
  </si>
  <si>
    <t>DUVVI  DURGA</t>
  </si>
  <si>
    <t>200000010571725</t>
  </si>
  <si>
    <t>XXXXXXXXXXXX5860</t>
  </si>
  <si>
    <t>SGR RECEIVED 3K 11TH FEB''26// SGR RECEIVED 1400/- 3RD MAR''26// PENDING</t>
  </si>
  <si>
    <t>ENTURI MAHESH BABU</t>
  </si>
  <si>
    <t>7989925959</t>
  </si>
  <si>
    <t>200000014983165</t>
  </si>
  <si>
    <t>XXXXXXXXXXXX7741</t>
  </si>
  <si>
    <t>PASUPULETI NARESH  KUMAR</t>
  </si>
  <si>
    <t>6281139994</t>
  </si>
  <si>
    <t>200000014816688</t>
  </si>
  <si>
    <t>XXXXXXXXXXXX1760</t>
  </si>
  <si>
    <t>SGR RECEIVED 2K 18TH FEB'26</t>
  </si>
  <si>
    <t>GAMPA SURYARAMACHANDRA RAO</t>
  </si>
  <si>
    <t>089000021695196</t>
  </si>
  <si>
    <t>XXXXXXXXXXXX1428</t>
  </si>
  <si>
    <t>INDANI LALITHA  DEEPIKA</t>
  </si>
  <si>
    <t>200000012773055</t>
  </si>
  <si>
    <t>XXXXXXXXXXXX4560</t>
  </si>
  <si>
    <t>MS KANDUKURI LAKSHMI SOWJANYA</t>
  </si>
  <si>
    <t>9000970325</t>
  </si>
  <si>
    <t>4073520276212009</t>
  </si>
  <si>
    <t>SGR RECEIVED 5K/- 3RD FEB''26/PENDING 9810// SGR RECEIVED 10K</t>
  </si>
  <si>
    <t>PRADEEP , 7995803893</t>
  </si>
  <si>
    <t>MS ASAM RAMA</t>
  </si>
  <si>
    <t>8790917917</t>
  </si>
  <si>
    <t>4748461460755005</t>
  </si>
  <si>
    <t>SGR RECEIVED 15000/- 5TH FEB''26// SGR RECEIVED 4500/- 21ST FEB''26//PENIDNG 3100/-//SGR RECEIVED 3100/-27TH FEB''26</t>
  </si>
  <si>
    <t>DADIGELA VENU</t>
  </si>
  <si>
    <t>6528690026942001</t>
  </si>
  <si>
    <t>YASWANTH KUMAR</t>
  </si>
  <si>
    <t>4073520182968017</t>
  </si>
  <si>
    <t>SHAIK MAHABOOB BASHA</t>
  </si>
  <si>
    <t>5241935743202009</t>
  </si>
  <si>
    <t>KOLLI BABU</t>
  </si>
  <si>
    <t>5241935748884009</t>
  </si>
  <si>
    <t>PANDIYAN R</t>
  </si>
  <si>
    <t>4375518744369000</t>
  </si>
  <si>
    <t>KANNAM SAGAR</t>
  </si>
  <si>
    <t>4748464735182005</t>
  </si>
  <si>
    <t>KUBRE LAKSHMAN</t>
  </si>
  <si>
    <t>4748464751309003</t>
  </si>
  <si>
    <t>AUG</t>
  </si>
  <si>
    <t>ASHOK KUMAR GUMMADI</t>
  </si>
  <si>
    <t>4748464743383017</t>
  </si>
  <si>
    <t>KOTANA VARALAXMI</t>
  </si>
  <si>
    <t>5241935786453006</t>
  </si>
  <si>
    <t>NARASIMHAREDDY BODDU</t>
  </si>
  <si>
    <t>'4375518628493009</t>
  </si>
  <si>
    <t>VEMULA MANOJ</t>
  </si>
  <si>
    <t>4748464728901007</t>
  </si>
  <si>
    <t>BHUKYA MAHESH BABU</t>
  </si>
  <si>
    <t>4748464736576007</t>
  </si>
  <si>
    <t>MR MANCHALA  MANISH</t>
  </si>
  <si>
    <t>6528681900060002</t>
  </si>
  <si>
    <t>MR SEELAM CHANTI REDDY</t>
  </si>
  <si>
    <t>4748468577727009</t>
  </si>
  <si>
    <t>Mrs ERUVALA YASHODHA</t>
  </si>
  <si>
    <t>4748468984047009</t>
  </si>
  <si>
    <t>MR VELIGATLA BALASAI</t>
  </si>
  <si>
    <t>4035623021615000</t>
  </si>
  <si>
    <t>SGR RECEIVED 10K/-2ND FEB''26/- REMAINING PENDING 6600</t>
  </si>
  <si>
    <t>MR RAMISETTY VENKATA SIVA VARA SAI</t>
  </si>
  <si>
    <t>4748469427558008</t>
  </si>
  <si>
    <t>SGR RECEIVED 22ND JAN''26 3400/-</t>
  </si>
  <si>
    <t>CHAKRAPANI SHANAPATHI</t>
  </si>
  <si>
    <t>4308320000988256</t>
  </si>
  <si>
    <t>YEDURESWARAM VENKATA RAMANA</t>
  </si>
  <si>
    <t>6530470014283148</t>
  </si>
  <si>
    <t>UTTARAVELLI CHANDRA</t>
  </si>
  <si>
    <t>6530470015934475</t>
  </si>
  <si>
    <t>ASHOK M</t>
  </si>
  <si>
    <t>4375518146922018</t>
  </si>
  <si>
    <t>SENDHIL KUMAR R</t>
  </si>
  <si>
    <t>4375518289357006</t>
  </si>
  <si>
    <t>MOHAMMED AFROZ</t>
  </si>
  <si>
    <t>4748464730638001</t>
  </si>
  <si>
    <t>SGR RECEIVED 15105/- 24TH JAN''26</t>
  </si>
  <si>
    <t>MS DEVARA SRAVYA</t>
  </si>
  <si>
    <t>9110796236</t>
  </si>
  <si>
    <t>5241935779233001</t>
  </si>
  <si>
    <t>SGR RECEIVED 15800/-6TH FEB''26</t>
  </si>
  <si>
    <t>SWAROOP/KADAPA , 8106788719</t>
  </si>
  <si>
    <t>FEB''26</t>
  </si>
  <si>
    <t>MUNUGAANI SAI KUMAR</t>
  </si>
  <si>
    <t>4748467894776004</t>
  </si>
  <si>
    <t>OFFICE</t>
  </si>
  <si>
    <t>KASHIF ALI KHAN</t>
  </si>
  <si>
    <t>4375514496426007</t>
  </si>
  <si>
    <t>SEESA KIRAN KUMAR S</t>
  </si>
  <si>
    <t>5241931180218004</t>
  </si>
  <si>
    <t>S.PRAKSHI</t>
  </si>
  <si>
    <t>4375515919055000</t>
  </si>
  <si>
    <t>SOMOJ VENKATA DHARMA RAO</t>
  </si>
  <si>
    <t>4748469678461001</t>
  </si>
  <si>
    <t>SGR RECEIVED 11300/-9TH FEB''26</t>
  </si>
  <si>
    <t>KRISHNAMADHURI KONDEPUDI</t>
  </si>
  <si>
    <t>SGR RECEIVED 16690/- 5TH FEB'26</t>
  </si>
  <si>
    <t>JALAGAM SHIRISHA</t>
  </si>
  <si>
    <t>4035620235088008</t>
  </si>
  <si>
    <t>PTP</t>
  </si>
  <si>
    <t>NAGA SUBBAIAH  CHOWDARY</t>
  </si>
  <si>
    <t>4748469497992004</t>
  </si>
  <si>
    <t>THOTA UDAY</t>
  </si>
  <si>
    <t>4748464736921005</t>
  </si>
  <si>
    <t>VENGALA NAGENDRABABU</t>
  </si>
  <si>
    <t>4035620966920007</t>
  </si>
  <si>
    <t>SATTIREDDY</t>
  </si>
  <si>
    <t>BANDELA NV SURYAPRAKASH</t>
  </si>
  <si>
    <t>4375517535934014</t>
  </si>
  <si>
    <t>SGR RECEIVED 10K 23RD FEB''26//REMAINING AMOUNT GIVEN BY CASH TO SGR</t>
  </si>
  <si>
    <t>POOJARI KALAVATHI</t>
  </si>
  <si>
    <t>4748469606728000</t>
  </si>
  <si>
    <t>SGR RECEIVED 9591/- 3RD FEB''26</t>
  </si>
  <si>
    <t>DEC''25</t>
  </si>
  <si>
    <t>R30</t>
  </si>
  <si>
    <t>DASARI BHARGAVA PRASAD</t>
  </si>
  <si>
    <t>BPR029211905432</t>
  </si>
  <si>
    <t>B.RANJITH</t>
  </si>
  <si>
    <t>MOHAMMED MAQBOOL</t>
  </si>
  <si>
    <t>PL HYD</t>
  </si>
  <si>
    <t>P G SONI</t>
  </si>
  <si>
    <t>PPR073310104993</t>
  </si>
  <si>
    <t>Srinivas</t>
  </si>
  <si>
    <t>YOUSUF MEHDIPATNAM/9052391239</t>
  </si>
  <si>
    <t>11000 RAVI GARU// 4000 SRINIVAS</t>
  </si>
  <si>
    <t>AMEERA BEGUM</t>
  </si>
  <si>
    <t>PPR000810784936</t>
  </si>
  <si>
    <t>SRINIVASU PULI</t>
  </si>
  <si>
    <t>PPR002709936169</t>
  </si>
  <si>
    <t>KRANTHI LB NAGAR /848982210</t>
  </si>
  <si>
    <t>Sent to Govind sir</t>
  </si>
  <si>
    <t>KIRANTHI LB NAGAR/848982210</t>
  </si>
  <si>
    <t>14TH JAN''26 RAVI GARU</t>
  </si>
  <si>
    <t>RAJAPURAM SUCHETHA</t>
  </si>
  <si>
    <t>_x001E_9396473103</t>
  </si>
  <si>
    <t>PPR073311238494</t>
  </si>
  <si>
    <t>BOLAKONDA BHARGAV</t>
  </si>
  <si>
    <t>PPR000810056272</t>
  </si>
  <si>
    <t>SRIDHAR UPPAL ECIL/9030809450</t>
  </si>
  <si>
    <t>MATEEN MOHAMMED</t>
  </si>
  <si>
    <t>PPR073309570122</t>
  </si>
  <si>
    <t>ANBU S</t>
  </si>
  <si>
    <t>PPR181710292995</t>
  </si>
  <si>
    <t>ANILKUMAR CENTRALCITY/9082726381</t>
  </si>
  <si>
    <t>Adjusted through Incentive</t>
  </si>
  <si>
    <t>ANIL KUMAR CENTRAL CITY/9082726381</t>
  </si>
  <si>
    <t>DASARI MAHESH KUMAR</t>
  </si>
  <si>
    <t>PPR000808180009</t>
  </si>
  <si>
    <t>K CHENCHALAMMA</t>
  </si>
  <si>
    <t>_x001E_7601041098</t>
  </si>
  <si>
    <t>PPR000808581376</t>
  </si>
  <si>
    <t>SOMARAJU SRINIVASA PRASAD</t>
  </si>
  <si>
    <t>BPR073311639827</t>
  </si>
  <si>
    <t>PL VIZAG</t>
  </si>
  <si>
    <t>KIRITI KOLLABATHULA</t>
  </si>
  <si>
    <t>PPR010711021059</t>
  </si>
  <si>
    <t>SGR RECEIVED 20K 17TH FEB''26// SGR RECEIVED 1655/- MAR''26 5TH //REMAINING AMOUNT 2010// REMAINING AMOUNT 2000 HYD RAMESH SALARY</t>
  </si>
  <si>
    <t>HYD FOS RAMESH</t>
  </si>
  <si>
    <t>GOLLA  PANDU</t>
  </si>
  <si>
    <t>BPR019312437707</t>
  </si>
  <si>
    <t>ABHILASH</t>
  </si>
  <si>
    <t>BPR019309820261</t>
  </si>
  <si>
    <t>GANESH AKELLA</t>
  </si>
  <si>
    <t>BPR002711656540</t>
  </si>
  <si>
    <t>SRIDHAR</t>
  </si>
  <si>
    <t>SGR RECEIVED 34650/16TH FEB''26</t>
  </si>
  <si>
    <t>SRIDHAR UPPAL</t>
  </si>
  <si>
    <t>BYRI  CHANDANA</t>
  </si>
  <si>
    <t>PPR000809319868</t>
  </si>
  <si>
    <t>SGR RECEIVED 1896/- 27TH FEB''26//PENDING 1896</t>
  </si>
  <si>
    <t>yousuf/SRINIVAS</t>
  </si>
  <si>
    <t>SGR RECEIVED 20948/- 28TH FEB''26</t>
  </si>
  <si>
    <t>KAMMARI VAMSHI KRISHNA</t>
  </si>
  <si>
    <t>PPR000810779346</t>
  </si>
  <si>
    <t>prashanth</t>
  </si>
  <si>
    <t>9480 SENT RAVI GARU 6TH FEB//7THFEB 5K</t>
  </si>
  <si>
    <t>RAVIKIRAN</t>
  </si>
  <si>
    <t>D RAMU</t>
  </si>
  <si>
    <t>SGR RECEIVE 18412/- 24TH FEB''26</t>
  </si>
  <si>
    <t>VIJAYALAKSHMI TECHNO PRODUCTS  .</t>
  </si>
  <si>
    <t>BPR000810969992</t>
  </si>
  <si>
    <t>KICHA VEERABHADRA RAO</t>
  </si>
  <si>
    <t>BPR000812307870</t>
  </si>
  <si>
    <t>SGR RECEIVED 30k /- 19th FEB''26 //PENDING 435</t>
  </si>
  <si>
    <t>KRANTHI</t>
  </si>
  <si>
    <t>EDLA  RAJAMALLESH</t>
  </si>
  <si>
    <t>BPR019311675120</t>
  </si>
  <si>
    <t>NAYINI SANJEEVA REDDY</t>
  </si>
  <si>
    <t>BPR029211895693</t>
  </si>
  <si>
    <t>ANIL KUMAR ROTS</t>
  </si>
  <si>
    <t>SGR RECEIVED 5K/- 10TH MAR''26//PENDING 14228</t>
  </si>
  <si>
    <t>BHOOMPALLY  SHEKHAR</t>
  </si>
  <si>
    <t>BPR029210874575</t>
  </si>
  <si>
    <t>RAJKUMAR ROTS</t>
  </si>
  <si>
    <t>DEVARAKONDA  SUBBARAO</t>
  </si>
  <si>
    <t>BPR000810645011</t>
  </si>
  <si>
    <t>MOHD  IMRAN</t>
  </si>
  <si>
    <t>BPR000811996573</t>
  </si>
  <si>
    <t>M.SRINIVAS</t>
  </si>
  <si>
    <t>SGR RECEIVED 28650/- 6TH FEB'26</t>
  </si>
  <si>
    <t>SHIVANAND ADRUSHYAPPA TOTOGI</t>
  </si>
  <si>
    <t>6528680663077005</t>
  </si>
  <si>
    <t>SGR RECEIVED 11500/- 5TH FEB''26</t>
  </si>
  <si>
    <t>CHANDRA ANKULO</t>
  </si>
  <si>
    <t>6528680965265001</t>
  </si>
  <si>
    <t>SGR RECEIVED 330/- 9TH APR''26// REMAINING BALANCE PRUDUVI SKLM RECEIVED</t>
  </si>
  <si>
    <t>AVINASH MUMMANENI</t>
  </si>
  <si>
    <t>6528681021545006</t>
  </si>
  <si>
    <t>IQBALBHAI THAYANI ALAMB</t>
  </si>
  <si>
    <t>6528681711894003</t>
  </si>
  <si>
    <t>SENTHIL RAJ M</t>
  </si>
  <si>
    <t>5241933701573008</t>
  </si>
  <si>
    <t>MANJESH YADAV</t>
  </si>
  <si>
    <t>6528682616734005</t>
  </si>
  <si>
    <t>SALLA KRISHNA KUMAR</t>
  </si>
  <si>
    <t>6528682003957003</t>
  </si>
  <si>
    <t>CHETAN RAO VYASAMNEN</t>
  </si>
  <si>
    <t>6528680569416000</t>
  </si>
  <si>
    <t>MONISHA RAMAMOORTHY</t>
  </si>
  <si>
    <t>6528682525697004</t>
  </si>
  <si>
    <t>DINESH S</t>
  </si>
  <si>
    <t>6528680624012000</t>
  </si>
  <si>
    <t>SGR RECEIVED 10K 18TH FEB''26//PENDING 14201//SGR RECEIVED 34000/- BALANCE 14201(REMAINING AMOUNT  MARCH MONTH FUNDING AMOUNT</t>
  </si>
  <si>
    <t>PEERLU SAIKUMAR</t>
  </si>
  <si>
    <t>4315811487468003</t>
  </si>
  <si>
    <t>SINGARAPU SRINIVAS</t>
  </si>
  <si>
    <t>4315812163999006</t>
  </si>
  <si>
    <t>SGR RECEIVED 1000/- PHONE  AND REMAINING 4000/- GIVEN THROUGH CASH TO SGR//REMAINING PENDING 9960</t>
  </si>
  <si>
    <t>VANKAR MOHANA KRISHNA</t>
  </si>
  <si>
    <t>4315812243879012</t>
  </si>
  <si>
    <t>FCPU HARI</t>
  </si>
  <si>
    <t>GOLLA NARASIMHA RAJU</t>
  </si>
  <si>
    <t>4315812147248009</t>
  </si>
  <si>
    <t>HARI GARU</t>
  </si>
  <si>
    <t>MARCH MONTH END</t>
  </si>
  <si>
    <t>GOVINDRAJAN KARTHIKEYAN</t>
  </si>
  <si>
    <t>4132897548579004</t>
  </si>
  <si>
    <t>SGR RECEIVED 20K/- 27TH FEB''26//PENDING 16180/-SGR RECEIVED 16160/- 6TH MAR''26</t>
  </si>
  <si>
    <t>Naveen Kumar</t>
  </si>
  <si>
    <t>CHRISTOPHER LANCE INJETI</t>
  </si>
  <si>
    <t>6528680617589006</t>
  </si>
  <si>
    <t>CHETTIPILLI SANTOSH BHARGAV</t>
  </si>
  <si>
    <t>SGR RECEIVED 7TH FEB''26 920/-//PENDING 1000//SGR RECEIVED 1000 9TH FEB''26</t>
  </si>
  <si>
    <t>3RD BKT KADAPA</t>
  </si>
  <si>
    <t>VANDANA K</t>
  </si>
  <si>
    <t>SGR RECEIVED SAME DAY 5TH FEB''26 4180/-</t>
  </si>
  <si>
    <t>SGR RECEIVED 8820/- 11TH FEB'26</t>
  </si>
  <si>
    <t>BAKA BALARAJU</t>
  </si>
  <si>
    <t>919515555511</t>
  </si>
  <si>
    <t>0007477770007345553</t>
  </si>
  <si>
    <t>pratyusha</t>
  </si>
  <si>
    <t>919391414888</t>
  </si>
  <si>
    <t>NANDURIKRISHNA PANDURANGA BABU</t>
  </si>
  <si>
    <t>919010099360</t>
  </si>
  <si>
    <t>0007476300016370813</t>
  </si>
  <si>
    <t>xx1862</t>
  </si>
  <si>
    <t>919989483798</t>
  </si>
  <si>
    <t>0007477770007869297</t>
  </si>
  <si>
    <t>MUDIT JAIN</t>
  </si>
  <si>
    <t>918686628282</t>
  </si>
  <si>
    <t>0007477770006929316</t>
  </si>
  <si>
    <t>MR VENKATARAMANA NAGULA</t>
  </si>
  <si>
    <t>919246901199</t>
  </si>
  <si>
    <t>0007470450001506917</t>
  </si>
  <si>
    <t>xx4098</t>
  </si>
  <si>
    <t>B B MADHAVAREDDY</t>
  </si>
  <si>
    <t>919618514479</t>
  </si>
  <si>
    <t>0007477800011609072</t>
  </si>
  <si>
    <t>SRAVYA</t>
  </si>
  <si>
    <t>918121911119</t>
  </si>
  <si>
    <t>919848122624</t>
  </si>
  <si>
    <t>TUMMALAPALLI KISHORE KUMAR</t>
  </si>
  <si>
    <t>919059190590</t>
  </si>
  <si>
    <t>0007476840001626612</t>
  </si>
  <si>
    <t>SYAMBABU GUNDIMEDA</t>
  </si>
  <si>
    <t>919490860473</t>
  </si>
  <si>
    <t>0007478950000611206</t>
  </si>
  <si>
    <t>xx0357</t>
  </si>
  <si>
    <t>VASAMSETTY SUBRAHMANYAM</t>
  </si>
  <si>
    <t>919542499022</t>
  </si>
  <si>
    <t>0007477770005991291</t>
  </si>
  <si>
    <t>AMITH MANUBOLU</t>
  </si>
  <si>
    <t>918555061143</t>
  </si>
  <si>
    <t>0007477350029078175</t>
  </si>
  <si>
    <t>xx0759</t>
  </si>
  <si>
    <t>SRIKANTH BATHINA</t>
  </si>
  <si>
    <t>919666188830</t>
  </si>
  <si>
    <t>0007477800010066498</t>
  </si>
  <si>
    <t>0007477770006732975</t>
  </si>
  <si>
    <t>BOSIGARI SIVAPRASAD REDDY</t>
  </si>
  <si>
    <t>919490086216</t>
  </si>
  <si>
    <t>0007470870006760575</t>
  </si>
  <si>
    <t>xx0175</t>
  </si>
  <si>
    <t>RAJENDRA GUPTA TADIKIMALLA</t>
  </si>
  <si>
    <t>919494416490</t>
  </si>
  <si>
    <t>0007477800010758714</t>
  </si>
  <si>
    <t>JAHEER SYED</t>
  </si>
  <si>
    <t>919000988261</t>
  </si>
  <si>
    <t>0007477800007713615</t>
  </si>
  <si>
    <t>KALYANADURGAM KALIMULLAH</t>
  </si>
  <si>
    <t>919000142994</t>
  </si>
  <si>
    <t>0007476710004023887</t>
  </si>
  <si>
    <t>xx0982</t>
  </si>
  <si>
    <t>ABDUL REHMAN SHAIK</t>
  </si>
  <si>
    <t>919885163375</t>
  </si>
  <si>
    <t>0007470870003598481</t>
  </si>
  <si>
    <t>xx5317</t>
  </si>
  <si>
    <t>RAJENDRA PASUPULATI</t>
  </si>
  <si>
    <t>916301834323</t>
  </si>
  <si>
    <t>0007471150008437988</t>
  </si>
  <si>
    <t>SREENATH P</t>
  </si>
  <si>
    <t>919885411385</t>
  </si>
  <si>
    <t>0007478830004487482</t>
  </si>
  <si>
    <t>xx0231</t>
  </si>
  <si>
    <t>K NARESHKUMAR</t>
  </si>
  <si>
    <t>919703878304</t>
  </si>
  <si>
    <t>0007476400012652543</t>
  </si>
  <si>
    <t>xx1924</t>
  </si>
  <si>
    <t>919701000165</t>
  </si>
  <si>
    <t>SHAIK KHADAR VALLI</t>
  </si>
  <si>
    <t>918074770895</t>
  </si>
  <si>
    <t>0007470510000751358</t>
  </si>
  <si>
    <t>xx8258</t>
  </si>
  <si>
    <t>PENTA YASHASVI</t>
  </si>
  <si>
    <t>919248833865</t>
  </si>
  <si>
    <t>0007470890007101595</t>
  </si>
  <si>
    <t>xx4968</t>
  </si>
  <si>
    <t>SASHIDHAR MAVUDURU</t>
  </si>
  <si>
    <t>919177616433</t>
  </si>
  <si>
    <t>0007477800010271619</t>
  </si>
  <si>
    <t>SUDHEER THUMMALA</t>
  </si>
  <si>
    <t>919885443344</t>
  </si>
  <si>
    <t>0007476760006070964</t>
  </si>
  <si>
    <t>xx1455</t>
  </si>
  <si>
    <t>MOHD RAFEEQ AHMED</t>
  </si>
  <si>
    <t>919640965112</t>
  </si>
  <si>
    <t>0007477800006795571</t>
  </si>
  <si>
    <t>0007470650005697493</t>
  </si>
  <si>
    <t>xx7062</t>
  </si>
  <si>
    <t>KOMMANA SRINIVASU</t>
  </si>
  <si>
    <t>919704473307</t>
  </si>
  <si>
    <t>0007470710004033312</t>
  </si>
  <si>
    <t>xx2867</t>
  </si>
  <si>
    <t>KOLLI PRASAD</t>
  </si>
  <si>
    <t>918885644332</t>
  </si>
  <si>
    <t>0007478450011576084</t>
  </si>
  <si>
    <t>xx1571</t>
  </si>
  <si>
    <t>PELLURU RAVINDRA PRASAD</t>
  </si>
  <si>
    <t>919640075316</t>
  </si>
  <si>
    <t>0007478800033768913</t>
  </si>
  <si>
    <t>xx9313</t>
  </si>
  <si>
    <t>MANOJ DUPAKUNTLA</t>
  </si>
  <si>
    <t>919494621514</t>
  </si>
  <si>
    <t>0007471200003343572</t>
  </si>
  <si>
    <t>xx1854</t>
  </si>
  <si>
    <t>RAMFER ANIL KUMAR</t>
  </si>
  <si>
    <t>917661075428</t>
  </si>
  <si>
    <t>0007478950039078468</t>
  </si>
  <si>
    <t>xx1799</t>
  </si>
  <si>
    <t>MR VIKASH KUMAR SINGH DEO</t>
  </si>
  <si>
    <t>917991197719</t>
  </si>
  <si>
    <t>0007478830000358935</t>
  </si>
  <si>
    <t>xx6600</t>
  </si>
  <si>
    <t>BOLLOJU NISHANTH</t>
  </si>
  <si>
    <t>919908335456</t>
  </si>
  <si>
    <t>0007470710003553278</t>
  </si>
  <si>
    <t>xx7427</t>
  </si>
  <si>
    <t>VEERAANJANEYULU KALLA</t>
  </si>
  <si>
    <t>919866899941</t>
  </si>
  <si>
    <t>0007477800009359912</t>
  </si>
  <si>
    <t>MS KADAMBA BAJI</t>
  </si>
  <si>
    <t>918106497104</t>
  </si>
  <si>
    <t>0007470870004785368</t>
  </si>
  <si>
    <t>xx2479</t>
  </si>
  <si>
    <t>PRASAD BOMMERA</t>
  </si>
  <si>
    <t>919177882810</t>
  </si>
  <si>
    <t>0007470570003819594</t>
  </si>
  <si>
    <t>xx2874</t>
  </si>
  <si>
    <t>SGR RECEIVED 3200/-6TH FEB''26//REMAINING 800 CALLER PREM INCENTIVE//SGR RECEIVED 8TH FEB'26//1200 CALLER 20% INCENTIVE PAID//SGR RECEIVED 1600 9TH FEB''26</t>
  </si>
  <si>
    <t>919948755675</t>
  </si>
  <si>
    <t>0007476760006720527</t>
  </si>
  <si>
    <t>xx5514</t>
  </si>
  <si>
    <t>UDANADARAO LEELAKRISHNA</t>
  </si>
  <si>
    <t>919700929294</t>
  </si>
  <si>
    <t>0007477350032652198</t>
  </si>
  <si>
    <t>xx7702</t>
  </si>
  <si>
    <t>MOHAMMED JAHANGEER</t>
  </si>
  <si>
    <t>919618411141</t>
  </si>
  <si>
    <t>0007471200012512001</t>
  </si>
  <si>
    <t>xx1769</t>
  </si>
  <si>
    <t>MS BHARATHI PANITHALA</t>
  </si>
  <si>
    <t>918431165025</t>
  </si>
  <si>
    <t>0007478700099676424</t>
  </si>
  <si>
    <t>xx5022</t>
  </si>
  <si>
    <t>MADHUKAR LINGALA</t>
  </si>
  <si>
    <t>919533394277</t>
  </si>
  <si>
    <t>0007471150006895732</t>
  </si>
  <si>
    <t>xx6417</t>
  </si>
  <si>
    <t>MRS RAMADEVI MOTCHA</t>
  </si>
  <si>
    <t>919985593944</t>
  </si>
  <si>
    <t>0007478950052209735</t>
  </si>
  <si>
    <t>xx1843</t>
  </si>
  <si>
    <t>GUNJI BHARGAV</t>
  </si>
  <si>
    <t>918499916555</t>
  </si>
  <si>
    <t>0007477770005349474</t>
  </si>
  <si>
    <t>918897456797</t>
  </si>
  <si>
    <t>BATTULA VENKATA SUPRAJA</t>
  </si>
  <si>
    <t>919154073820</t>
  </si>
  <si>
    <t>0007478730000972885</t>
  </si>
  <si>
    <t>xx9960</t>
  </si>
  <si>
    <t>LAKSHMANA BOGINENI</t>
  </si>
  <si>
    <t>919849146777</t>
  </si>
  <si>
    <t>0007478950018744734</t>
  </si>
  <si>
    <t>xx3285</t>
  </si>
  <si>
    <t>DHARNAPU DURGA BHAVANI</t>
  </si>
  <si>
    <t>917288845652</t>
  </si>
  <si>
    <t>0007478950047851930</t>
  </si>
  <si>
    <t>xx4087</t>
  </si>
  <si>
    <t>TIRUMALAREDDY YETRA</t>
  </si>
  <si>
    <t>919030965973</t>
  </si>
  <si>
    <t>0007478700115391263</t>
  </si>
  <si>
    <t>xx6222</t>
  </si>
  <si>
    <t>ABDUL KALEEM MOHAMMED</t>
  </si>
  <si>
    <t>919030877953</t>
  </si>
  <si>
    <t>0007476600025902161</t>
  </si>
  <si>
    <t>xx8063</t>
  </si>
  <si>
    <t>LOKA SAI KRISHNA MYNAM</t>
  </si>
  <si>
    <t>919032521206</t>
  </si>
  <si>
    <t>0007471150004528244</t>
  </si>
  <si>
    <t>xx5922</t>
  </si>
  <si>
    <t>MOHAMMED SHADUL</t>
  </si>
  <si>
    <t>917013408085</t>
  </si>
  <si>
    <t>0007470650004005268</t>
  </si>
  <si>
    <t>xx8909</t>
  </si>
  <si>
    <t>ANAKAPALLI SATEESH</t>
  </si>
  <si>
    <t>919966281169</t>
  </si>
  <si>
    <t>0007477800011300292</t>
  </si>
  <si>
    <t>SYEDKHAJA MOIN UDDIN</t>
  </si>
  <si>
    <t>919885909558</t>
  </si>
  <si>
    <t>0007478800056658884</t>
  </si>
  <si>
    <t>xx9788</t>
  </si>
  <si>
    <t>919440488413</t>
  </si>
  <si>
    <t>GAJULA RUBEENA BEGUM</t>
  </si>
  <si>
    <t>919494236705</t>
  </si>
  <si>
    <t>0007477250033493610</t>
  </si>
  <si>
    <t>xx2350</t>
  </si>
  <si>
    <t>IPPA RAGHU</t>
  </si>
  <si>
    <t>917893657919</t>
  </si>
  <si>
    <t>0007478700127986589</t>
  </si>
  <si>
    <t>xx1949</t>
  </si>
  <si>
    <t>0007477350012418008</t>
  </si>
  <si>
    <t>xx3961</t>
  </si>
  <si>
    <t>MR VENUBABU VANGAP</t>
  </si>
  <si>
    <t>919989842143</t>
  </si>
  <si>
    <t>0007470870003632256</t>
  </si>
  <si>
    <t>xx9571</t>
  </si>
  <si>
    <t>SGR RECEIVED 4651/- 7TH FEB''26//REMAINING 1160 CALLER SUNITHA INCENTIVE</t>
  </si>
  <si>
    <t>SUMAN KUNTA</t>
  </si>
  <si>
    <t>919177114379</t>
  </si>
  <si>
    <t>0007470830017608379</t>
  </si>
  <si>
    <t>xx7545</t>
  </si>
  <si>
    <t>MOHAMMAD JABIR</t>
  </si>
  <si>
    <t>917416506094</t>
  </si>
  <si>
    <t>0007478950051306466</t>
  </si>
  <si>
    <t>xx2544</t>
  </si>
  <si>
    <t>TATAVARTI NAGARAJU</t>
  </si>
  <si>
    <t>918555079122</t>
  </si>
  <si>
    <t>0007470870003636471</t>
  </si>
  <si>
    <t>xx3797</t>
  </si>
  <si>
    <t>MD MOHIDDIN</t>
  </si>
  <si>
    <t>919493503892</t>
  </si>
  <si>
    <t>0007478800042269291</t>
  </si>
  <si>
    <t>xx6814</t>
  </si>
  <si>
    <t>VADAPALLE BASHA</t>
  </si>
  <si>
    <t>918074434417</t>
  </si>
  <si>
    <t>0007473000000412091</t>
  </si>
  <si>
    <t>xx1847</t>
  </si>
  <si>
    <t>ANKANI DEVI</t>
  </si>
  <si>
    <t>919912891763</t>
  </si>
  <si>
    <t>0007478830003437819</t>
  </si>
  <si>
    <t>xx4115</t>
  </si>
  <si>
    <t>VINAYAKUMAR T H</t>
  </si>
  <si>
    <t>919491784765</t>
  </si>
  <si>
    <t>0007478800050374603</t>
  </si>
  <si>
    <t>xx0681</t>
  </si>
  <si>
    <t>BALLA MANIKANTA</t>
  </si>
  <si>
    <t>919177558117</t>
  </si>
  <si>
    <t>0007477800010906016</t>
  </si>
  <si>
    <t>C SASI KIRAN</t>
  </si>
  <si>
    <t>918523812032</t>
  </si>
  <si>
    <t>0007478830007219908</t>
  </si>
  <si>
    <t>xx6781</t>
  </si>
  <si>
    <t>919949913114</t>
  </si>
  <si>
    <t>SHAIK JABEENA</t>
  </si>
  <si>
    <t>919381837735</t>
  </si>
  <si>
    <t>0007470850005225622</t>
  </si>
  <si>
    <t>BATTU VENKATA UDAYA KIRAN</t>
  </si>
  <si>
    <t>918121412324</t>
  </si>
  <si>
    <t>0007476760011005542</t>
  </si>
  <si>
    <t>xx6453</t>
  </si>
  <si>
    <t>UNGATI RAO</t>
  </si>
  <si>
    <t>918309087370</t>
  </si>
  <si>
    <t>0007471550000328244</t>
  </si>
  <si>
    <t>xx0925</t>
  </si>
  <si>
    <t>KOTESWARA RAO BARIGELA</t>
  </si>
  <si>
    <t>919848676702</t>
  </si>
  <si>
    <t>0007477350018419653</t>
  </si>
  <si>
    <t>xx3908</t>
  </si>
  <si>
    <t>MAHAMMAD SULTHAAN</t>
  </si>
  <si>
    <t>917416644898</t>
  </si>
  <si>
    <t>0007478700071882685</t>
  </si>
  <si>
    <t>NARASIMHA MENDA</t>
  </si>
  <si>
    <t>919666437457</t>
  </si>
  <si>
    <t>0007471150007705914</t>
  </si>
  <si>
    <t>xx3118</t>
  </si>
  <si>
    <t>KHATIPALLY MANOHAR</t>
  </si>
  <si>
    <t>917386405943</t>
  </si>
  <si>
    <t>0007470290001031924</t>
  </si>
  <si>
    <t>xx8908</t>
  </si>
  <si>
    <t>BABUNAIK BHUKYA</t>
  </si>
  <si>
    <t>918332816645</t>
  </si>
  <si>
    <t>0007478700131373253</t>
  </si>
  <si>
    <t>xx8905</t>
  </si>
  <si>
    <t>SUNITHA VJD</t>
  </si>
  <si>
    <t>MANDALA V DURGA PALLAVI</t>
  </si>
  <si>
    <t>919000159903</t>
  </si>
  <si>
    <t>0007478800063589668</t>
  </si>
  <si>
    <t>xx3660</t>
  </si>
  <si>
    <t>ARUNA JONNALAGADDA</t>
  </si>
  <si>
    <t>918142609009</t>
  </si>
  <si>
    <t>0007478800040539976</t>
  </si>
  <si>
    <t>xx0304</t>
  </si>
  <si>
    <t>THIRUPATHI CHOKKALA</t>
  </si>
  <si>
    <t>919381574512</t>
  </si>
  <si>
    <t>0007478700065500483</t>
  </si>
  <si>
    <t>xx1933</t>
  </si>
  <si>
    <t>MUNTHALA KISHORE KUMAR</t>
  </si>
  <si>
    <t>919989939364</t>
  </si>
  <si>
    <t>0007478730002439958</t>
  </si>
  <si>
    <t>xx7450</t>
  </si>
  <si>
    <t>THELLAPURAM VINAYKUMAR</t>
  </si>
  <si>
    <t>916281259869</t>
  </si>
  <si>
    <t>0007477800011505676</t>
  </si>
  <si>
    <t>GOUNDLA RAJESHWAR</t>
  </si>
  <si>
    <t>917095823628</t>
  </si>
  <si>
    <t>0007477800008089577</t>
  </si>
  <si>
    <t>PRASANGI SANTOSHKUMAR</t>
  </si>
  <si>
    <t>919963202556</t>
  </si>
  <si>
    <t>0007471150001179074</t>
  </si>
  <si>
    <t>xx4973</t>
  </si>
  <si>
    <t>AKKI JANAKI RAMAIAH</t>
  </si>
  <si>
    <t>918919779470</t>
  </si>
  <si>
    <t>0007478830007623125</t>
  </si>
  <si>
    <t>xx1306</t>
  </si>
  <si>
    <t>PASUPULETI CHANDRASEKHAR</t>
  </si>
  <si>
    <t>918885522709</t>
  </si>
  <si>
    <t>0007471150002045167</t>
  </si>
  <si>
    <t>xx0222</t>
  </si>
  <si>
    <t>MOHAMMAD CHAITHANYA</t>
  </si>
  <si>
    <t>917013028045</t>
  </si>
  <si>
    <t>0007478700130747218</t>
  </si>
  <si>
    <t>xx8089</t>
  </si>
  <si>
    <t>3900 CALLERS SPOT INCENTIVE PAID AND REMAINING 138 PENDING</t>
  </si>
  <si>
    <t>MR UDAYA MADDU</t>
  </si>
  <si>
    <t>918897187903</t>
  </si>
  <si>
    <t>0007478830002897401</t>
  </si>
  <si>
    <t>xx1331</t>
  </si>
  <si>
    <t>NETULA SRIKANTHKUMAR</t>
  </si>
  <si>
    <t>917989284046</t>
  </si>
  <si>
    <t>0007476780002726989</t>
  </si>
  <si>
    <t>xx6383</t>
  </si>
  <si>
    <t>ANIL KUMAR KOMMU</t>
  </si>
  <si>
    <t>919390420420</t>
  </si>
  <si>
    <t>0007470830011834070</t>
  </si>
  <si>
    <t>xx0903</t>
  </si>
  <si>
    <t>MR ALLATI DHARMA RAO</t>
  </si>
  <si>
    <t>919989650365</t>
  </si>
  <si>
    <t>0007470810013491863</t>
  </si>
  <si>
    <t>xx9834</t>
  </si>
  <si>
    <t>SAI TL  RECEIVED 1456/-11TH FEB''26//PENDING 2357/-</t>
  </si>
  <si>
    <t>BARNIKANA APPALANAIDU</t>
  </si>
  <si>
    <t>919652141349</t>
  </si>
  <si>
    <t>0007470830017401882</t>
  </si>
  <si>
    <t>xx5848</t>
  </si>
  <si>
    <t>DHANA LAKSHMI PUNUGETI</t>
  </si>
  <si>
    <t>919177653140</t>
  </si>
  <si>
    <t>0007477800010587477</t>
  </si>
  <si>
    <t>ABDUL NAZEER SYED</t>
  </si>
  <si>
    <t>919603374040</t>
  </si>
  <si>
    <t>0007478700131268677</t>
  </si>
  <si>
    <t>xx8542</t>
  </si>
  <si>
    <t>MAHESH AKULA</t>
  </si>
  <si>
    <t>919912115456</t>
  </si>
  <si>
    <t>0007477800008468979</t>
  </si>
  <si>
    <t>SHIVARAJ BACHEWAL</t>
  </si>
  <si>
    <t>916281640594</t>
  </si>
  <si>
    <t>0007471150002524815</t>
  </si>
  <si>
    <t>xx0411</t>
  </si>
  <si>
    <t>918886828111</t>
  </si>
  <si>
    <t>MR CHOPPALA VIJAYAKUMAR</t>
  </si>
  <si>
    <t>919000552683</t>
  </si>
  <si>
    <t>0007473030000059683</t>
  </si>
  <si>
    <t>xx8179</t>
  </si>
  <si>
    <t>KUSUME SURESH</t>
  </si>
  <si>
    <t>919290797954</t>
  </si>
  <si>
    <t>0007470830014137497</t>
  </si>
  <si>
    <t>xx6407</t>
  </si>
  <si>
    <t>KISHORE GONE</t>
  </si>
  <si>
    <t>917286919269</t>
  </si>
  <si>
    <t>0007478700026278336</t>
  </si>
  <si>
    <t>xx1879</t>
  </si>
  <si>
    <t>RANGAMGARI VIJAY</t>
  </si>
  <si>
    <t>916300137483</t>
  </si>
  <si>
    <t>0007477800007309919</t>
  </si>
  <si>
    <t>SATYANARAYANA RAGU</t>
  </si>
  <si>
    <t>918977077817</t>
  </si>
  <si>
    <t>0007470850002606980</t>
  </si>
  <si>
    <t>xx4104</t>
  </si>
  <si>
    <t>NARESH JADI</t>
  </si>
  <si>
    <t>918500661716</t>
  </si>
  <si>
    <t>0007470470000591405</t>
  </si>
  <si>
    <t>xx5455</t>
  </si>
  <si>
    <t>919110335979</t>
  </si>
  <si>
    <t>MUNEER SYED</t>
  </si>
  <si>
    <t>919985904773</t>
  </si>
  <si>
    <t>0007478700121898236</t>
  </si>
  <si>
    <t>xx7821</t>
  </si>
  <si>
    <t>YESUPOGU DEEPTHI</t>
  </si>
  <si>
    <t>917075544870</t>
  </si>
  <si>
    <t>0007478700081299474</t>
  </si>
  <si>
    <t>xx3677</t>
  </si>
  <si>
    <t>REVADA MAHESH</t>
  </si>
  <si>
    <t>919440128334</t>
  </si>
  <si>
    <t>0007470810017533256</t>
  </si>
  <si>
    <t>xx2244</t>
  </si>
  <si>
    <t>PEMMANABOINA VEERABABU</t>
  </si>
  <si>
    <t>917382358889</t>
  </si>
  <si>
    <t>0007470470000696360</t>
  </si>
  <si>
    <t>xx9848</t>
  </si>
  <si>
    <t>SHAIK ABDHUL</t>
  </si>
  <si>
    <t>918639332313</t>
  </si>
  <si>
    <t>0007478700093248113</t>
  </si>
  <si>
    <t>xx2336</t>
  </si>
  <si>
    <t>MOHAMMED NADEEMAHMED</t>
  </si>
  <si>
    <t>919642516011</t>
  </si>
  <si>
    <t>0007471150007647157</t>
  </si>
  <si>
    <t>xx8408</t>
  </si>
  <si>
    <t>KAGUPATI KRISHNA GOPAL BABU</t>
  </si>
  <si>
    <t>917674831303</t>
  </si>
  <si>
    <t>0007470830012337743</t>
  </si>
  <si>
    <t>xx4676</t>
  </si>
  <si>
    <t>MR MAGULURI SRINIVAS RAO</t>
  </si>
  <si>
    <t>917386677631</t>
  </si>
  <si>
    <t>0007478700082159453</t>
  </si>
  <si>
    <t>xx2817</t>
  </si>
  <si>
    <t>918985363514</t>
  </si>
  <si>
    <t>0007477800009887714</t>
  </si>
  <si>
    <t>2298/-  PAYMENT RECEIVED // 1839 SGR RECEIVED 3RD FEB''26//REMAING 459 CALLER 20% INCENTIVE PAID</t>
  </si>
  <si>
    <t>DEVANI GANAPATH I</t>
  </si>
  <si>
    <t>919949348769</t>
  </si>
  <si>
    <t>0007471150004861033</t>
  </si>
  <si>
    <t>xx6587</t>
  </si>
  <si>
    <t>DUDAM NAGARAJU</t>
  </si>
  <si>
    <t>918341984125</t>
  </si>
  <si>
    <t>0007477800009738495</t>
  </si>
  <si>
    <t>SGR RECEIVED 800/-9TH FEB''26</t>
  </si>
  <si>
    <t>919989918727</t>
  </si>
  <si>
    <t>MR PARNA CHINNA PEDDANNA</t>
  </si>
  <si>
    <t>919000208127</t>
  </si>
  <si>
    <t>0007470870008150007</t>
  </si>
  <si>
    <t>xx3754</t>
  </si>
  <si>
    <t>CHAITANYAKUMAR PEETANI</t>
  </si>
  <si>
    <t>919398840234</t>
  </si>
  <si>
    <t>0007470650002447447</t>
  </si>
  <si>
    <t>xx3791</t>
  </si>
  <si>
    <t>RAJA SIRIGINEEDI</t>
  </si>
  <si>
    <t>919391222812</t>
  </si>
  <si>
    <t>0007478730000317370</t>
  </si>
  <si>
    <t>xx1416</t>
  </si>
  <si>
    <t>MARIYANNA BURUGU</t>
  </si>
  <si>
    <t>918523869660</t>
  </si>
  <si>
    <t>0007478700120961993</t>
  </si>
  <si>
    <t>xx1361</t>
  </si>
  <si>
    <t>VENKATESH KOLA</t>
  </si>
  <si>
    <t>917032866061</t>
  </si>
  <si>
    <t>0007478830003364559</t>
  </si>
  <si>
    <t>xx2265</t>
  </si>
  <si>
    <t>0007476900001267666</t>
  </si>
  <si>
    <t>xx9156</t>
  </si>
  <si>
    <t>KANAKA SAIKUMAR</t>
  </si>
  <si>
    <t>919848936733</t>
  </si>
  <si>
    <t>0007477800008083299</t>
  </si>
  <si>
    <t>DULLA ANANDAM</t>
  </si>
  <si>
    <t>919848270424</t>
  </si>
  <si>
    <t>0007476710006457273</t>
  </si>
  <si>
    <t>SGR RECEIVED 1600//5TH FEB''26   REMAINING 400 CALLER 20% INCENTIVE</t>
  </si>
  <si>
    <t>RAJESH PILLI</t>
  </si>
  <si>
    <t>919912379501</t>
  </si>
  <si>
    <t>0007470810014534778</t>
  </si>
  <si>
    <t>xx4472</t>
  </si>
  <si>
    <t>SAI VEERA VENKATA SIVA KUMAR CHINTAKULA</t>
  </si>
  <si>
    <t>918096404455</t>
  </si>
  <si>
    <t>0007476600039327223</t>
  </si>
  <si>
    <t>xx6591</t>
  </si>
  <si>
    <t>MOHAMMED ABDULLAH SHAIK</t>
  </si>
  <si>
    <t>919094408786</t>
  </si>
  <si>
    <t>0007470650006651192</t>
  </si>
  <si>
    <t>xx8368</t>
  </si>
  <si>
    <t>916305591337</t>
  </si>
  <si>
    <t>GANESH PALLA</t>
  </si>
  <si>
    <t>917675065112</t>
  </si>
  <si>
    <t>0007476840003616249</t>
  </si>
  <si>
    <t>xx4779</t>
  </si>
  <si>
    <t>SGR RECEIVED 1476/-6TH FEB''26   PENDING 368/- ALEKYA INCENTIVE</t>
  </si>
  <si>
    <t>JOGINIPALLY NIRMALA</t>
  </si>
  <si>
    <t>919493471471</t>
  </si>
  <si>
    <t>0007476760004983077</t>
  </si>
  <si>
    <t>xx4383</t>
  </si>
  <si>
    <t>KADIRI JAYA KUMAR</t>
  </si>
  <si>
    <t>919440680636</t>
  </si>
  <si>
    <t>0007473030000370007</t>
  </si>
  <si>
    <t>xx2252</t>
  </si>
  <si>
    <t>GUNDAM PAVAN</t>
  </si>
  <si>
    <t>919440731200</t>
  </si>
  <si>
    <t>0007470830014083998</t>
  </si>
  <si>
    <t>xx4498</t>
  </si>
  <si>
    <t>KUMMARIKUNTLA PRAVEEN KUMAR</t>
  </si>
  <si>
    <t>919542877236</t>
  </si>
  <si>
    <t>0007478700125590904</t>
  </si>
  <si>
    <t>xx9559</t>
  </si>
  <si>
    <t>SGR RECEIVED 1400/-10TH FEB''26//CALLER RECEIVED 516/-</t>
  </si>
  <si>
    <t>DURGA SRAVANI YARRAMILLE</t>
  </si>
  <si>
    <t>919908411788</t>
  </si>
  <si>
    <t>0007478800011400679</t>
  </si>
  <si>
    <t>xx1794</t>
  </si>
  <si>
    <t>PRASHANTH NEKKINTI</t>
  </si>
  <si>
    <t>919591930578</t>
  </si>
  <si>
    <t>0007476840004187802</t>
  </si>
  <si>
    <t>xx8244</t>
  </si>
  <si>
    <t>MADAVEDI MANGAMMA</t>
  </si>
  <si>
    <t>918247855953</t>
  </si>
  <si>
    <t>0007477800006806790</t>
  </si>
  <si>
    <t>WAHEED SYED</t>
  </si>
  <si>
    <t>918125251152</t>
  </si>
  <si>
    <t>0007477800008055834</t>
  </si>
  <si>
    <t>SGR RECEIVED 1200/-10TH FEB''26</t>
  </si>
  <si>
    <t>KURIMELLA RAMESH</t>
  </si>
  <si>
    <t>919603642415</t>
  </si>
  <si>
    <t>0007477800006761953</t>
  </si>
  <si>
    <t>MR JAGANNATI BALA KRISHNA</t>
  </si>
  <si>
    <t>919573520154</t>
  </si>
  <si>
    <t>0007476840004285572</t>
  </si>
  <si>
    <t>xx2111</t>
  </si>
  <si>
    <t>RECEIVED TOTAL 2775// SGR RECEIVED 2216/- 5TH FEB''26//REMAINING 559/- CALLER 20% INCENITIVE PAID</t>
  </si>
  <si>
    <t>SULTHAN SHAIK</t>
  </si>
  <si>
    <t>917095287050</t>
  </si>
  <si>
    <t>0007476760010636487</t>
  </si>
  <si>
    <t>xx3422</t>
  </si>
  <si>
    <t>KESHAV GANGARAPU</t>
  </si>
  <si>
    <t>919553862085</t>
  </si>
  <si>
    <t>0007477800009305451</t>
  </si>
  <si>
    <t>0007477800008154835</t>
  </si>
  <si>
    <t>918074488616</t>
  </si>
  <si>
    <t>0007478700065713540</t>
  </si>
  <si>
    <t>xx7111</t>
  </si>
  <si>
    <t>MR RAMA KRISHNA PASUPULETI</t>
  </si>
  <si>
    <t>918074490908</t>
  </si>
  <si>
    <t>0007477800009836919</t>
  </si>
  <si>
    <t>ASHOK KUMAR NOWLI</t>
  </si>
  <si>
    <t>919959293507</t>
  </si>
  <si>
    <t>0007478730002212843</t>
  </si>
  <si>
    <t>xx1078</t>
  </si>
  <si>
    <t>GALLA BALA RAMA KRISHNA</t>
  </si>
  <si>
    <t>919866911733</t>
  </si>
  <si>
    <t>0007478830006624124</t>
  </si>
  <si>
    <t>xx6450</t>
  </si>
  <si>
    <t>MOHAMMAD FAZAL AHMED PASHA</t>
  </si>
  <si>
    <t>919959180348</t>
  </si>
  <si>
    <t>0007470110001412306</t>
  </si>
  <si>
    <t>GUTTIKONDA GOPAL</t>
  </si>
  <si>
    <t>918885512848</t>
  </si>
  <si>
    <t>0007477800005735032</t>
  </si>
  <si>
    <t>NAVEENKUMAR AKULA</t>
  </si>
  <si>
    <t>918686457457</t>
  </si>
  <si>
    <t>0007477350014613614</t>
  </si>
  <si>
    <t>xx7296</t>
  </si>
  <si>
    <t>SASI KIRAN SAHU</t>
  </si>
  <si>
    <t>919789738034</t>
  </si>
  <si>
    <t>0007477800009011539</t>
  </si>
  <si>
    <t>SGR RECEIVED 2385/-6TH FEB'26// REMAINING 596/- PRATYUSHA CALLER INCENTIVE</t>
  </si>
  <si>
    <t>SRINIVASA RAO POLAMARASETTY</t>
  </si>
  <si>
    <t>919989508280</t>
  </si>
  <si>
    <t>0007478830001553120</t>
  </si>
  <si>
    <t>xx0250</t>
  </si>
  <si>
    <t>MOHAMMED ISSAQ</t>
  </si>
  <si>
    <t>917013794976</t>
  </si>
  <si>
    <t>0007471200012489390</t>
  </si>
  <si>
    <t>xx9604</t>
  </si>
  <si>
    <t>BUDDA DURGANOOKARAJU</t>
  </si>
  <si>
    <t>917661814372</t>
  </si>
  <si>
    <t>0007471150009495415</t>
  </si>
  <si>
    <t>xx3075</t>
  </si>
  <si>
    <t>IBRAHEEM SHAIK</t>
  </si>
  <si>
    <t>918919779559</t>
  </si>
  <si>
    <t>0007477800006755179</t>
  </si>
  <si>
    <t>RECEIVED KRISHNA 1000 RS// 200 CALLER PREM INCENTIVE REMANING 800 SPOT INCENTIVE FOR CALLERS….</t>
  </si>
  <si>
    <t>SANTHOSH ODELU</t>
  </si>
  <si>
    <t>919573236717</t>
  </si>
  <si>
    <t>0007470870004932861</t>
  </si>
  <si>
    <t>xx7389</t>
  </si>
  <si>
    <t>SATTHAIAH GANGI</t>
  </si>
  <si>
    <t>919989439716</t>
  </si>
  <si>
    <t>0007471200012969300</t>
  </si>
  <si>
    <t>xx2083</t>
  </si>
  <si>
    <t>BUSSA BULLEMMA</t>
  </si>
  <si>
    <t>919347007624</t>
  </si>
  <si>
    <t>0007478830000591105</t>
  </si>
  <si>
    <t>xx3006</t>
  </si>
  <si>
    <t>MAHANKALI MURALI</t>
  </si>
  <si>
    <t>917993426339</t>
  </si>
  <si>
    <t>0007471150005449804</t>
  </si>
  <si>
    <t>xx9787</t>
  </si>
  <si>
    <t>DARA DARGABABU</t>
  </si>
  <si>
    <t>919989517387</t>
  </si>
  <si>
    <t>0007470570001792108</t>
  </si>
  <si>
    <t>xx0596</t>
  </si>
  <si>
    <t>PEDDAIAH GARI NA</t>
  </si>
  <si>
    <t>918008029956</t>
  </si>
  <si>
    <t>0007478830001743796</t>
  </si>
  <si>
    <t>xx7236</t>
  </si>
  <si>
    <t>TALUPULU RAYAVARAPU</t>
  </si>
  <si>
    <t>919553604587</t>
  </si>
  <si>
    <t>0007478830000552982</t>
  </si>
  <si>
    <t>xx4879</t>
  </si>
  <si>
    <t>BALIREDDYGARI REDDY ARUNAKUMAR</t>
  </si>
  <si>
    <t>919542997989</t>
  </si>
  <si>
    <t>0007478650021104203</t>
  </si>
  <si>
    <t>xx3476</t>
  </si>
  <si>
    <t>RECEIVED 555/- 3RD FEB''26 445/- SGR RECEIVED//111/- CALLER INCENTIVE PAID</t>
  </si>
  <si>
    <t>SAILAJA JONNALAGADDA</t>
  </si>
  <si>
    <t>918019757858</t>
  </si>
  <si>
    <t>0007471200012771797</t>
  </si>
  <si>
    <t>xx3163</t>
  </si>
  <si>
    <t>ADAVI SUDHEER KUMAR</t>
  </si>
  <si>
    <t>919491524979</t>
  </si>
  <si>
    <t>0007476650001599739</t>
  </si>
  <si>
    <t>xx1779</t>
  </si>
  <si>
    <t>SAI TL RECEIVED 1280/-11TH FEB''26</t>
  </si>
  <si>
    <t>MR ANDEY VENKATA RANGARAO</t>
  </si>
  <si>
    <t>919581961481</t>
  </si>
  <si>
    <t>0007478450020336561</t>
  </si>
  <si>
    <t>xx7639</t>
  </si>
  <si>
    <t>GERA  DILEEP</t>
  </si>
  <si>
    <t>XXXXXXXXXXXX2309</t>
  </si>
  <si>
    <t>SGR RECEIVED 4K/- 4TH MAR''26//PENDING 6K/SGR RECEIVED 6000/- 5TH MAR''26</t>
  </si>
  <si>
    <t>GEETHA VJW</t>
  </si>
  <si>
    <t>CHOKKA PAVAN RAM</t>
  </si>
  <si>
    <t>XXXXXXXXXXXX6078</t>
  </si>
  <si>
    <t>VINATHI SAINI</t>
  </si>
  <si>
    <t>XXXXXXXXXXXX8544</t>
  </si>
  <si>
    <t>CHENNAIA GTR</t>
  </si>
  <si>
    <t>SGR RECEIVED SAME DAY 10K/- REMAINING AMOUNT WE FUNDED//  THIS CASE ESCALATED CASE</t>
  </si>
  <si>
    <t>ESCLATION</t>
  </si>
  <si>
    <t>MOHAMMAD PARVEZ AHAMMAD</t>
  </si>
  <si>
    <t>XXXXXXXXXXXX3385</t>
  </si>
  <si>
    <t>SKIP CASE</t>
  </si>
  <si>
    <t>RITAM ARUNKUMAR GHOSH</t>
  </si>
  <si>
    <t>5241934178292007</t>
  </si>
  <si>
    <t>SHIVAYOGI B NELLIKOPPA</t>
  </si>
  <si>
    <t>5241931221701018</t>
  </si>
  <si>
    <t>G ABHISHEK'S</t>
  </si>
  <si>
    <t>4375518817767007</t>
  </si>
  <si>
    <t>RAHUL TITUS DMONTY</t>
  </si>
  <si>
    <t>4375519056324021</t>
  </si>
  <si>
    <t>AVINASH KUMAR JHA</t>
  </si>
  <si>
    <t>4501721176351002</t>
  </si>
  <si>
    <t>SHEETHAL SHILAJAKUMAR EDKKATT</t>
  </si>
  <si>
    <t>4073520314877003</t>
  </si>
  <si>
    <t>HARISH BHAVANI RAO</t>
  </si>
  <si>
    <t>4375513712405019</t>
  </si>
  <si>
    <t>A VENKATESAN</t>
  </si>
  <si>
    <t>4375512084305005</t>
  </si>
  <si>
    <t>KISHORE KUMAR MANDU</t>
  </si>
  <si>
    <t>4443410077696001</t>
  </si>
  <si>
    <t>SGR RECEIVED 9K/- RECEIVED 7TH MAR''26//SGR RECEIVED 5310/- 14TH MAR''26</t>
  </si>
  <si>
    <t>PADMAVATHI G</t>
  </si>
  <si>
    <t>4375518888541018</t>
  </si>
  <si>
    <t>VELUTURLA SRIKANTH REDDY</t>
  </si>
  <si>
    <t>4315813927613008</t>
  </si>
  <si>
    <t>SAI GOPI</t>
  </si>
  <si>
    <t>AJEES</t>
  </si>
  <si>
    <t>6528681951404000</t>
  </si>
  <si>
    <t>KAMALRAJ Y</t>
  </si>
  <si>
    <t>4375515449005012</t>
  </si>
  <si>
    <t>SRINIVAS UPPALURI</t>
  </si>
  <si>
    <t>4375519647813003</t>
  </si>
  <si>
    <t>AJAZ MOHAMMED AHAMED</t>
  </si>
  <si>
    <t>4375519007111022</t>
  </si>
  <si>
    <t>PODISETTI RAGHUNATH</t>
  </si>
  <si>
    <t>918712349143</t>
  </si>
  <si>
    <t>0007476780001565206</t>
  </si>
  <si>
    <t>SHAIK IMRAN</t>
  </si>
  <si>
    <t>919642553365</t>
  </si>
  <si>
    <t>0007476400007749585</t>
  </si>
  <si>
    <t>SRINIVAS KALVALA</t>
  </si>
  <si>
    <t>917386037297</t>
  </si>
  <si>
    <t>0007478730000438333</t>
  </si>
  <si>
    <t>KYATAM MALLESHAM</t>
  </si>
  <si>
    <t>918885255930</t>
  </si>
  <si>
    <t>0007478700112326619</t>
  </si>
  <si>
    <t>SHAIK SALMA</t>
  </si>
  <si>
    <t>917093521644</t>
  </si>
  <si>
    <t>0007470830017951613</t>
  </si>
  <si>
    <t>YATAGIRI KUMAR</t>
  </si>
  <si>
    <t>918008860023</t>
  </si>
  <si>
    <t>0007476300016914651</t>
  </si>
  <si>
    <t>0007477800010758110</t>
  </si>
  <si>
    <t>GANIPAKA SADANANDAM</t>
  </si>
  <si>
    <t>919603646824</t>
  </si>
  <si>
    <t>0007476840003663852</t>
  </si>
  <si>
    <t>KOMMI KIRAN</t>
  </si>
  <si>
    <t>918143347847</t>
  </si>
  <si>
    <t>0007470830017482478</t>
  </si>
  <si>
    <t>MOGILI LAXMAN</t>
  </si>
  <si>
    <t>919949553003</t>
  </si>
  <si>
    <t>0007473030000535914</t>
  </si>
  <si>
    <t>BONDILI SRI VIDYA SINGH</t>
  </si>
  <si>
    <t>917732042064</t>
  </si>
  <si>
    <t>0007476300016622437</t>
  </si>
  <si>
    <t>0007478950010851164</t>
  </si>
  <si>
    <t>xx5712</t>
  </si>
  <si>
    <t>ASHOK KUMAR MARAM</t>
  </si>
  <si>
    <t>918897720622</t>
  </si>
  <si>
    <t>0007476760003497145</t>
  </si>
  <si>
    <t>xx7898</t>
  </si>
  <si>
    <t>MALLESHAM RODDA</t>
  </si>
  <si>
    <t>918341419905</t>
  </si>
  <si>
    <t>0007476760001669489</t>
  </si>
  <si>
    <t>xx2065</t>
  </si>
  <si>
    <t>PALEPU GANESH</t>
  </si>
  <si>
    <t>919703230717</t>
  </si>
  <si>
    <t>0007476600034823622</t>
  </si>
  <si>
    <t>xx3517</t>
  </si>
  <si>
    <t>MR GUGULOTH KIRAN</t>
  </si>
  <si>
    <t>919959747120</t>
  </si>
  <si>
    <t>0007470510006359701</t>
  </si>
  <si>
    <t>xx9681</t>
  </si>
  <si>
    <t>DURSHETI SAI CHARAN</t>
  </si>
  <si>
    <t>919440554125</t>
  </si>
  <si>
    <t>0007477250030100713</t>
  </si>
  <si>
    <t>xx4729</t>
  </si>
  <si>
    <t>VISWANATH LATEEN</t>
  </si>
  <si>
    <t>919035898979</t>
  </si>
  <si>
    <t>0007477800008842157</t>
  </si>
  <si>
    <t>Srinivas GAVVA</t>
  </si>
  <si>
    <t>919848465055</t>
  </si>
  <si>
    <t>0007478700011212001</t>
  </si>
  <si>
    <t>xx3049</t>
  </si>
  <si>
    <t>ANEELA DURAGAMPATI</t>
  </si>
  <si>
    <t>918317688812</t>
  </si>
  <si>
    <t>0007470290001138562</t>
  </si>
  <si>
    <t>xx2837</t>
  </si>
  <si>
    <t>MR KONDAPARTHI SURESH</t>
  </si>
  <si>
    <t>919949112746</t>
  </si>
  <si>
    <t>0007476780004595143</t>
  </si>
  <si>
    <t>xx7185</t>
  </si>
  <si>
    <t>VINOD KUMAR KANIGELUPULA</t>
  </si>
  <si>
    <t>917382110029</t>
  </si>
  <si>
    <t>0007476760012034632</t>
  </si>
  <si>
    <t>xx1548</t>
  </si>
  <si>
    <t>MR MOTHKURI EESHWARA PRASAD</t>
  </si>
  <si>
    <t>919966840702</t>
  </si>
  <si>
    <t>0007470510006640621</t>
  </si>
  <si>
    <t>xx1374</t>
  </si>
  <si>
    <t>SHAIK PARVEEN</t>
  </si>
  <si>
    <t>918639915549</t>
  </si>
  <si>
    <t>0007476840000269869</t>
  </si>
  <si>
    <t>xx0695</t>
  </si>
  <si>
    <t>MADAKAM JHANSIRANI</t>
  </si>
  <si>
    <t>917993470451</t>
  </si>
  <si>
    <t>0007470650000441442</t>
  </si>
  <si>
    <t>xx1529</t>
  </si>
  <si>
    <t>KHASIM SHAIK</t>
  </si>
  <si>
    <t>918184921839</t>
  </si>
  <si>
    <t>0007478950052829839</t>
  </si>
  <si>
    <t>xx1067</t>
  </si>
  <si>
    <t>MR KRISHNA KOTA</t>
  </si>
  <si>
    <t>918142697989</t>
  </si>
  <si>
    <t>0007476600037727655</t>
  </si>
  <si>
    <t>xx1144</t>
  </si>
  <si>
    <t>D S PRAVEENA</t>
  </si>
  <si>
    <t>919494070055</t>
  </si>
  <si>
    <t>0007476740006189527</t>
  </si>
  <si>
    <t>xx9537</t>
  </si>
  <si>
    <t>Mrs SUNDARAPU KOTAMMA</t>
  </si>
  <si>
    <t>4748469484025008</t>
  </si>
  <si>
    <t>9246643366  9866117006  8466803251(DAUGHTER)  7893443366  7093407833</t>
  </si>
  <si>
    <t>SGR RECEIVED 12TH FEB''26 9500/-</t>
  </si>
  <si>
    <t>MS RAVADA LAKSHMI</t>
  </si>
  <si>
    <t>8878667441  9553377084  7989820937  7330854405</t>
  </si>
  <si>
    <t>4748469482823008</t>
  </si>
  <si>
    <t>SGR RECEIVED 5K 26TH FEB''26//PENDING  3778</t>
  </si>
  <si>
    <t>YAGATI VANITHA PRIYA</t>
  </si>
  <si>
    <t>4748469531015002</t>
  </si>
  <si>
    <t>KURRA PRASAD</t>
  </si>
  <si>
    <t>4748469603823002</t>
  </si>
  <si>
    <t>SGR RECEIVED 3000/- REMAINING PENDING 2385/16TH FEB PTP// SGR RECEIVED 1000/- 19TH SEP''26/PENDING 1390//1000 RUPEE CASH RECEIVED BY VIJAY GARU TO HEMA //SGR CASH RECEIVED BY HEMA 1000/-  23rd FEB''26//REMAINING 390 PENDING//SGR RECEIVED REMAINING BALANCE 390/- 2ND MAR''26/</t>
  </si>
  <si>
    <t>MR MADDURU ANANTAVENKATARAMANAIAH</t>
  </si>
  <si>
    <t>9133992696</t>
  </si>
  <si>
    <t>4748469364114005</t>
  </si>
  <si>
    <t>SGR RECEIVED 6320/- 18TH FEB''26/PENDING 6320/-20TH FEB''26//SGR RECEIVED 5K 4TH MAR'26// PENDING 1320//FOS NAYAB INCENTIVE CUT</t>
  </si>
  <si>
    <t>REFUNDABLE</t>
  </si>
  <si>
    <t>GOGULAMUDI REDDY</t>
  </si>
  <si>
    <t>5241931849629005</t>
  </si>
  <si>
    <t>MACHA REDDY</t>
  </si>
  <si>
    <t>4748469321042000</t>
  </si>
  <si>
    <t>KUCHALA SRINIVASULU</t>
  </si>
  <si>
    <t>4748469335828006</t>
  </si>
  <si>
    <t>AVINASH THAMPY</t>
  </si>
  <si>
    <t>4375519381414018</t>
  </si>
  <si>
    <t>PUTNALA DHANALAXMI</t>
  </si>
  <si>
    <t>4748469453245009</t>
  </si>
  <si>
    <t>Mohammed Allauddn</t>
  </si>
  <si>
    <t>4315814431776000</t>
  </si>
  <si>
    <t>Arun Prakash Pillai</t>
  </si>
  <si>
    <t>`</t>
  </si>
  <si>
    <t>4315814468165002</t>
  </si>
  <si>
    <t>Sunil Kumar Alahari</t>
  </si>
  <si>
    <t>4315814279906008</t>
  </si>
  <si>
    <t>R Narayanan</t>
  </si>
  <si>
    <t>4315813738490000</t>
  </si>
  <si>
    <t>Uday Veer</t>
  </si>
  <si>
    <t>4315813113448003</t>
  </si>
  <si>
    <t>Alla jeevan Kumar</t>
  </si>
  <si>
    <t>4375517789847003</t>
  </si>
  <si>
    <t>Sobin K A</t>
  </si>
  <si>
    <t>Ramakrishanan Sarafoji</t>
  </si>
  <si>
    <t>4315813217766003</t>
  </si>
  <si>
    <t>Sanagala  Vamsi Krishna</t>
  </si>
  <si>
    <t>4315813545561001</t>
  </si>
  <si>
    <t>Akula Raju</t>
  </si>
  <si>
    <t>4315815309112004</t>
  </si>
  <si>
    <t>Sudhakar m</t>
  </si>
  <si>
    <t>4315813242170023</t>
  </si>
  <si>
    <t>Akku mathew babu</t>
  </si>
  <si>
    <t>4315815065479001</t>
  </si>
  <si>
    <t>Challapalli Reddy Babu</t>
  </si>
  <si>
    <t>4315813565129002</t>
  </si>
  <si>
    <t>Manjunath V Benakatti</t>
  </si>
  <si>
    <t>4315813485806002</t>
  </si>
  <si>
    <t>Tadikonda Naresh</t>
  </si>
  <si>
    <t>4315814210466005</t>
  </si>
  <si>
    <t>Shanthi s</t>
  </si>
  <si>
    <t>4375516376463000</t>
  </si>
  <si>
    <t>Bijjam reddy</t>
  </si>
  <si>
    <t>4315815898940005</t>
  </si>
  <si>
    <t>Ajay m Saju</t>
  </si>
  <si>
    <t>4315814052478001</t>
  </si>
  <si>
    <t>Kalluri siva rami reddy</t>
  </si>
  <si>
    <t>4315814321943009</t>
  </si>
  <si>
    <t>V NAGA VAISHNAVI</t>
  </si>
  <si>
    <t>SGR RECEIVED 1600/- 18TH SEP''26</t>
  </si>
  <si>
    <t xml:space="preserve">DR </t>
  </si>
  <si>
    <t>SGR RECEIVED 5000/- 27TH FEB''26// 9460 PENDING//SGR RECEIVED 5500/- 7TH MAR''26// PENDING 3960/-//SGR RECEIVED 4K 11TH MAR''26</t>
  </si>
  <si>
    <t>MR Samala Bhanu Chander</t>
  </si>
  <si>
    <t>9951520007</t>
  </si>
  <si>
    <t>4315813533511000</t>
  </si>
  <si>
    <t>MAHESH/NIZAMABAD , 9177861515</t>
  </si>
  <si>
    <t>SGR RECEIVED TOTAL 50K/36089 JAN MONTH LOADING//REMAINING THIS MONTH//PENDING 22178//SGR RECEIVED 23K 12TH MAR''26</t>
  </si>
  <si>
    <t>SGR RECEIVED 3RD MAR''26 8789/-</t>
  </si>
  <si>
    <t>MS ADAPA SOWJANYA</t>
  </si>
  <si>
    <t>4375517715268001</t>
  </si>
  <si>
    <t>SGR RECEIVED 11003/- 17TH FEB''26</t>
  </si>
  <si>
    <t>MR Satyamnaidu Boddu</t>
  </si>
  <si>
    <t>4315813216549004</t>
  </si>
  <si>
    <t>SGR RECEIVED 5960/- 13TH FEB</t>
  </si>
  <si>
    <t>MR KOTTURU CHANDRASEKHARARAO</t>
  </si>
  <si>
    <t>4315814842812006</t>
  </si>
  <si>
    <t>BHUPATHI  SUMANJALI</t>
  </si>
  <si>
    <t>8106747486</t>
  </si>
  <si>
    <t>1630000000238333</t>
  </si>
  <si>
    <t>0897</t>
  </si>
  <si>
    <t>GALETI  SHRIKANT</t>
  </si>
  <si>
    <t>090000000622268</t>
  </si>
  <si>
    <t>7240</t>
  </si>
  <si>
    <t>SGR RECEIVED 1500/- 27TH MAR''26</t>
  </si>
  <si>
    <t>SIMHADRI  PAVAN  KUMAR</t>
  </si>
  <si>
    <t>9553991991</t>
  </si>
  <si>
    <t>1830000000871180</t>
  </si>
  <si>
    <t>5407</t>
  </si>
  <si>
    <t>Kurmapu  Santosh</t>
  </si>
  <si>
    <t>8121333495</t>
  </si>
  <si>
    <t>1830000001832538</t>
  </si>
  <si>
    <t>8466</t>
  </si>
  <si>
    <t>SIVA SANKAR  PEDDINTI</t>
  </si>
  <si>
    <t>9666435048</t>
  </si>
  <si>
    <t>093000000058726</t>
  </si>
  <si>
    <t>4533</t>
  </si>
  <si>
    <t>SGR RECEIVED 1400/- 4TH MAR''26</t>
  </si>
  <si>
    <t>D  Siddaiah</t>
  </si>
  <si>
    <t>9908880851</t>
  </si>
  <si>
    <t>1720000004987720</t>
  </si>
  <si>
    <t>5952</t>
  </si>
  <si>
    <t>PULLI PONGU  NOOKA RAJU</t>
  </si>
  <si>
    <t>8897739430</t>
  </si>
  <si>
    <t>1720000001065983</t>
  </si>
  <si>
    <t>2981</t>
  </si>
  <si>
    <t>MR Gopi Vemula</t>
  </si>
  <si>
    <t>8555986589</t>
  </si>
  <si>
    <t>4315814009620002</t>
  </si>
  <si>
    <t>NA</t>
  </si>
  <si>
    <t>MR Pooran Singh Aiem</t>
  </si>
  <si>
    <t>9630765188</t>
  </si>
  <si>
    <t>4315814483704009</t>
  </si>
  <si>
    <t>MR Bagi Charan Kumar</t>
  </si>
  <si>
    <t>8977940812</t>
  </si>
  <si>
    <t>4315814991322005</t>
  </si>
  <si>
    <t>MR Sattu Srihari</t>
  </si>
  <si>
    <t>7893059814</t>
  </si>
  <si>
    <t>4315813654784006</t>
  </si>
  <si>
    <t>Bharath Bushan</t>
  </si>
  <si>
    <t>SGR RECEIVED 20K 27TH FEB''26 // 16400 PENDING//SGR RECEIVED 16000/- 4TH MAR'26/PENDING 400</t>
  </si>
  <si>
    <t>SADHU NOOKAMANU</t>
  </si>
  <si>
    <t>7083</t>
  </si>
  <si>
    <t>KOTIGARU</t>
  </si>
  <si>
    <t>SGR RECEIVED 5800/- 18TH FEB'26</t>
  </si>
  <si>
    <t>MR. MOHAMMED ANWARULLAH</t>
  </si>
  <si>
    <t>4035625801746004</t>
  </si>
  <si>
    <t>MR KOTI REDDY RAJARAM</t>
  </si>
  <si>
    <t>9618640111</t>
  </si>
  <si>
    <t>5241934214002014OR//5241930519482000</t>
  </si>
  <si>
    <t>5241934214002014</t>
  </si>
  <si>
    <t>Rishi</t>
  </si>
  <si>
    <t>VISIT TOMMORO CUSTOMER'S HOUSE</t>
  </si>
  <si>
    <t>RAKESH RANJAN</t>
  </si>
  <si>
    <t>5241939241091005</t>
  </si>
  <si>
    <t>TALITIRI KOTESWAR RAO</t>
  </si>
  <si>
    <t>5241939391206007</t>
  </si>
  <si>
    <t>MARUTHI PRASAD</t>
  </si>
  <si>
    <t>4035620554323002</t>
  </si>
  <si>
    <t>MS BANAVATH KRISHNAVENI</t>
  </si>
  <si>
    <t>4035621294869007</t>
  </si>
  <si>
    <t>SGR RECEIVED TOTAL 43200/-// (35181/-) 8019 REMAINING BALANCE AMOUNT ANOTHER CUSTOMER MOHAMMED NAYEEM AMOUNT//PENDING AMOUNT 9222/SGR RECEIVED 9241/6TH MAR MAR''26</t>
  </si>
  <si>
    <t>MR MOHAMMAD NAYEEM</t>
  </si>
  <si>
    <t>SGR RECEIVED TOTAL 43200/- (17241 THIS CUSTOMER) REMAINING BALANCE AMOUNT ANOTHER CUSTOMER MS BANAVATH KRISHNAVENI AMOUNt</t>
  </si>
  <si>
    <t>Mr UDAY UPPALA</t>
  </si>
  <si>
    <t>9491876601</t>
  </si>
  <si>
    <t>4035620214025005</t>
  </si>
  <si>
    <t>SGR RECEIVED 14190/-21ST FEB''26</t>
  </si>
  <si>
    <t>Afrin</t>
  </si>
  <si>
    <t>MR SHAIK JOHN SAIDA</t>
  </si>
  <si>
    <t>9573199605</t>
  </si>
  <si>
    <t>4035620333427033</t>
  </si>
  <si>
    <t>SAIDA VALI</t>
  </si>
  <si>
    <t>CHENNAIA GTR RECEIVED THIS AMOUNT</t>
  </si>
  <si>
    <t>MR NIKHIL CHEPURI</t>
  </si>
  <si>
    <t>8143200777</t>
  </si>
  <si>
    <t>4035620983988029</t>
  </si>
  <si>
    <t>SGR RECEIVED 4260/- 18TH FEB''26</t>
  </si>
  <si>
    <t>TULASI</t>
  </si>
  <si>
    <t>4375517836282000</t>
  </si>
  <si>
    <t>NAYEEB</t>
  </si>
  <si>
    <t>SGR RECEIVED 36000/- 2ND APRIL''26//PENDING 200</t>
  </si>
  <si>
    <t>PURUSHOTTHAM</t>
  </si>
  <si>
    <t xml:space="preserve">MAR'' 25TH </t>
  </si>
  <si>
    <t>MS PONNUR SUJATHA</t>
  </si>
  <si>
    <t>8309275601</t>
  </si>
  <si>
    <t>4085110058545010</t>
  </si>
  <si>
    <t>ADHIL</t>
  </si>
  <si>
    <t>MS JULATHOTA SUJATHAMMA</t>
  </si>
  <si>
    <t>9618355305</t>
  </si>
  <si>
    <t>21ST MAR''26</t>
  </si>
  <si>
    <t>MR BUGGANA NARESH REDDY</t>
  </si>
  <si>
    <t>9550380854</t>
  </si>
  <si>
    <t>4035621014818003</t>
  </si>
  <si>
    <t>PTP 30TH MAR(OBLESH)</t>
  </si>
  <si>
    <t>MR Namala Naresh</t>
  </si>
  <si>
    <t>9502525437</t>
  </si>
  <si>
    <t>4315811987573005</t>
  </si>
  <si>
    <t>PTP 30TH MAR(50-50)(OBLESH)</t>
  </si>
  <si>
    <t>MR NAGIRI MAHESH</t>
  </si>
  <si>
    <t>9573720626</t>
  </si>
  <si>
    <t>4035621527987006</t>
  </si>
  <si>
    <t>SREEKANTH TV</t>
  </si>
  <si>
    <t>4315810456791007</t>
  </si>
  <si>
    <t>PRAVEEN N</t>
  </si>
  <si>
    <t>4501721070840001</t>
  </si>
  <si>
    <t>SHIVAKUMARR</t>
  </si>
  <si>
    <t>4501721036043005</t>
  </si>
  <si>
    <t>SHIVA KUMAR POLINENI</t>
  </si>
  <si>
    <t>4315811622021006</t>
  </si>
  <si>
    <t>RAHUL ROY DABBIRU</t>
  </si>
  <si>
    <t>4501721295397019</t>
  </si>
  <si>
    <t>PANNEERSELVAM A</t>
  </si>
  <si>
    <t>4501721061209007</t>
  </si>
  <si>
    <t>MOHAMMED ABDUL JAVEED</t>
  </si>
  <si>
    <t>4501720955699003</t>
  </si>
  <si>
    <t>KOTHURU RAJA</t>
  </si>
  <si>
    <t>4501720966100009</t>
  </si>
  <si>
    <t xml:space="preserve">TULASI/NELLORE </t>
  </si>
  <si>
    <t>CUSTOMER NEED SETTLEMENT</t>
  </si>
  <si>
    <t>MR ANKINAPALLE OBULESU</t>
  </si>
  <si>
    <t>9949911371</t>
  </si>
  <si>
    <t>4501720955194013</t>
  </si>
  <si>
    <t>KOTICHINTALA SWARNA</t>
  </si>
  <si>
    <t>4501721229196008</t>
  </si>
  <si>
    <t>50-50  CUSTOMER SAYS NO CASH</t>
  </si>
  <si>
    <t>LAKSHMI NARAYANA AREVETI</t>
  </si>
  <si>
    <t xml:space="preserve">          -</t>
  </si>
  <si>
    <t>4315810567670017</t>
  </si>
  <si>
    <t>SGR RECEIVED 20K 12TH MAR''26//PENDING 20K</t>
  </si>
  <si>
    <t>CUSTOMER CHECK IN OUR HAND</t>
  </si>
  <si>
    <t>VENKATESH TELGU</t>
  </si>
  <si>
    <t>4501721041873008</t>
  </si>
  <si>
    <t>SGR RECEIVED 15740/- 21ST FEB''26</t>
  </si>
  <si>
    <t>ABBAS</t>
  </si>
  <si>
    <t>SANJAY VARMA</t>
  </si>
  <si>
    <t>XXXXXXXXXXXX4603</t>
  </si>
  <si>
    <t>SGR RECEIVED9000/- 23RD FEB''26</t>
  </si>
  <si>
    <t>VENKATARAMANA</t>
  </si>
  <si>
    <t>Mr B VENU GOPAL</t>
  </si>
  <si>
    <t>8185008850</t>
  </si>
  <si>
    <t>4315814342830003</t>
  </si>
  <si>
    <t>MR S KUMAR</t>
  </si>
  <si>
    <t>7676743132</t>
  </si>
  <si>
    <t>4748468204274029</t>
  </si>
  <si>
    <t>CUSTOMER NOT RESPOND PROPERLY</t>
  </si>
  <si>
    <t>MR MANTRAMURTHY SAI MERWAN</t>
  </si>
  <si>
    <t>6305680173</t>
  </si>
  <si>
    <t>5241936760444011</t>
  </si>
  <si>
    <t>MR VENNAPUSA VIJAY MADHAVA REDDY</t>
  </si>
  <si>
    <t>7032769566</t>
  </si>
  <si>
    <t>4035622986281006</t>
  </si>
  <si>
    <t>MRS DULAM VIJAYA</t>
  </si>
  <si>
    <t>7207224488</t>
  </si>
  <si>
    <t>4035627553430019</t>
  </si>
  <si>
    <t>MR THAMMINENI KUMAR</t>
  </si>
  <si>
    <t>8886193140</t>
  </si>
  <si>
    <t>4315813480943008</t>
  </si>
  <si>
    <t>MR MOHAMMAD KHAN</t>
  </si>
  <si>
    <t>9542595441</t>
  </si>
  <si>
    <t>5241936817488003</t>
  </si>
  <si>
    <t>MR JAGATI PRASAD</t>
  </si>
  <si>
    <t>9550100882</t>
  </si>
  <si>
    <t>4035622684168000</t>
  </si>
  <si>
    <t>SGR RECEIVED 3810/- 27TH FEB''26</t>
  </si>
  <si>
    <t>MADHU/NANDYAL , 9550812050</t>
  </si>
  <si>
    <t>SADU SAIDAIAH</t>
  </si>
  <si>
    <t>4748468450022007</t>
  </si>
  <si>
    <t>CUSTOMER DEATH</t>
  </si>
  <si>
    <t>DEATH CASE</t>
  </si>
  <si>
    <t>KANDAGATLA RISHIKA</t>
  </si>
  <si>
    <t>4035623407988005</t>
  </si>
  <si>
    <t>IP</t>
  </si>
  <si>
    <t>KARNATI SIVA SANKAR RAO</t>
  </si>
  <si>
    <t>5241936668358016</t>
  </si>
  <si>
    <t>CHERUKURI SUDHAKAR</t>
  </si>
  <si>
    <t>4035627403690002</t>
  </si>
  <si>
    <t>SURA ANILKUMAR</t>
  </si>
  <si>
    <t>5241936737524002</t>
  </si>
  <si>
    <t>MR MOHAMMED SHAMSHUDDIN</t>
  </si>
  <si>
    <t>9849938411</t>
  </si>
  <si>
    <t>4035622976301012</t>
  </si>
  <si>
    <t>Amarnath</t>
  </si>
  <si>
    <t>SGR RECEIVED 20K 27TH FEB''26// 29600</t>
  </si>
  <si>
    <t>MR PULIBUNDLA NAGA SESHAIAH</t>
  </si>
  <si>
    <t>7981103579</t>
  </si>
  <si>
    <t>4035622926338007</t>
  </si>
  <si>
    <t>SGR RECEIVED 3K 28TH FEB''26//REMAINING PENDING 2181</t>
  </si>
  <si>
    <t>SHAHARJAC S</t>
  </si>
  <si>
    <t>4315814699582009</t>
  </si>
  <si>
    <t>GALLLA LEELA RANI</t>
  </si>
  <si>
    <t>4035623154127005</t>
  </si>
  <si>
    <t>LEEN MARIYA THOMAS</t>
  </si>
  <si>
    <t>4847468474662002</t>
  </si>
  <si>
    <t>JEEVAN KUMAR</t>
  </si>
  <si>
    <t>4748467922081013</t>
  </si>
  <si>
    <t>K CHANIKYA VARMA</t>
  </si>
  <si>
    <t>4315814130523000</t>
  </si>
  <si>
    <t>MERUGU ANAND</t>
  </si>
  <si>
    <t>4035623321322000</t>
  </si>
  <si>
    <t>ARYA ARYA RAJAN</t>
  </si>
  <si>
    <t>4035627840758008</t>
  </si>
  <si>
    <t>FERNANDOWADUGE KUMARA</t>
  </si>
  <si>
    <t>4035623441201001</t>
  </si>
  <si>
    <t>SAUJANYA KUMAR NALIGALA</t>
  </si>
  <si>
    <t>2ND BKT TPTY</t>
  </si>
  <si>
    <t>P.SAI KIRAN REDDY</t>
  </si>
  <si>
    <t>4748468269817001</t>
  </si>
  <si>
    <t>SGR RECEIVED 1500/- 1ST MAR''26// PENDING 50K</t>
  </si>
  <si>
    <t>C HARI</t>
  </si>
  <si>
    <t>4748468252676000</t>
  </si>
  <si>
    <t>SGR RECEIVED 11325/- FEB''26</t>
  </si>
  <si>
    <t>SGR RECEIVED 24TH MAR''26 7K//PENDING 32632/SGR RECEIVED 4K 12TH APR''26//PENDING 28631//SGR RECEIVED 5K 13TH APR''26// PENDING 23631/-// SGR RECEIVED 10K 22ND APR''26//PENDING  13631/-//SGR RECEIVED 10K FEB MONTH 2631// SGR RECEIVED 5K 15TH MAY''26 FEB MONTH 2631/- CLEARED// REMAINING 2639 MARCH MONTH</t>
  </si>
  <si>
    <t>SGR RECEIVED 5K 26TH FEB''26//PENDING 20130// CASH RECEIVED SUBBU GARU 2000 TIRUPATI ROOM PAY //  18130 PENDING//SGR RECEIVED 6K/- 13TH MAR''26//PENDING 12130/-//SGR RECEIVED 6K 21ST MAR''26//PENDING 6130//SUBBU RECEIVED 2K SUBBU USING THIS AMOUNT// SGR RECEIVED 4000/-25TH MAR''26//PENDING 130</t>
  </si>
  <si>
    <t>SGR RECEIVED 15910/- 5TH MAR''26</t>
  </si>
  <si>
    <t>SAIHARI</t>
  </si>
  <si>
    <t>MR MADABATHULA PRUDHVIRAJ</t>
  </si>
  <si>
    <t>4748464741798000</t>
  </si>
  <si>
    <t>MR BAYIKATI BHARATH KUMAR</t>
  </si>
  <si>
    <t>5241935802274006</t>
  </si>
  <si>
    <t>29-02-2026</t>
  </si>
  <si>
    <t>SGR RECEIVED 22650/- 26TH FEB''26</t>
  </si>
  <si>
    <t>GAFORRE</t>
  </si>
  <si>
    <t>S.BHUVANESHWAR REDDY</t>
  </si>
  <si>
    <t>4375514453532029</t>
  </si>
  <si>
    <t>PL</t>
  </si>
  <si>
    <t>BANDI VENKATA SWAMY</t>
  </si>
  <si>
    <t>PPR024411213305</t>
  </si>
  <si>
    <t>CHAGAM MAHANANDIREDDY</t>
  </si>
  <si>
    <t>PPR015207630536</t>
  </si>
  <si>
    <t>MADAPAKULA MALLESWARA RAO</t>
  </si>
  <si>
    <t>PPR006910041496</t>
  </si>
  <si>
    <t>AKUMALL PEERAIAH</t>
  </si>
  <si>
    <t>PPR015210668168</t>
  </si>
  <si>
    <t>RAYAPUREDDY AMANI</t>
  </si>
  <si>
    <t>PPR006909533126</t>
  </si>
  <si>
    <t>THANGELLA ANIL</t>
  </si>
  <si>
    <t>PPR006911063522</t>
  </si>
  <si>
    <t>VANKAYALAPATI RAMANAIDU</t>
  </si>
  <si>
    <t>PPR006910418848</t>
  </si>
  <si>
    <t>BANNARAVURI RAMBABU</t>
  </si>
  <si>
    <t>PPR006911802916</t>
  </si>
  <si>
    <t>MARELLA NAGARAJU</t>
  </si>
  <si>
    <t>PPR006908086145</t>
  </si>
  <si>
    <t>MALISETTY SAI SARAN KUMAR</t>
  </si>
  <si>
    <t>PPR006906833900</t>
  </si>
  <si>
    <t>BL</t>
  </si>
  <si>
    <t>NIMMANAGOTI JANAMMA</t>
  </si>
  <si>
    <t>BPR002711075190</t>
  </si>
  <si>
    <t>GUNIGANTI KAMALAKAR</t>
  </si>
  <si>
    <t>BPR029209264455</t>
  </si>
  <si>
    <t>CHIRLA MALLISHWARI</t>
  </si>
  <si>
    <t>BPR029211139981</t>
  </si>
  <si>
    <t>MOHAMMED AHASAN SALEEM</t>
  </si>
  <si>
    <t>BPR029208801613</t>
  </si>
  <si>
    <t>MOHAMMED LUQMAN AHMED</t>
  </si>
  <si>
    <t>BPR000812463621</t>
  </si>
  <si>
    <t>M.MANIKANTHA</t>
  </si>
  <si>
    <t>SGR RECEIVED 7K 26TH FEB''26// 28910/- PENDING 10920/-//SGR RECEIVED 10910 5TH MAR''26</t>
  </si>
  <si>
    <t>S.RAJU</t>
  </si>
  <si>
    <t>BPR073312766913</t>
  </si>
  <si>
    <t>SGR RECEIVED 42000/- BY DURGA PRASAD GARU 26TH FEB''26</t>
  </si>
  <si>
    <t>MAHESH S</t>
  </si>
  <si>
    <t>5241931913663005</t>
  </si>
  <si>
    <t>GANAPATHINEEDI RASA GEETHIKA</t>
  </si>
  <si>
    <t>4748468669931006</t>
  </si>
  <si>
    <t>RENGADURAI P</t>
  </si>
  <si>
    <t>4315813939688014</t>
  </si>
  <si>
    <t>RETHINAMANI M</t>
  </si>
  <si>
    <t>4035620903293005</t>
  </si>
  <si>
    <t>UDAYADITYA KASHYAP</t>
  </si>
  <si>
    <t>4375510363557015</t>
  </si>
  <si>
    <t>VAMSI BORELLI</t>
  </si>
  <si>
    <t>4648469594641009</t>
  </si>
  <si>
    <t>MeETEMAAD UI HAQ</t>
  </si>
  <si>
    <t>4315813766335028</t>
  </si>
  <si>
    <t>AGNI A</t>
  </si>
  <si>
    <t>4375514631162004</t>
  </si>
  <si>
    <t>YESUDASS CHINNAPPAN</t>
  </si>
  <si>
    <t>4035622870005008</t>
  </si>
  <si>
    <t>KONDURI MANOHAR</t>
  </si>
  <si>
    <t>BPR010711554530</t>
  </si>
  <si>
    <t>CUSTOMER ALREA PAID CASH 645/- HYD GANESH GARU//BRAND COMPUTERS FACTORY BL 23 RD CYC 683 LOADING AMOUNT RECEIVED HYD GANESH GARU</t>
  </si>
  <si>
    <t>Mr SRINIVASA RAO JOGI</t>
  </si>
  <si>
    <t>8792112880</t>
  </si>
  <si>
    <t>4315810749954016</t>
  </si>
  <si>
    <t>SGR RECEIVED 24930/- 28TH FEB''26</t>
  </si>
  <si>
    <t>L.SREEDHAR GOUD</t>
  </si>
  <si>
    <t>4477468223144002</t>
  </si>
  <si>
    <t>SGR RECEIVED 18300/- 27TH FEB'26</t>
  </si>
  <si>
    <t>MR GOLLA KUMAR</t>
  </si>
  <si>
    <t>6528681550689001,</t>
  </si>
  <si>
    <t>SGR CASH RECEIVED BY CASH HARI BABU GARU 26-02-2026</t>
  </si>
  <si>
    <t>PL X BKT(AKHIL)</t>
  </si>
  <si>
    <t>POLAKALLU BOYA SOMASEKHAR</t>
  </si>
  <si>
    <t>PPR015210399056</t>
  </si>
  <si>
    <t>GALANKI SANDEEP KUMAR</t>
  </si>
  <si>
    <t>PPR006911519040</t>
  </si>
  <si>
    <t>BL X BKT(AKHIL)</t>
  </si>
  <si>
    <t>SRINIVASA RAO CHEEDRABOINA</t>
  </si>
  <si>
    <t>_x001E_8790131217</t>
  </si>
  <si>
    <t>BPR006911953454</t>
  </si>
  <si>
    <t>PENUMATCHA  LAXMINARASIMHA RAJU</t>
  </si>
  <si>
    <t>_x001E_9666840000</t>
  </si>
  <si>
    <t>BPR007509926231</t>
  </si>
  <si>
    <t>PAVANI  TRADERS</t>
  </si>
  <si>
    <t>_x001E_7659958556</t>
  </si>
  <si>
    <t>BPR002712004293</t>
  </si>
  <si>
    <t>VEMULA  SURESH</t>
  </si>
  <si>
    <t>_x001E_9494400101</t>
  </si>
  <si>
    <t>BPR015211696760</t>
  </si>
  <si>
    <t>BORRA  KAVITHA</t>
  </si>
  <si>
    <t>PPR006911058683</t>
  </si>
  <si>
    <t>MANGATI  JANAKIRAM</t>
  </si>
  <si>
    <t>PPR015212647366</t>
  </si>
  <si>
    <t>BL X BKT(HYD GANESH)</t>
  </si>
  <si>
    <t>6301982548</t>
  </si>
  <si>
    <t>CUSTOMER NOT AVAILABLE AT HOME PHONE SWITCHED OFF</t>
  </si>
  <si>
    <t>SRI DIVYA PROJECTS</t>
  </si>
  <si>
    <t>8977118724</t>
  </si>
  <si>
    <t>BPR000812644356</t>
  </si>
  <si>
    <t xml:space="preserve">SGR RECEIVED 3RD MAR''26 8175/- </t>
  </si>
  <si>
    <t>BPR002711646540</t>
  </si>
  <si>
    <t>SGR RECEIVED 55587/-</t>
  </si>
  <si>
    <t>LOKANURAAG L</t>
  </si>
  <si>
    <t>4315810723379008</t>
  </si>
  <si>
    <t>KIRAN KUMAR VEENAM</t>
  </si>
  <si>
    <t>4315811264518004</t>
  </si>
  <si>
    <t>SHIVA UPADHYAY</t>
  </si>
  <si>
    <t>4375519675743007</t>
  </si>
  <si>
    <t>MANJUNATHA G</t>
  </si>
  <si>
    <t>4315812926434002</t>
  </si>
  <si>
    <t>MR MAAZ BIN ABDUL HAFEZ AL JABRI</t>
  </si>
  <si>
    <t>9177790343</t>
  </si>
  <si>
    <t>5241936627585006</t>
  </si>
  <si>
    <t>NON-REFUNDABLE</t>
  </si>
  <si>
    <t>AXIS BL(DURGA)</t>
  </si>
  <si>
    <t>ARNEPALLI MURALI</t>
  </si>
  <si>
    <t>BPR007511666921</t>
  </si>
  <si>
    <t>DURGA PRASAD/SGR</t>
  </si>
  <si>
    <t>MAHALAXMI PLAY WOOD AND GLASS WORLD</t>
  </si>
  <si>
    <t>BPR000809832511</t>
  </si>
  <si>
    <t>SGR RECEIVED 50K 23RD APR''26//SGR RECEIVED 25K 23 APR''26//</t>
  </si>
  <si>
    <t>MARCH 22ND</t>
  </si>
  <si>
    <t>PULIPAKA NARESH</t>
  </si>
  <si>
    <t>BPR029213016040</t>
  </si>
  <si>
    <t>GOPU RAJI REDDY</t>
  </si>
  <si>
    <t>BPR029212194633</t>
  </si>
  <si>
    <t>ABHINAV MISHRA</t>
  </si>
  <si>
    <t>4315813505284016</t>
  </si>
  <si>
    <t>SKIP</t>
  </si>
  <si>
    <t>GONELLA VENKATA SAI</t>
  </si>
  <si>
    <t>4035620028461008</t>
  </si>
  <si>
    <t>SGR RECEIVED 1ST MAR''26/- 15K/REMAINING PENDING 371/-/SGR RECEIVED 371/5TH MAR''26</t>
  </si>
  <si>
    <t>BHOOMPALLY SHEKHAR</t>
  </si>
  <si>
    <t>SGR RECEIVED 6420/- 28TH FEB''26//WE RAISED ONLY RECEIPT]</t>
  </si>
  <si>
    <t>CHUNCHU ANIL</t>
  </si>
  <si>
    <t>BPR029212647665</t>
  </si>
  <si>
    <t>SGR RECEIVED 10876/- 28TH FEB''26//WE RAISED ONLY RECEIPT]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</si>
</sst>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MULISH"/>
    </font>
    <font>
      <sz val="14"/>
      <color rgb="FF1F1F1F"/>
      <name val="MULISH"/>
    </font>
    <font>
      <sz val="14"/>
      <color rgb="FF0A0A0A"/>
      <name val="MULISH"/>
    </font>
    <font>
      <sz val="14"/>
      <name val="MULISH"/>
    </font>
    <font>
      <sz val="14"/>
      <color rgb="FF000000"/>
      <name val="MULISH"/>
    </font>
    <font>
      <sz val="14"/>
      <color rgb="FFFF0000"/>
      <name val="MULISH"/>
    </font>
    <font>
      <sz val="14"/>
      <color theme="1"/>
      <name val="Aptos Narrow"/>
      <family val="2"/>
      <scheme val="minor"/>
    </font>
    <font>
      <b/>
      <sz val="14"/>
      <color theme="8" tint="-0.249977111117893"/>
      <name val="MULISH"/>
    </font>
    <font>
      <sz val="14"/>
      <color rgb="FF1F1F1F"/>
      <name val="Arial"/>
      <family val="2"/>
    </font>
    <font>
      <sz val="14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MULISH"/>
    </font>
    <font>
      <b/>
      <sz val="11"/>
      <color theme="1"/>
      <name val="MULISH"/>
    </font>
    <font>
      <sz val="10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rgb="FFFF0000"/>
      <name val="MULISH"/>
    </font>
    <font>
      <sz val="12"/>
      <color theme="1"/>
      <name val="MULISH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20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2" fillId="3" borderId="1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left"/>
    </xf>
    <xf numFmtId="165" fontId="2" fillId="3" borderId="1" xfId="1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top"/>
    </xf>
    <xf numFmtId="1" fontId="5" fillId="3" borderId="1" xfId="0" applyNumberFormat="1" applyFont="1" applyFill="1" applyBorder="1" applyAlignment="1">
      <alignment horizontal="left" vertical="top"/>
    </xf>
    <xf numFmtId="0" fontId="5" fillId="3" borderId="1" xfId="0" quotePrefix="1" applyFont="1" applyFill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center"/>
    </xf>
    <xf numFmtId="1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16" fontId="2" fillId="3" borderId="1" xfId="0" applyNumberFormat="1" applyFont="1" applyFill="1" applyBorder="1" applyAlignment="1">
      <alignment horizontal="left" vertical="center"/>
    </xf>
    <xf numFmtId="16" fontId="2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2" fillId="4" borderId="0" xfId="0" applyFont="1" applyFill="1"/>
    <xf numFmtId="0" fontId="7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left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0" fillId="0" borderId="1" xfId="0" applyFont="1" applyBorder="1"/>
    <xf numFmtId="0" fontId="2" fillId="0" borderId="1" xfId="0" quotePrefix="1" applyFont="1" applyBorder="1" applyAlignment="1">
      <alignment horizontal="left"/>
    </xf>
    <xf numFmtId="0" fontId="8" fillId="0" borderId="1" xfId="0" applyFont="1" applyBorder="1"/>
    <xf numFmtId="1" fontId="8" fillId="0" borderId="1" xfId="0" applyNumberFormat="1" applyFont="1" applyBorder="1"/>
    <xf numFmtId="1" fontId="8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/>
    </xf>
    <xf numFmtId="0" fontId="8" fillId="6" borderId="1" xfId="0" applyFont="1" applyFill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8" fillId="0" borderId="0" xfId="0" applyFont="1"/>
    <xf numFmtId="0" fontId="8" fillId="7" borderId="0" xfId="0" applyFont="1" applyFill="1"/>
    <xf numFmtId="1" fontId="8" fillId="0" borderId="0" xfId="0" applyNumberFormat="1" applyFont="1"/>
    <xf numFmtId="0" fontId="10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1" fontId="8" fillId="3" borderId="1" xfId="0" applyNumberFormat="1" applyFont="1" applyFill="1" applyBorder="1" applyAlignment="1">
      <alignment horizontal="left"/>
    </xf>
    <xf numFmtId="14" fontId="8" fillId="3" borderId="1" xfId="0" applyNumberFormat="1" applyFont="1" applyFill="1" applyBorder="1" applyAlignment="1">
      <alignment horizontal="left"/>
    </xf>
    <xf numFmtId="0" fontId="8" fillId="3" borderId="1" xfId="0" quotePrefix="1" applyFont="1" applyFill="1" applyBorder="1" applyAlignment="1">
      <alignment horizontal="left"/>
    </xf>
    <xf numFmtId="0" fontId="11" fillId="3" borderId="1" xfId="0" applyFont="1" applyFill="1" applyBorder="1" applyAlignment="1">
      <alignment horizontal="left" vertical="top"/>
    </xf>
    <xf numFmtId="1" fontId="11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/>
    <xf numFmtId="0" fontId="8" fillId="3" borderId="1" xfId="0" applyFont="1" applyFill="1" applyBorder="1" applyAlignment="1">
      <alignment horizontal="left" vertical="top"/>
    </xf>
    <xf numFmtId="1" fontId="8" fillId="3" borderId="1" xfId="0" applyNumberFormat="1" applyFont="1" applyFill="1" applyBorder="1" applyAlignment="1">
      <alignment horizontal="left" vertical="top"/>
    </xf>
    <xf numFmtId="14" fontId="2" fillId="3" borderId="1" xfId="0" applyNumberFormat="1" applyFont="1" applyFill="1" applyBorder="1"/>
    <xf numFmtId="0" fontId="12" fillId="3" borderId="1" xfId="0" applyFont="1" applyFill="1" applyBorder="1" applyAlignment="1">
      <alignment horizontal="left"/>
    </xf>
    <xf numFmtId="49" fontId="12" fillId="3" borderId="1" xfId="0" applyNumberFormat="1" applyFont="1" applyFill="1" applyBorder="1" applyAlignment="1">
      <alignment horizontal="left"/>
    </xf>
    <xf numFmtId="1" fontId="12" fillId="3" borderId="1" xfId="0" applyNumberFormat="1" applyFont="1" applyFill="1" applyBorder="1" applyAlignment="1">
      <alignment horizontal="left"/>
    </xf>
    <xf numFmtId="0" fontId="13" fillId="3" borderId="1" xfId="0" applyFont="1" applyFill="1" applyBorder="1" applyAlignment="1">
      <alignment horizontal="center"/>
    </xf>
    <xf numFmtId="49" fontId="13" fillId="3" borderId="1" xfId="0" applyNumberFormat="1" applyFont="1" applyFill="1" applyBorder="1" applyAlignment="1">
      <alignment horizontal="center"/>
    </xf>
    <xf numFmtId="1" fontId="13" fillId="3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49" fontId="8" fillId="3" borderId="1" xfId="0" applyNumberFormat="1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0" fillId="0" borderId="1" xfId="0" quotePrefix="1" applyFont="1" applyBorder="1"/>
    <xf numFmtId="0" fontId="2" fillId="0" borderId="1" xfId="0" quotePrefix="1" applyFont="1" applyBorder="1" applyAlignment="1">
      <alignment horizontal="left" wrapText="1"/>
    </xf>
    <xf numFmtId="0" fontId="2" fillId="8" borderId="1" xfId="0" applyFont="1" applyFill="1" applyBorder="1" applyAlignment="1">
      <alignment horizontal="left"/>
    </xf>
    <xf numFmtId="0" fontId="10" fillId="8" borderId="1" xfId="0" applyFont="1" applyFill="1" applyBorder="1"/>
    <xf numFmtId="0" fontId="8" fillId="3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left"/>
    </xf>
    <xf numFmtId="0" fontId="2" fillId="0" borderId="2" xfId="0" applyFont="1" applyBorder="1"/>
    <xf numFmtId="0" fontId="2" fillId="3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0" fillId="0" borderId="2" xfId="0" applyFont="1" applyBorder="1"/>
    <xf numFmtId="0" fontId="2" fillId="0" borderId="2" xfId="0" quotePrefix="1" applyFont="1" applyBorder="1" applyAlignment="1">
      <alignment horizontal="left"/>
    </xf>
    <xf numFmtId="0" fontId="2" fillId="9" borderId="2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/>
    </xf>
    <xf numFmtId="14" fontId="2" fillId="0" borderId="1" xfId="0" applyNumberFormat="1" applyFont="1" applyBorder="1"/>
    <xf numFmtId="0" fontId="12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top"/>
    </xf>
    <xf numFmtId="1" fontId="8" fillId="0" borderId="1" xfId="0" applyNumberFormat="1" applyFont="1" applyBorder="1" applyAlignment="1">
      <alignment horizontal="left" vertical="top"/>
    </xf>
    <xf numFmtId="0" fontId="12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/>
    </xf>
    <xf numFmtId="0" fontId="8" fillId="9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0" fillId="9" borderId="1" xfId="0" applyFont="1" applyFill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vertical="center" wrapText="1"/>
    </xf>
    <xf numFmtId="14" fontId="14" fillId="2" borderId="1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wrapText="1"/>
    </xf>
    <xf numFmtId="0" fontId="14" fillId="0" borderId="1" xfId="0" applyFont="1" applyBorder="1" applyAlignment="1">
      <alignment horizontal="left"/>
    </xf>
    <xf numFmtId="14" fontId="14" fillId="0" borderId="1" xfId="0" applyNumberFormat="1" applyFont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14" fontId="14" fillId="3" borderId="1" xfId="0" applyNumberFormat="1" applyFont="1" applyFill="1" applyBorder="1" applyAlignment="1">
      <alignment horizontal="left"/>
    </xf>
    <xf numFmtId="0" fontId="14" fillId="3" borderId="1" xfId="0" applyFont="1" applyFill="1" applyBorder="1"/>
    <xf numFmtId="0" fontId="14" fillId="0" borderId="0" xfId="0" applyFont="1"/>
    <xf numFmtId="0" fontId="14" fillId="3" borderId="1" xfId="0" applyFont="1" applyFill="1" applyBorder="1" applyAlignment="1">
      <alignment horizontal="left" vertical="top"/>
    </xf>
    <xf numFmtId="0" fontId="14" fillId="3" borderId="1" xfId="0" quotePrefix="1" applyFont="1" applyFill="1" applyBorder="1" applyAlignment="1">
      <alignment horizontal="left"/>
    </xf>
    <xf numFmtId="1" fontId="14" fillId="3" borderId="1" xfId="0" applyNumberFormat="1" applyFont="1" applyFill="1" applyBorder="1" applyAlignment="1">
      <alignment horizontal="left" vertical="top"/>
    </xf>
    <xf numFmtId="0" fontId="15" fillId="3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49" fontId="14" fillId="3" borderId="1" xfId="0" applyNumberFormat="1" applyFont="1" applyFill="1" applyBorder="1" applyAlignment="1">
      <alignment horizontal="left"/>
    </xf>
    <xf numFmtId="1" fontId="14" fillId="3" borderId="1" xfId="0" applyNumberFormat="1" applyFont="1" applyFill="1" applyBorder="1" applyAlignment="1">
      <alignment horizontal="left"/>
    </xf>
    <xf numFmtId="49" fontId="14" fillId="10" borderId="1" xfId="0" applyNumberFormat="1" applyFont="1" applyFill="1" applyBorder="1" applyAlignment="1">
      <alignment horizontal="left"/>
    </xf>
    <xf numFmtId="0" fontId="14" fillId="10" borderId="1" xfId="0" applyFont="1" applyFill="1" applyBorder="1" applyAlignment="1">
      <alignment horizontal="left"/>
    </xf>
    <xf numFmtId="0" fontId="14" fillId="0" borderId="2" xfId="0" applyFont="1" applyBorder="1" applyAlignment="1">
      <alignment horizontal="left"/>
    </xf>
    <xf numFmtId="14" fontId="14" fillId="0" borderId="2" xfId="0" applyNumberFormat="1" applyFont="1" applyBorder="1" applyAlignment="1">
      <alignment horizontal="left"/>
    </xf>
    <xf numFmtId="0" fontId="14" fillId="3" borderId="2" xfId="0" applyFont="1" applyFill="1" applyBorder="1" applyAlignment="1">
      <alignment horizontal="left"/>
    </xf>
    <xf numFmtId="49" fontId="14" fillId="3" borderId="2" xfId="0" applyNumberFormat="1" applyFont="1" applyFill="1" applyBorder="1" applyAlignment="1">
      <alignment horizontal="left"/>
    </xf>
    <xf numFmtId="14" fontId="14" fillId="3" borderId="2" xfId="0" applyNumberFormat="1" applyFont="1" applyFill="1" applyBorder="1" applyAlignment="1">
      <alignment horizontal="left"/>
    </xf>
    <xf numFmtId="0" fontId="14" fillId="3" borderId="2" xfId="0" applyFont="1" applyFill="1" applyBorder="1"/>
    <xf numFmtId="1" fontId="14" fillId="3" borderId="2" xfId="0" applyNumberFormat="1" applyFont="1" applyFill="1" applyBorder="1" applyAlignment="1">
      <alignment horizontal="left" vertical="top"/>
    </xf>
    <xf numFmtId="0" fontId="16" fillId="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1" fontId="16" fillId="0" borderId="1" xfId="0" applyNumberFormat="1" applyFont="1" applyBorder="1" applyAlignment="1">
      <alignment horizontal="left"/>
    </xf>
    <xf numFmtId="0" fontId="14" fillId="0" borderId="1" xfId="0" applyFont="1" applyBorder="1"/>
    <xf numFmtId="0" fontId="14" fillId="0" borderId="3" xfId="0" applyFont="1" applyBorder="1" applyAlignment="1">
      <alignment horizontal="left"/>
    </xf>
    <xf numFmtId="14" fontId="14" fillId="0" borderId="3" xfId="0" applyNumberFormat="1" applyFont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49" fontId="14" fillId="3" borderId="3" xfId="0" applyNumberFormat="1" applyFont="1" applyFill="1" applyBorder="1" applyAlignment="1">
      <alignment horizontal="left"/>
    </xf>
    <xf numFmtId="14" fontId="14" fillId="3" borderId="3" xfId="0" applyNumberFormat="1" applyFont="1" applyFill="1" applyBorder="1" applyAlignment="1">
      <alignment horizontal="left"/>
    </xf>
    <xf numFmtId="1" fontId="14" fillId="3" borderId="3" xfId="0" applyNumberFormat="1" applyFont="1" applyFill="1" applyBorder="1" applyAlignment="1">
      <alignment horizontal="left" vertical="top"/>
    </xf>
    <xf numFmtId="1" fontId="16" fillId="3" borderId="1" xfId="0" applyNumberFormat="1" applyFont="1" applyFill="1" applyBorder="1" applyAlignment="1">
      <alignment horizontal="left"/>
    </xf>
    <xf numFmtId="0" fontId="14" fillId="3" borderId="1" xfId="0" applyFont="1" applyFill="1" applyBorder="1" applyAlignment="1">
      <alignment vertical="top"/>
    </xf>
    <xf numFmtId="0" fontId="14" fillId="7" borderId="1" xfId="0" applyFont="1" applyFill="1" applyBorder="1" applyAlignment="1">
      <alignment horizontal="left"/>
    </xf>
    <xf numFmtId="14" fontId="14" fillId="7" borderId="1" xfId="0" applyNumberFormat="1" applyFont="1" applyFill="1" applyBorder="1" applyAlignment="1">
      <alignment horizontal="left"/>
    </xf>
    <xf numFmtId="49" fontId="14" fillId="7" borderId="1" xfId="0" applyNumberFormat="1" applyFont="1" applyFill="1" applyBorder="1" applyAlignment="1">
      <alignment horizontal="left"/>
    </xf>
    <xf numFmtId="1" fontId="14" fillId="7" borderId="1" xfId="0" applyNumberFormat="1" applyFont="1" applyFill="1" applyBorder="1" applyAlignment="1">
      <alignment horizontal="left" vertical="top"/>
    </xf>
    <xf numFmtId="0" fontId="14" fillId="7" borderId="1" xfId="0" applyFont="1" applyFill="1" applyBorder="1"/>
    <xf numFmtId="0" fontId="14" fillId="7" borderId="1" xfId="0" applyFont="1" applyFill="1" applyBorder="1" applyAlignment="1">
      <alignment horizontal="left" vertical="top"/>
    </xf>
    <xf numFmtId="0" fontId="14" fillId="7" borderId="0" xfId="0" applyFont="1" applyFill="1"/>
    <xf numFmtId="0" fontId="0" fillId="7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15" fillId="7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2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4" fillId="11" borderId="1" xfId="0" applyFont="1" applyFill="1" applyBorder="1" applyAlignment="1">
      <alignment horizontal="left"/>
    </xf>
    <xf numFmtId="0" fontId="14" fillId="9" borderId="1" xfId="0" applyFont="1" applyFill="1" applyBorder="1" applyAlignment="1">
      <alignment horizontal="left"/>
    </xf>
    <xf numFmtId="1" fontId="14" fillId="3" borderId="1" xfId="0" applyNumberFormat="1" applyFont="1" applyFill="1" applyBorder="1" applyAlignment="1">
      <alignment vertical="top"/>
    </xf>
    <xf numFmtId="0" fontId="14" fillId="3" borderId="1" xfId="0" applyFont="1" applyFill="1" applyBorder="1" applyAlignment="1">
      <alignment horizontal="left" vertical="center"/>
    </xf>
    <xf numFmtId="1" fontId="14" fillId="12" borderId="1" xfId="0" applyNumberFormat="1" applyFont="1" applyFill="1" applyBorder="1" applyAlignment="1">
      <alignment horizontal="left" vertical="top"/>
    </xf>
    <xf numFmtId="14" fontId="18" fillId="12" borderId="1" xfId="0" applyNumberFormat="1" applyFont="1" applyFill="1" applyBorder="1" applyAlignment="1">
      <alignment horizontal="left"/>
    </xf>
    <xf numFmtId="49" fontId="14" fillId="3" borderId="1" xfId="0" quotePrefix="1" applyNumberFormat="1" applyFont="1" applyFill="1" applyBorder="1" applyAlignment="1">
      <alignment horizontal="left"/>
    </xf>
    <xf numFmtId="14" fontId="14" fillId="3" borderId="1" xfId="0" applyNumberFormat="1" applyFont="1" applyFill="1" applyBorder="1" applyAlignment="1">
      <alignment horizontal="left" vertical="top"/>
    </xf>
    <xf numFmtId="1" fontId="14" fillId="9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9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14" fontId="14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1" fontId="14" fillId="0" borderId="1" xfId="0" applyNumberFormat="1" applyFont="1" applyBorder="1" applyAlignment="1">
      <alignment horizontal="left" vertical="center"/>
    </xf>
    <xf numFmtId="0" fontId="14" fillId="0" borderId="1" xfId="0" quotePrefix="1" applyFont="1" applyBorder="1" applyAlignment="1">
      <alignment horizontal="left" vertical="center"/>
    </xf>
    <xf numFmtId="0" fontId="14" fillId="0" borderId="1" xfId="0" quotePrefix="1" applyFont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14" fontId="14" fillId="0" borderId="1" xfId="0" applyNumberFormat="1" applyFont="1" applyBorder="1"/>
    <xf numFmtId="0" fontId="14" fillId="0" borderId="1" xfId="0" quotePrefix="1" applyFont="1" applyBorder="1"/>
    <xf numFmtId="0" fontId="14" fillId="0" borderId="2" xfId="0" applyFont="1" applyBorder="1"/>
    <xf numFmtId="0" fontId="14" fillId="0" borderId="2" xfId="0" quotePrefix="1" applyFont="1" applyBorder="1"/>
    <xf numFmtId="0" fontId="14" fillId="0" borderId="2" xfId="0" applyFont="1" applyBorder="1" applyAlignment="1">
      <alignment horizontal="left" vertical="center"/>
    </xf>
    <xf numFmtId="0" fontId="14" fillId="0" borderId="1" xfId="0" quotePrefix="1" applyFont="1" applyBorder="1" applyAlignment="1">
      <alignment horizontal="left"/>
    </xf>
    <xf numFmtId="0" fontId="0" fillId="0" borderId="1" xfId="0" applyBorder="1" applyAlignment="1">
      <alignment vertical="top"/>
    </xf>
    <xf numFmtId="0" fontId="14" fillId="0" borderId="4" xfId="0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14" fontId="0" fillId="0" borderId="1" xfId="0" applyNumberFormat="1" applyBorder="1"/>
    <xf numFmtId="0" fontId="0" fillId="0" borderId="1" xfId="0" quotePrefix="1" applyBorder="1"/>
    <xf numFmtId="0" fontId="14" fillId="13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9" borderId="1" xfId="0" applyFont="1" applyFill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4" fillId="0" borderId="2" xfId="0" applyFont="1" applyBorder="1" applyAlignment="1">
      <alignment vertical="center"/>
    </xf>
    <xf numFmtId="14" fontId="14" fillId="0" borderId="0" xfId="0" applyNumberFormat="1" applyFont="1"/>
    <xf numFmtId="1" fontId="0" fillId="0" borderId="1" xfId="0" applyNumberFormat="1" applyBorder="1"/>
    <xf numFmtId="0" fontId="14" fillId="0" borderId="2" xfId="0" quotePrefix="1" applyFont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14" fillId="0" borderId="4" xfId="0" applyFont="1" applyBorder="1"/>
    <xf numFmtId="1" fontId="0" fillId="0" borderId="1" xfId="0" applyNumberFormat="1" applyBorder="1" applyAlignment="1">
      <alignment horizontal="left" vertical="top"/>
    </xf>
    <xf numFmtId="0" fontId="14" fillId="0" borderId="0" xfId="0" applyFont="1" applyAlignment="1">
      <alignment horizontal="left"/>
    </xf>
  </cellXfs>
  <cellStyles count="3">
    <cellStyle name="Comma 2" xfId="1" xr:uid="{BABCCA5C-C37C-4046-93AB-B99FA7E67628}"/>
    <cellStyle name="Normal" xfId="0" builtinId="0"/>
    <cellStyle name="Normal 2 2" xfId="2" xr:uid="{E45EEDCF-890B-4EB1-A337-D945674B2808}"/>
  </cellStyles>
  <dxfs count="1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51F5-C6DB-4D05-8881-19F10B1B2B24}">
  <dimension ref="A1:AC767"/>
  <sheetViews>
    <sheetView topLeftCell="A747" workbookViewId="0">
      <selection activeCell="C767" sqref="C767"/>
    </sheetView>
  </sheetViews>
  <sheetFormatPr defaultRowHeight="14.25"/>
  <cols>
    <col min="1" max="1" width="7.7109375" style="200" customWidth="1"/>
    <col min="2" max="2" width="14.5703125" style="113" bestFit="1" customWidth="1"/>
    <col min="3" max="3" width="15.7109375" style="113" bestFit="1" customWidth="1"/>
    <col min="4" max="5" width="9.140625" style="113"/>
    <col min="6" max="6" width="16.28515625" style="113" customWidth="1"/>
    <col min="7" max="7" width="5.140625" style="200" customWidth="1"/>
    <col min="8" max="8" width="43.42578125" style="200" customWidth="1"/>
    <col min="9" max="9" width="14.85546875" style="200" bestFit="1" customWidth="1"/>
    <col min="10" max="10" width="13.7109375" style="200" customWidth="1"/>
    <col min="11" max="11" width="20.5703125" style="200" customWidth="1"/>
    <col min="12" max="12" width="20.42578125" style="113" customWidth="1"/>
    <col min="13" max="13" width="9.28515625" style="200" customWidth="1"/>
    <col min="14" max="14" width="14.5703125" style="200" customWidth="1"/>
    <col min="15" max="15" width="11.85546875" style="194" customWidth="1"/>
    <col min="16" max="16" width="18.28515625" style="113" customWidth="1"/>
    <col min="17" max="17" width="17.7109375" style="113" bestFit="1" customWidth="1"/>
    <col min="18" max="18" width="7.5703125" style="113" customWidth="1"/>
    <col min="19" max="19" width="6.85546875" style="113" customWidth="1"/>
    <col min="20" max="20" width="10.42578125" style="113" customWidth="1"/>
    <col min="21" max="21" width="10.5703125" style="113" customWidth="1"/>
    <col min="22" max="23" width="9.140625" style="113"/>
    <col min="24" max="24" width="12.7109375" style="113" customWidth="1"/>
    <col min="25" max="25" width="11.42578125" style="113" customWidth="1"/>
    <col min="26" max="16384" width="9.140625" style="113"/>
  </cols>
  <sheetData>
    <row r="1" spans="1:28" s="107" customFormat="1" ht="48.75" customHeight="1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  <c r="G1" s="104" t="s">
        <v>6</v>
      </c>
      <c r="H1" s="104" t="s">
        <v>7</v>
      </c>
      <c r="I1" s="104" t="s">
        <v>8</v>
      </c>
      <c r="J1" s="104" t="s">
        <v>4253</v>
      </c>
      <c r="K1" s="104" t="s">
        <v>9</v>
      </c>
      <c r="L1" s="105" t="s">
        <v>10</v>
      </c>
      <c r="M1" s="104" t="s">
        <v>11</v>
      </c>
      <c r="N1" s="104" t="s">
        <v>12</v>
      </c>
      <c r="O1" s="106" t="s">
        <v>13</v>
      </c>
      <c r="P1" s="105" t="s">
        <v>14</v>
      </c>
      <c r="Q1" s="104" t="s">
        <v>15</v>
      </c>
      <c r="R1" s="104" t="s">
        <v>16</v>
      </c>
      <c r="S1" s="104" t="s">
        <v>17</v>
      </c>
      <c r="T1" s="104" t="s">
        <v>18</v>
      </c>
      <c r="U1" s="104" t="s">
        <v>19</v>
      </c>
      <c r="V1" s="104" t="s">
        <v>20</v>
      </c>
      <c r="W1" s="104" t="s">
        <v>21</v>
      </c>
      <c r="X1" s="104" t="s">
        <v>22</v>
      </c>
      <c r="Y1" s="104" t="s">
        <v>23</v>
      </c>
    </row>
    <row r="2" spans="1:28">
      <c r="A2" s="108">
        <v>1</v>
      </c>
      <c r="B2" s="108"/>
      <c r="C2" s="109">
        <v>46022</v>
      </c>
      <c r="D2" s="110" t="s">
        <v>28</v>
      </c>
      <c r="E2" s="110" t="s">
        <v>4254</v>
      </c>
      <c r="F2" s="110" t="s">
        <v>30</v>
      </c>
      <c r="G2" s="110">
        <v>12</v>
      </c>
      <c r="H2" s="110" t="s">
        <v>4255</v>
      </c>
      <c r="I2" s="110" t="s">
        <v>4256</v>
      </c>
      <c r="J2" s="110"/>
      <c r="K2" s="110" t="s">
        <v>4257</v>
      </c>
      <c r="L2" s="110" t="s">
        <v>4258</v>
      </c>
      <c r="M2" s="110">
        <v>2276.1799999999998</v>
      </c>
      <c r="N2" s="110">
        <v>2276.1799999999998</v>
      </c>
      <c r="O2" s="111">
        <v>46025</v>
      </c>
      <c r="P2" s="112" t="s">
        <v>36</v>
      </c>
      <c r="Q2" s="110" t="s">
        <v>52</v>
      </c>
      <c r="R2" s="110" t="s">
        <v>27</v>
      </c>
      <c r="S2" s="110">
        <v>2277</v>
      </c>
      <c r="T2" s="110">
        <f t="shared" ref="T2:T65" si="0">N2-S2</f>
        <v>-0.82000000000016371</v>
      </c>
      <c r="U2" s="111">
        <v>46025</v>
      </c>
      <c r="V2" s="110" t="s">
        <v>4259</v>
      </c>
      <c r="W2" s="110" t="s">
        <v>54</v>
      </c>
      <c r="X2" s="110" t="s">
        <v>36</v>
      </c>
      <c r="Y2" s="110" t="s">
        <v>36</v>
      </c>
      <c r="AA2" s="113" t="e">
        <v>#N/A</v>
      </c>
      <c r="AB2" s="113" t="e">
        <v>#N/A</v>
      </c>
    </row>
    <row r="3" spans="1:28">
      <c r="A3" s="108">
        <v>2</v>
      </c>
      <c r="B3" s="108"/>
      <c r="C3" s="109">
        <v>46022</v>
      </c>
      <c r="D3" s="110" t="s">
        <v>28</v>
      </c>
      <c r="E3" s="110" t="s">
        <v>4254</v>
      </c>
      <c r="F3" s="110" t="s">
        <v>30</v>
      </c>
      <c r="G3" s="110">
        <v>12</v>
      </c>
      <c r="H3" s="110" t="s">
        <v>220</v>
      </c>
      <c r="I3" s="110" t="s">
        <v>4260</v>
      </c>
      <c r="J3" s="110"/>
      <c r="K3" s="110" t="s">
        <v>221</v>
      </c>
      <c r="L3" s="110" t="s">
        <v>222</v>
      </c>
      <c r="M3" s="110">
        <v>21886.39</v>
      </c>
      <c r="N3" s="110">
        <v>21886.39</v>
      </c>
      <c r="O3" s="111"/>
      <c r="P3" s="112" t="s">
        <v>27</v>
      </c>
      <c r="Q3" s="110" t="s">
        <v>35</v>
      </c>
      <c r="R3" s="110" t="s">
        <v>27</v>
      </c>
      <c r="S3" s="110"/>
      <c r="T3" s="110">
        <f t="shared" si="0"/>
        <v>21886.39</v>
      </c>
      <c r="U3" s="110"/>
      <c r="V3" s="110"/>
      <c r="W3" s="110"/>
      <c r="X3" s="110" t="s">
        <v>69</v>
      </c>
      <c r="Y3" s="110" t="s">
        <v>69</v>
      </c>
      <c r="AA3" s="113" t="e">
        <v>#N/A</v>
      </c>
      <c r="AB3" s="113" t="e">
        <v>#N/A</v>
      </c>
    </row>
    <row r="4" spans="1:28">
      <c r="A4" s="108">
        <v>3</v>
      </c>
      <c r="B4" s="108"/>
      <c r="C4" s="109">
        <v>46022</v>
      </c>
      <c r="D4" s="110" t="s">
        <v>28</v>
      </c>
      <c r="E4" s="110" t="s">
        <v>4254</v>
      </c>
      <c r="F4" s="110" t="s">
        <v>30</v>
      </c>
      <c r="G4" s="110">
        <v>12</v>
      </c>
      <c r="H4" s="110" t="s">
        <v>4261</v>
      </c>
      <c r="I4" s="110" t="s">
        <v>4262</v>
      </c>
      <c r="J4" s="110"/>
      <c r="K4" s="110" t="s">
        <v>4263</v>
      </c>
      <c r="L4" s="110" t="s">
        <v>4264</v>
      </c>
      <c r="M4" s="110">
        <v>2483.6</v>
      </c>
      <c r="N4" s="110">
        <v>2483.6</v>
      </c>
      <c r="O4" s="111"/>
      <c r="P4" s="112" t="s">
        <v>27</v>
      </c>
      <c r="Q4" s="110" t="s">
        <v>35</v>
      </c>
      <c r="R4" s="110" t="s">
        <v>27</v>
      </c>
      <c r="S4" s="110"/>
      <c r="T4" s="110">
        <f t="shared" si="0"/>
        <v>2483.6</v>
      </c>
      <c r="U4" s="110"/>
      <c r="V4" s="110"/>
      <c r="W4" s="110"/>
      <c r="X4" s="110" t="s">
        <v>124</v>
      </c>
      <c r="Y4" s="110" t="s">
        <v>124</v>
      </c>
      <c r="AA4" s="113" t="e">
        <v>#N/A</v>
      </c>
      <c r="AB4" s="113" t="e">
        <v>#N/A</v>
      </c>
    </row>
    <row r="5" spans="1:28">
      <c r="A5" s="108">
        <v>4</v>
      </c>
      <c r="B5" s="108"/>
      <c r="C5" s="109">
        <v>46022</v>
      </c>
      <c r="D5" s="110" t="s">
        <v>28</v>
      </c>
      <c r="E5" s="110" t="s">
        <v>4254</v>
      </c>
      <c r="F5" s="110" t="s">
        <v>30</v>
      </c>
      <c r="G5" s="110">
        <v>12</v>
      </c>
      <c r="H5" s="110" t="s">
        <v>4265</v>
      </c>
      <c r="I5" s="110" t="s">
        <v>4266</v>
      </c>
      <c r="J5" s="110"/>
      <c r="K5" s="110" t="s">
        <v>4267</v>
      </c>
      <c r="L5" s="110" t="s">
        <v>4268</v>
      </c>
      <c r="M5" s="110">
        <v>2505.81</v>
      </c>
      <c r="N5" s="110">
        <v>2505.81</v>
      </c>
      <c r="O5" s="111"/>
      <c r="P5" s="112" t="s">
        <v>27</v>
      </c>
      <c r="Q5" s="110" t="s">
        <v>35</v>
      </c>
      <c r="R5" s="110" t="s">
        <v>27</v>
      </c>
      <c r="S5" s="110"/>
      <c r="T5" s="110">
        <f t="shared" si="0"/>
        <v>2505.81</v>
      </c>
      <c r="U5" s="110"/>
      <c r="V5" s="110"/>
      <c r="W5" s="110"/>
      <c r="X5" s="110" t="s">
        <v>124</v>
      </c>
      <c r="Y5" s="110" t="s">
        <v>124</v>
      </c>
      <c r="AA5" s="113" t="e">
        <v>#N/A</v>
      </c>
      <c r="AB5" s="113" t="e">
        <v>#N/A</v>
      </c>
    </row>
    <row r="6" spans="1:28">
      <c r="A6" s="108">
        <v>5</v>
      </c>
      <c r="B6" s="108"/>
      <c r="C6" s="109">
        <v>46022</v>
      </c>
      <c r="D6" s="110" t="s">
        <v>28</v>
      </c>
      <c r="E6" s="110" t="s">
        <v>4254</v>
      </c>
      <c r="F6" s="110" t="s">
        <v>30</v>
      </c>
      <c r="G6" s="110">
        <v>12</v>
      </c>
      <c r="H6" s="110" t="s">
        <v>4269</v>
      </c>
      <c r="I6" s="110" t="s">
        <v>4270</v>
      </c>
      <c r="J6" s="110"/>
      <c r="K6" s="110" t="s">
        <v>4271</v>
      </c>
      <c r="L6" s="110" t="s">
        <v>4272</v>
      </c>
      <c r="M6" s="110">
        <v>16889.97</v>
      </c>
      <c r="N6" s="110">
        <v>16889.97</v>
      </c>
      <c r="O6" s="111"/>
      <c r="P6" s="112" t="s">
        <v>27</v>
      </c>
      <c r="Q6" s="110" t="s">
        <v>35</v>
      </c>
      <c r="R6" s="110" t="s">
        <v>27</v>
      </c>
      <c r="S6" s="110"/>
      <c r="T6" s="110">
        <f t="shared" si="0"/>
        <v>16889.97</v>
      </c>
      <c r="U6" s="110"/>
      <c r="V6" s="110"/>
      <c r="W6" s="110"/>
      <c r="X6" s="110" t="s">
        <v>76</v>
      </c>
      <c r="Y6" s="110" t="s">
        <v>76</v>
      </c>
      <c r="AA6" s="113" t="e">
        <v>#N/A</v>
      </c>
      <c r="AB6" s="113" t="e">
        <v>#N/A</v>
      </c>
    </row>
    <row r="7" spans="1:28">
      <c r="A7" s="108">
        <v>6</v>
      </c>
      <c r="B7" s="108"/>
      <c r="C7" s="109">
        <v>46022</v>
      </c>
      <c r="D7" s="110" t="s">
        <v>28</v>
      </c>
      <c r="E7" s="110" t="s">
        <v>4254</v>
      </c>
      <c r="F7" s="110" t="s">
        <v>30</v>
      </c>
      <c r="G7" s="110">
        <v>12</v>
      </c>
      <c r="H7" s="110" t="s">
        <v>4273</v>
      </c>
      <c r="I7" s="110" t="s">
        <v>4274</v>
      </c>
      <c r="J7" s="110"/>
      <c r="K7" s="110" t="s">
        <v>4275</v>
      </c>
      <c r="L7" s="110" t="s">
        <v>4276</v>
      </c>
      <c r="M7" s="110">
        <v>2544.06</v>
      </c>
      <c r="N7" s="110">
        <v>2544.06</v>
      </c>
      <c r="O7" s="111"/>
      <c r="P7" s="112" t="s">
        <v>27</v>
      </c>
      <c r="Q7" s="110" t="s">
        <v>35</v>
      </c>
      <c r="R7" s="110" t="s">
        <v>27</v>
      </c>
      <c r="S7" s="110"/>
      <c r="T7" s="110">
        <f t="shared" si="0"/>
        <v>2544.06</v>
      </c>
      <c r="U7" s="110"/>
      <c r="V7" s="110"/>
      <c r="W7" s="110"/>
      <c r="X7" s="110" t="s">
        <v>76</v>
      </c>
      <c r="Y7" s="110" t="s">
        <v>76</v>
      </c>
      <c r="AA7" s="113" t="e">
        <v>#N/A</v>
      </c>
      <c r="AB7" s="113" t="e">
        <v>#N/A</v>
      </c>
    </row>
    <row r="8" spans="1:28">
      <c r="A8" s="108">
        <v>7</v>
      </c>
      <c r="B8" s="108"/>
      <c r="C8" s="109">
        <v>46022</v>
      </c>
      <c r="D8" s="110" t="s">
        <v>28</v>
      </c>
      <c r="E8" s="110" t="s">
        <v>4254</v>
      </c>
      <c r="F8" s="110" t="s">
        <v>30</v>
      </c>
      <c r="G8" s="110">
        <v>12</v>
      </c>
      <c r="H8" s="110" t="s">
        <v>4277</v>
      </c>
      <c r="I8" s="110" t="s">
        <v>4278</v>
      </c>
      <c r="J8" s="110"/>
      <c r="K8" s="110" t="s">
        <v>4279</v>
      </c>
      <c r="L8" s="110" t="s">
        <v>4280</v>
      </c>
      <c r="M8" s="110">
        <v>2580.1799999999998</v>
      </c>
      <c r="N8" s="110">
        <v>2580.1799999999998</v>
      </c>
      <c r="O8" s="111"/>
      <c r="P8" s="112" t="s">
        <v>27</v>
      </c>
      <c r="Q8" s="110" t="s">
        <v>35</v>
      </c>
      <c r="R8" s="110" t="s">
        <v>27</v>
      </c>
      <c r="S8" s="110"/>
      <c r="T8" s="110">
        <f t="shared" si="0"/>
        <v>2580.1799999999998</v>
      </c>
      <c r="U8" s="110"/>
      <c r="V8" s="110"/>
      <c r="W8" s="110"/>
      <c r="X8" s="110" t="s">
        <v>37</v>
      </c>
      <c r="Y8" s="110" t="s">
        <v>37</v>
      </c>
      <c r="AA8" s="113" t="e">
        <v>#N/A</v>
      </c>
      <c r="AB8" s="113" t="e">
        <v>#N/A</v>
      </c>
    </row>
    <row r="9" spans="1:28">
      <c r="A9" s="108">
        <v>8</v>
      </c>
      <c r="B9" s="108"/>
      <c r="C9" s="109">
        <v>46022</v>
      </c>
      <c r="D9" s="110" t="s">
        <v>28</v>
      </c>
      <c r="E9" s="110" t="s">
        <v>4254</v>
      </c>
      <c r="F9" s="110" t="s">
        <v>30</v>
      </c>
      <c r="G9" s="110">
        <v>12</v>
      </c>
      <c r="H9" s="110" t="s">
        <v>185</v>
      </c>
      <c r="I9" s="110" t="s">
        <v>4281</v>
      </c>
      <c r="J9" s="110"/>
      <c r="K9" s="110" t="s">
        <v>4282</v>
      </c>
      <c r="L9" s="110"/>
      <c r="M9" s="110">
        <v>11921.47</v>
      </c>
      <c r="N9" s="110">
        <v>11921.47</v>
      </c>
      <c r="O9" s="111"/>
      <c r="P9" s="112" t="s">
        <v>27</v>
      </c>
      <c r="Q9" s="110" t="s">
        <v>35</v>
      </c>
      <c r="R9" s="110" t="s">
        <v>27</v>
      </c>
      <c r="S9" s="110"/>
      <c r="T9" s="110">
        <f t="shared" si="0"/>
        <v>11921.47</v>
      </c>
      <c r="U9" s="110"/>
      <c r="V9" s="110"/>
      <c r="W9" s="110"/>
      <c r="X9" s="110" t="s">
        <v>89</v>
      </c>
      <c r="Y9" s="110" t="s">
        <v>89</v>
      </c>
      <c r="AA9" s="113" t="e">
        <v>#N/A</v>
      </c>
      <c r="AB9" s="113" t="e">
        <v>#N/A</v>
      </c>
    </row>
    <row r="10" spans="1:28">
      <c r="A10" s="108">
        <v>9</v>
      </c>
      <c r="B10" s="108"/>
      <c r="C10" s="109">
        <v>46022</v>
      </c>
      <c r="D10" s="110" t="s">
        <v>28</v>
      </c>
      <c r="E10" s="110" t="s">
        <v>4254</v>
      </c>
      <c r="F10" s="110" t="s">
        <v>30</v>
      </c>
      <c r="G10" s="110">
        <v>12</v>
      </c>
      <c r="H10" s="110" t="s">
        <v>4283</v>
      </c>
      <c r="I10" s="110" t="s">
        <v>4284</v>
      </c>
      <c r="J10" s="110"/>
      <c r="K10" s="110" t="s">
        <v>4285</v>
      </c>
      <c r="L10" s="110"/>
      <c r="M10" s="110">
        <v>11232.88</v>
      </c>
      <c r="N10" s="110">
        <v>11232.88</v>
      </c>
      <c r="O10" s="111"/>
      <c r="P10" s="112" t="s">
        <v>27</v>
      </c>
      <c r="Q10" s="110" t="s">
        <v>35</v>
      </c>
      <c r="R10" s="110" t="s">
        <v>27</v>
      </c>
      <c r="S10" s="110"/>
      <c r="T10" s="110">
        <f t="shared" si="0"/>
        <v>11232.88</v>
      </c>
      <c r="U10" s="110"/>
      <c r="V10" s="110"/>
      <c r="W10" s="110"/>
      <c r="X10" s="110" t="s">
        <v>37</v>
      </c>
      <c r="Y10" s="110" t="s">
        <v>37</v>
      </c>
      <c r="AA10" s="113" t="e">
        <v>#N/A</v>
      </c>
      <c r="AB10" s="113" t="e">
        <v>#N/A</v>
      </c>
    </row>
    <row r="11" spans="1:28">
      <c r="A11" s="108">
        <v>10</v>
      </c>
      <c r="B11" s="108"/>
      <c r="C11" s="109">
        <v>46022</v>
      </c>
      <c r="D11" s="110" t="s">
        <v>28</v>
      </c>
      <c r="E11" s="110" t="s">
        <v>4254</v>
      </c>
      <c r="F11" s="110" t="s">
        <v>30</v>
      </c>
      <c r="G11" s="110">
        <v>12</v>
      </c>
      <c r="H11" s="110" t="s">
        <v>4286</v>
      </c>
      <c r="I11" s="110" t="s">
        <v>4287</v>
      </c>
      <c r="J11" s="110"/>
      <c r="K11" s="110" t="s">
        <v>4288</v>
      </c>
      <c r="L11" s="110" t="s">
        <v>4289</v>
      </c>
      <c r="M11" s="110">
        <v>2828.87</v>
      </c>
      <c r="N11" s="110">
        <v>2828.87</v>
      </c>
      <c r="O11" s="111"/>
      <c r="P11" s="112" t="s">
        <v>27</v>
      </c>
      <c r="Q11" s="110" t="s">
        <v>35</v>
      </c>
      <c r="R11" s="110" t="s">
        <v>27</v>
      </c>
      <c r="S11" s="110"/>
      <c r="T11" s="110">
        <f t="shared" si="0"/>
        <v>2828.87</v>
      </c>
      <c r="U11" s="110"/>
      <c r="V11" s="110"/>
      <c r="W11" s="110"/>
      <c r="X11" s="110" t="s">
        <v>82</v>
      </c>
      <c r="Y11" s="110" t="s">
        <v>82</v>
      </c>
      <c r="AA11" s="113" t="e">
        <v>#N/A</v>
      </c>
      <c r="AB11" s="113" t="e">
        <v>#N/A</v>
      </c>
    </row>
    <row r="12" spans="1:28">
      <c r="A12" s="108">
        <v>11</v>
      </c>
      <c r="B12" s="108"/>
      <c r="C12" s="109">
        <v>46022</v>
      </c>
      <c r="D12" s="110" t="s">
        <v>28</v>
      </c>
      <c r="E12" s="110" t="s">
        <v>4254</v>
      </c>
      <c r="F12" s="110" t="s">
        <v>30</v>
      </c>
      <c r="G12" s="110">
        <v>12</v>
      </c>
      <c r="H12" s="110" t="s">
        <v>4290</v>
      </c>
      <c r="I12" s="110" t="s">
        <v>4291</v>
      </c>
      <c r="J12" s="110"/>
      <c r="K12" s="110" t="s">
        <v>4292</v>
      </c>
      <c r="L12" s="110" t="s">
        <v>4293</v>
      </c>
      <c r="M12" s="110">
        <v>2843.01</v>
      </c>
      <c r="N12" s="110">
        <v>2843.01</v>
      </c>
      <c r="O12" s="111"/>
      <c r="P12" s="112" t="s">
        <v>27</v>
      </c>
      <c r="Q12" s="110" t="s">
        <v>35</v>
      </c>
      <c r="R12" s="110" t="s">
        <v>27</v>
      </c>
      <c r="S12" s="110"/>
      <c r="T12" s="110">
        <f t="shared" si="0"/>
        <v>2843.01</v>
      </c>
      <c r="U12" s="110"/>
      <c r="V12" s="110"/>
      <c r="W12" s="110"/>
      <c r="X12" s="110" t="s">
        <v>89</v>
      </c>
      <c r="Y12" s="110" t="s">
        <v>89</v>
      </c>
      <c r="AA12" s="113" t="e">
        <v>#N/A</v>
      </c>
      <c r="AB12" s="113" t="e">
        <v>#N/A</v>
      </c>
    </row>
    <row r="13" spans="1:28">
      <c r="A13" s="108">
        <v>12</v>
      </c>
      <c r="B13" s="108"/>
      <c r="C13" s="109">
        <v>46022</v>
      </c>
      <c r="D13" s="110" t="s">
        <v>28</v>
      </c>
      <c r="E13" s="110" t="s">
        <v>4254</v>
      </c>
      <c r="F13" s="110" t="s">
        <v>30</v>
      </c>
      <c r="G13" s="110">
        <v>12</v>
      </c>
      <c r="H13" s="110" t="s">
        <v>4294</v>
      </c>
      <c r="I13" s="110" t="s">
        <v>4295</v>
      </c>
      <c r="J13" s="110"/>
      <c r="K13" s="110" t="s">
        <v>4296</v>
      </c>
      <c r="L13" s="110" t="s">
        <v>4297</v>
      </c>
      <c r="M13" s="110">
        <v>2843.48</v>
      </c>
      <c r="N13" s="110">
        <v>2843.48</v>
      </c>
      <c r="O13" s="111"/>
      <c r="P13" s="112" t="s">
        <v>27</v>
      </c>
      <c r="Q13" s="110" t="s">
        <v>35</v>
      </c>
      <c r="R13" s="110" t="s">
        <v>27</v>
      </c>
      <c r="S13" s="110"/>
      <c r="T13" s="110">
        <f t="shared" si="0"/>
        <v>2843.48</v>
      </c>
      <c r="U13" s="110"/>
      <c r="V13" s="110"/>
      <c r="W13" s="110"/>
      <c r="X13" s="110" t="s">
        <v>89</v>
      </c>
      <c r="Y13" s="110" t="s">
        <v>89</v>
      </c>
      <c r="AA13" s="113" t="e">
        <v>#N/A</v>
      </c>
      <c r="AB13" s="113" t="e">
        <v>#N/A</v>
      </c>
    </row>
    <row r="14" spans="1:28">
      <c r="A14" s="108">
        <v>13</v>
      </c>
      <c r="B14" s="108"/>
      <c r="C14" s="109">
        <v>46022</v>
      </c>
      <c r="D14" s="110" t="s">
        <v>28</v>
      </c>
      <c r="E14" s="110" t="s">
        <v>4254</v>
      </c>
      <c r="F14" s="110" t="s">
        <v>30</v>
      </c>
      <c r="G14" s="110">
        <v>12</v>
      </c>
      <c r="H14" s="110" t="s">
        <v>191</v>
      </c>
      <c r="I14" s="110" t="s">
        <v>4298</v>
      </c>
      <c r="J14" s="110"/>
      <c r="K14" s="110" t="s">
        <v>193</v>
      </c>
      <c r="L14" s="110" t="s">
        <v>194</v>
      </c>
      <c r="M14" s="110">
        <v>10159.91</v>
      </c>
      <c r="N14" s="110">
        <v>10159.91</v>
      </c>
      <c r="O14" s="111"/>
      <c r="P14" s="112" t="s">
        <v>27</v>
      </c>
      <c r="Q14" s="110" t="s">
        <v>35</v>
      </c>
      <c r="R14" s="110" t="s">
        <v>27</v>
      </c>
      <c r="S14" s="110"/>
      <c r="T14" s="110">
        <f t="shared" si="0"/>
        <v>10159.91</v>
      </c>
      <c r="U14" s="110"/>
      <c r="V14" s="110"/>
      <c r="W14" s="110"/>
      <c r="X14" s="110" t="s">
        <v>69</v>
      </c>
      <c r="Y14" s="110" t="s">
        <v>69</v>
      </c>
      <c r="AA14" s="113" t="e">
        <v>#N/A</v>
      </c>
      <c r="AB14" s="113" t="e">
        <v>#N/A</v>
      </c>
    </row>
    <row r="15" spans="1:28">
      <c r="A15" s="108">
        <v>14</v>
      </c>
      <c r="B15" s="108"/>
      <c r="C15" s="109">
        <v>46022</v>
      </c>
      <c r="D15" s="110" t="s">
        <v>28</v>
      </c>
      <c r="E15" s="110" t="s">
        <v>4254</v>
      </c>
      <c r="F15" s="110" t="s">
        <v>30</v>
      </c>
      <c r="G15" s="110">
        <v>12</v>
      </c>
      <c r="H15" s="110" t="s">
        <v>4299</v>
      </c>
      <c r="I15" s="110" t="s">
        <v>4300</v>
      </c>
      <c r="J15" s="110"/>
      <c r="K15" s="110" t="s">
        <v>4301</v>
      </c>
      <c r="L15" s="110" t="s">
        <v>4302</v>
      </c>
      <c r="M15" s="110">
        <v>9773.86</v>
      </c>
      <c r="N15" s="110">
        <v>9773.86</v>
      </c>
      <c r="O15" s="111"/>
      <c r="P15" s="112" t="s">
        <v>27</v>
      </c>
      <c r="Q15" s="110" t="s">
        <v>35</v>
      </c>
      <c r="R15" s="110" t="s">
        <v>27</v>
      </c>
      <c r="S15" s="110"/>
      <c r="T15" s="110">
        <f t="shared" si="0"/>
        <v>9773.86</v>
      </c>
      <c r="U15" s="110"/>
      <c r="V15" s="110"/>
      <c r="W15" s="110"/>
      <c r="X15" s="110" t="s">
        <v>82</v>
      </c>
      <c r="Y15" s="110" t="s">
        <v>82</v>
      </c>
      <c r="AA15" s="113" t="e">
        <v>#N/A</v>
      </c>
      <c r="AB15" s="113" t="e">
        <v>#N/A</v>
      </c>
    </row>
    <row r="16" spans="1:28">
      <c r="A16" s="108">
        <v>15</v>
      </c>
      <c r="B16" s="108"/>
      <c r="C16" s="109">
        <v>46022</v>
      </c>
      <c r="D16" s="110" t="s">
        <v>28</v>
      </c>
      <c r="E16" s="110" t="s">
        <v>4254</v>
      </c>
      <c r="F16" s="110" t="s">
        <v>30</v>
      </c>
      <c r="G16" s="110">
        <v>12</v>
      </c>
      <c r="H16" s="110" t="s">
        <v>4303</v>
      </c>
      <c r="I16" s="110" t="s">
        <v>4304</v>
      </c>
      <c r="J16" s="110"/>
      <c r="K16" s="110" t="s">
        <v>4305</v>
      </c>
      <c r="L16" s="110" t="s">
        <v>4306</v>
      </c>
      <c r="M16" s="110">
        <v>8304.1299999999992</v>
      </c>
      <c r="N16" s="110">
        <v>8304.1299999999992</v>
      </c>
      <c r="O16" s="111"/>
      <c r="P16" s="112" t="s">
        <v>27</v>
      </c>
      <c r="Q16" s="110" t="s">
        <v>35</v>
      </c>
      <c r="R16" s="110" t="s">
        <v>27</v>
      </c>
      <c r="S16" s="110"/>
      <c r="T16" s="110">
        <f t="shared" si="0"/>
        <v>8304.1299999999992</v>
      </c>
      <c r="U16" s="110"/>
      <c r="V16" s="110"/>
      <c r="W16" s="110"/>
      <c r="X16" s="110" t="s">
        <v>76</v>
      </c>
      <c r="Y16" s="110" t="s">
        <v>76</v>
      </c>
      <c r="AA16" s="113" t="e">
        <v>#N/A</v>
      </c>
      <c r="AB16" s="113" t="e">
        <v>#N/A</v>
      </c>
    </row>
    <row r="17" spans="1:28">
      <c r="A17" s="108">
        <v>16</v>
      </c>
      <c r="B17" s="108"/>
      <c r="C17" s="109">
        <v>46022</v>
      </c>
      <c r="D17" s="110" t="s">
        <v>28</v>
      </c>
      <c r="E17" s="110" t="s">
        <v>4254</v>
      </c>
      <c r="F17" s="110" t="s">
        <v>30</v>
      </c>
      <c r="G17" s="110">
        <v>12</v>
      </c>
      <c r="H17" s="110" t="s">
        <v>4307</v>
      </c>
      <c r="I17" s="110" t="s">
        <v>4308</v>
      </c>
      <c r="J17" s="110"/>
      <c r="K17" s="110" t="s">
        <v>4309</v>
      </c>
      <c r="L17" s="110" t="s">
        <v>4310</v>
      </c>
      <c r="M17" s="110">
        <v>3119.17</v>
      </c>
      <c r="N17" s="110">
        <v>3119.17</v>
      </c>
      <c r="O17" s="111"/>
      <c r="P17" s="112" t="s">
        <v>27</v>
      </c>
      <c r="Q17" s="110" t="s">
        <v>35</v>
      </c>
      <c r="R17" s="110" t="s">
        <v>27</v>
      </c>
      <c r="S17" s="110"/>
      <c r="T17" s="110">
        <f t="shared" si="0"/>
        <v>3119.17</v>
      </c>
      <c r="U17" s="110"/>
      <c r="V17" s="110"/>
      <c r="W17" s="110"/>
      <c r="X17" s="110" t="s">
        <v>89</v>
      </c>
      <c r="Y17" s="110" t="s">
        <v>89</v>
      </c>
      <c r="AA17" s="113" t="e">
        <v>#N/A</v>
      </c>
      <c r="AB17" s="113" t="e">
        <v>#N/A</v>
      </c>
    </row>
    <row r="18" spans="1:28">
      <c r="A18" s="108">
        <v>17</v>
      </c>
      <c r="B18" s="108"/>
      <c r="C18" s="109">
        <v>46022</v>
      </c>
      <c r="D18" s="110" t="s">
        <v>28</v>
      </c>
      <c r="E18" s="110" t="s">
        <v>4254</v>
      </c>
      <c r="F18" s="110" t="s">
        <v>30</v>
      </c>
      <c r="G18" s="110">
        <v>12</v>
      </c>
      <c r="H18" s="110" t="s">
        <v>4311</v>
      </c>
      <c r="I18" s="110" t="s">
        <v>4312</v>
      </c>
      <c r="J18" s="110"/>
      <c r="K18" s="110" t="s">
        <v>4313</v>
      </c>
      <c r="L18" s="110" t="s">
        <v>4314</v>
      </c>
      <c r="M18" s="110">
        <v>3300.57</v>
      </c>
      <c r="N18" s="110">
        <v>3300.57</v>
      </c>
      <c r="O18" s="111"/>
      <c r="P18" s="112" t="s">
        <v>27</v>
      </c>
      <c r="Q18" s="110" t="s">
        <v>35</v>
      </c>
      <c r="R18" s="110" t="s">
        <v>27</v>
      </c>
      <c r="S18" s="110"/>
      <c r="T18" s="110">
        <f t="shared" si="0"/>
        <v>3300.57</v>
      </c>
      <c r="U18" s="110"/>
      <c r="V18" s="110"/>
      <c r="W18" s="110"/>
      <c r="X18" s="110" t="s">
        <v>82</v>
      </c>
      <c r="Y18" s="110" t="s">
        <v>82</v>
      </c>
      <c r="AA18" s="113" t="e">
        <v>#N/A</v>
      </c>
      <c r="AB18" s="113" t="e">
        <v>#N/A</v>
      </c>
    </row>
    <row r="19" spans="1:28">
      <c r="A19" s="108">
        <v>18</v>
      </c>
      <c r="B19" s="108"/>
      <c r="C19" s="109">
        <v>46022</v>
      </c>
      <c r="D19" s="110" t="s">
        <v>28</v>
      </c>
      <c r="E19" s="110" t="s">
        <v>4254</v>
      </c>
      <c r="F19" s="110" t="s">
        <v>30</v>
      </c>
      <c r="G19" s="110">
        <v>12</v>
      </c>
      <c r="H19" s="110" t="s">
        <v>4315</v>
      </c>
      <c r="I19" s="110" t="s">
        <v>4316</v>
      </c>
      <c r="J19" s="110"/>
      <c r="K19" s="110" t="s">
        <v>4317</v>
      </c>
      <c r="L19" s="110" t="s">
        <v>4318</v>
      </c>
      <c r="M19" s="110">
        <v>3458.72</v>
      </c>
      <c r="N19" s="110">
        <v>3458.72</v>
      </c>
      <c r="O19" s="111"/>
      <c r="P19" s="112" t="s">
        <v>27</v>
      </c>
      <c r="Q19" s="110" t="s">
        <v>35</v>
      </c>
      <c r="R19" s="110" t="s">
        <v>27</v>
      </c>
      <c r="S19" s="110"/>
      <c r="T19" s="110">
        <f t="shared" si="0"/>
        <v>3458.72</v>
      </c>
      <c r="U19" s="110"/>
      <c r="V19" s="110"/>
      <c r="W19" s="110"/>
      <c r="X19" s="110" t="s">
        <v>444</v>
      </c>
      <c r="Y19" s="110" t="s">
        <v>444</v>
      </c>
      <c r="AA19" s="113" t="e">
        <v>#N/A</v>
      </c>
      <c r="AB19" s="113" t="e">
        <v>#N/A</v>
      </c>
    </row>
    <row r="20" spans="1:28">
      <c r="A20" s="108">
        <v>19</v>
      </c>
      <c r="B20" s="108"/>
      <c r="C20" s="109">
        <v>46022</v>
      </c>
      <c r="D20" s="110" t="s">
        <v>28</v>
      </c>
      <c r="E20" s="110" t="s">
        <v>4254</v>
      </c>
      <c r="F20" s="110" t="s">
        <v>30</v>
      </c>
      <c r="G20" s="110">
        <v>12</v>
      </c>
      <c r="H20" s="110" t="s">
        <v>4319</v>
      </c>
      <c r="I20" s="110" t="s">
        <v>4320</v>
      </c>
      <c r="J20" s="110"/>
      <c r="K20" s="110" t="s">
        <v>4321</v>
      </c>
      <c r="L20" s="110" t="s">
        <v>4322</v>
      </c>
      <c r="M20" s="110">
        <v>5420.48</v>
      </c>
      <c r="N20" s="110">
        <v>5420.48</v>
      </c>
      <c r="O20" s="111"/>
      <c r="P20" s="112" t="s">
        <v>27</v>
      </c>
      <c r="Q20" s="110" t="s">
        <v>35</v>
      </c>
      <c r="R20" s="110" t="s">
        <v>27</v>
      </c>
      <c r="S20" s="110">
        <v>1000</v>
      </c>
      <c r="T20" s="110">
        <f t="shared" si="0"/>
        <v>4420.4799999999996</v>
      </c>
      <c r="U20" s="111">
        <v>46056</v>
      </c>
      <c r="V20" s="110" t="s">
        <v>4323</v>
      </c>
      <c r="W20" s="110" t="s">
        <v>54</v>
      </c>
      <c r="X20" s="110" t="s">
        <v>444</v>
      </c>
      <c r="Y20" s="110" t="s">
        <v>444</v>
      </c>
      <c r="AA20" s="113" t="e">
        <v>#N/A</v>
      </c>
      <c r="AB20" s="113" t="e">
        <v>#N/A</v>
      </c>
    </row>
    <row r="21" spans="1:28">
      <c r="A21" s="108">
        <v>20</v>
      </c>
      <c r="B21" s="108"/>
      <c r="C21" s="109">
        <v>46022</v>
      </c>
      <c r="D21" s="110" t="s">
        <v>28</v>
      </c>
      <c r="E21" s="110" t="s">
        <v>4254</v>
      </c>
      <c r="F21" s="110" t="s">
        <v>30</v>
      </c>
      <c r="G21" s="110">
        <v>12</v>
      </c>
      <c r="H21" s="110" t="s">
        <v>4324</v>
      </c>
      <c r="I21" s="110" t="s">
        <v>4325</v>
      </c>
      <c r="J21" s="110"/>
      <c r="K21" s="110" t="s">
        <v>4326</v>
      </c>
      <c r="L21" s="110" t="s">
        <v>4327</v>
      </c>
      <c r="M21" s="110">
        <v>4015.46</v>
      </c>
      <c r="N21" s="110">
        <v>4015.46</v>
      </c>
      <c r="O21" s="111"/>
      <c r="P21" s="112" t="s">
        <v>27</v>
      </c>
      <c r="Q21" s="110" t="s">
        <v>35</v>
      </c>
      <c r="R21" s="110" t="s">
        <v>27</v>
      </c>
      <c r="S21" s="110"/>
      <c r="T21" s="110">
        <f t="shared" si="0"/>
        <v>4015.46</v>
      </c>
      <c r="U21" s="110"/>
      <c r="V21" s="110"/>
      <c r="W21" s="110"/>
      <c r="X21" s="110" t="s">
        <v>117</v>
      </c>
      <c r="Y21" s="110" t="s">
        <v>117</v>
      </c>
      <c r="AA21" s="113" t="e">
        <v>#N/A</v>
      </c>
      <c r="AB21" s="113" t="e">
        <v>#N/A</v>
      </c>
    </row>
    <row r="22" spans="1:28">
      <c r="A22" s="108">
        <v>21</v>
      </c>
      <c r="B22" s="108"/>
      <c r="C22" s="109">
        <v>46022</v>
      </c>
      <c r="D22" s="110" t="s">
        <v>28</v>
      </c>
      <c r="E22" s="110" t="s">
        <v>4254</v>
      </c>
      <c r="F22" s="110" t="s">
        <v>30</v>
      </c>
      <c r="G22" s="110">
        <v>12</v>
      </c>
      <c r="H22" s="110" t="s">
        <v>4328</v>
      </c>
      <c r="I22" s="110" t="s">
        <v>4329</v>
      </c>
      <c r="J22" s="110"/>
      <c r="K22" s="110" t="s">
        <v>4330</v>
      </c>
      <c r="L22" s="110"/>
      <c r="M22" s="110">
        <v>5355.17</v>
      </c>
      <c r="N22" s="110">
        <v>5355.17</v>
      </c>
      <c r="O22" s="111"/>
      <c r="P22" s="112" t="s">
        <v>27</v>
      </c>
      <c r="Q22" s="110" t="s">
        <v>35</v>
      </c>
      <c r="R22" s="110" t="s">
        <v>27</v>
      </c>
      <c r="S22" s="110"/>
      <c r="T22" s="110">
        <f t="shared" si="0"/>
        <v>5355.17</v>
      </c>
      <c r="U22" s="110"/>
      <c r="V22" s="110"/>
      <c r="W22" s="110"/>
      <c r="X22" s="110" t="s">
        <v>36</v>
      </c>
      <c r="Y22" s="110" t="s">
        <v>36</v>
      </c>
      <c r="AA22" s="113" t="e">
        <v>#N/A</v>
      </c>
      <c r="AB22" s="113" t="e">
        <v>#N/A</v>
      </c>
    </row>
    <row r="23" spans="1:28">
      <c r="A23" s="108">
        <v>22</v>
      </c>
      <c r="B23" s="108"/>
      <c r="C23" s="109">
        <v>46022</v>
      </c>
      <c r="D23" s="110" t="s">
        <v>28</v>
      </c>
      <c r="E23" s="110" t="s">
        <v>4254</v>
      </c>
      <c r="F23" s="110" t="s">
        <v>30</v>
      </c>
      <c r="G23" s="110">
        <v>12</v>
      </c>
      <c r="H23" s="110" t="s">
        <v>4331</v>
      </c>
      <c r="I23" s="110" t="s">
        <v>4332</v>
      </c>
      <c r="J23" s="110"/>
      <c r="K23" s="110" t="s">
        <v>4333</v>
      </c>
      <c r="L23" s="110" t="s">
        <v>4334</v>
      </c>
      <c r="M23" s="110">
        <v>4902.8999999999996</v>
      </c>
      <c r="N23" s="110">
        <v>4902.8999999999996</v>
      </c>
      <c r="O23" s="111"/>
      <c r="P23" s="112" t="s">
        <v>27</v>
      </c>
      <c r="Q23" s="110" t="s">
        <v>35</v>
      </c>
      <c r="R23" s="110" t="s">
        <v>27</v>
      </c>
      <c r="S23" s="110"/>
      <c r="T23" s="110">
        <f t="shared" si="0"/>
        <v>4902.8999999999996</v>
      </c>
      <c r="U23" s="110"/>
      <c r="V23" s="110"/>
      <c r="W23" s="110"/>
      <c r="X23" s="110" t="s">
        <v>4335</v>
      </c>
      <c r="Y23" s="110" t="s">
        <v>4335</v>
      </c>
      <c r="AA23" s="113" t="e">
        <v>#N/A</v>
      </c>
      <c r="AB23" s="113" t="e">
        <v>#N/A</v>
      </c>
    </row>
    <row r="24" spans="1:28">
      <c r="A24" s="108">
        <v>23</v>
      </c>
      <c r="B24" s="108"/>
      <c r="C24" s="109">
        <v>46022</v>
      </c>
      <c r="D24" s="110" t="s">
        <v>28</v>
      </c>
      <c r="E24" s="110" t="s">
        <v>4254</v>
      </c>
      <c r="F24" s="110" t="s">
        <v>30</v>
      </c>
      <c r="G24" s="110">
        <v>12</v>
      </c>
      <c r="H24" s="110" t="s">
        <v>4336</v>
      </c>
      <c r="I24" s="110" t="s">
        <v>4337</v>
      </c>
      <c r="J24" s="110"/>
      <c r="K24" s="110" t="s">
        <v>4338</v>
      </c>
      <c r="L24" s="110" t="s">
        <v>4339</v>
      </c>
      <c r="M24" s="110">
        <v>4834.9399999999996</v>
      </c>
      <c r="N24" s="110">
        <v>4834.9399999999996</v>
      </c>
      <c r="O24" s="111"/>
      <c r="P24" s="112" t="s">
        <v>27</v>
      </c>
      <c r="Q24" s="110" t="s">
        <v>35</v>
      </c>
      <c r="R24" s="110" t="s">
        <v>27</v>
      </c>
      <c r="S24" s="110"/>
      <c r="T24" s="110">
        <f t="shared" si="0"/>
        <v>4834.9399999999996</v>
      </c>
      <c r="U24" s="110"/>
      <c r="V24" s="110"/>
      <c r="W24" s="110"/>
      <c r="X24" s="110" t="s">
        <v>444</v>
      </c>
      <c r="Y24" s="110" t="s">
        <v>444</v>
      </c>
      <c r="AA24" s="113" t="e">
        <v>#N/A</v>
      </c>
      <c r="AB24" s="113" t="e">
        <v>#N/A</v>
      </c>
    </row>
    <row r="25" spans="1:28">
      <c r="A25" s="108">
        <v>24</v>
      </c>
      <c r="B25" s="108"/>
      <c r="C25" s="109">
        <v>46022</v>
      </c>
      <c r="D25" s="110" t="s">
        <v>28</v>
      </c>
      <c r="E25" s="110" t="s">
        <v>4254</v>
      </c>
      <c r="F25" s="110" t="s">
        <v>30</v>
      </c>
      <c r="G25" s="110">
        <v>12</v>
      </c>
      <c r="H25" s="110" t="s">
        <v>4340</v>
      </c>
      <c r="I25" s="110" t="s">
        <v>4341</v>
      </c>
      <c r="J25" s="110"/>
      <c r="K25" s="110" t="s">
        <v>4342</v>
      </c>
      <c r="L25" s="110"/>
      <c r="M25" s="110">
        <v>4367.78</v>
      </c>
      <c r="N25" s="110">
        <v>4367.78</v>
      </c>
      <c r="O25" s="111"/>
      <c r="P25" s="112" t="s">
        <v>27</v>
      </c>
      <c r="Q25" s="110" t="s">
        <v>35</v>
      </c>
      <c r="R25" s="110" t="s">
        <v>27</v>
      </c>
      <c r="S25" s="110"/>
      <c r="T25" s="110">
        <f t="shared" si="0"/>
        <v>4367.78</v>
      </c>
      <c r="U25" s="110"/>
      <c r="V25" s="110"/>
      <c r="W25" s="110"/>
      <c r="X25" s="110" t="s">
        <v>76</v>
      </c>
      <c r="Y25" s="110" t="s">
        <v>76</v>
      </c>
      <c r="AA25" s="113" t="e">
        <v>#N/A</v>
      </c>
      <c r="AB25" s="113" t="e">
        <v>#N/A</v>
      </c>
    </row>
    <row r="26" spans="1:28">
      <c r="A26" s="108">
        <v>25</v>
      </c>
      <c r="B26" s="108"/>
      <c r="C26" s="109">
        <v>46022</v>
      </c>
      <c r="D26" s="110" t="s">
        <v>28</v>
      </c>
      <c r="E26" s="110" t="s">
        <v>4254</v>
      </c>
      <c r="F26" s="110" t="s">
        <v>30</v>
      </c>
      <c r="G26" s="110">
        <v>12</v>
      </c>
      <c r="H26" s="110" t="s">
        <v>4343</v>
      </c>
      <c r="I26" s="110" t="s">
        <v>4344</v>
      </c>
      <c r="J26" s="110"/>
      <c r="K26" s="110" t="s">
        <v>4345</v>
      </c>
      <c r="L26" s="110"/>
      <c r="M26" s="110">
        <v>4304.3599999999997</v>
      </c>
      <c r="N26" s="110">
        <v>4304.3599999999997</v>
      </c>
      <c r="O26" s="111"/>
      <c r="P26" s="112" t="s">
        <v>27</v>
      </c>
      <c r="Q26" s="110" t="s">
        <v>35</v>
      </c>
      <c r="R26" s="110" t="s">
        <v>27</v>
      </c>
      <c r="S26" s="110"/>
      <c r="T26" s="110">
        <f t="shared" si="0"/>
        <v>4304.3599999999997</v>
      </c>
      <c r="U26" s="110"/>
      <c r="V26" s="110"/>
      <c r="W26" s="110"/>
      <c r="X26" s="110" t="s">
        <v>62</v>
      </c>
      <c r="Y26" s="110" t="s">
        <v>62</v>
      </c>
      <c r="AA26" s="113" t="e">
        <v>#N/A</v>
      </c>
      <c r="AB26" s="113" t="e">
        <v>#N/A</v>
      </c>
    </row>
    <row r="27" spans="1:28">
      <c r="A27" s="108">
        <v>26</v>
      </c>
      <c r="B27" s="108"/>
      <c r="C27" s="109">
        <v>46022</v>
      </c>
      <c r="D27" s="110" t="s">
        <v>28</v>
      </c>
      <c r="E27" s="110" t="s">
        <v>4254</v>
      </c>
      <c r="F27" s="110" t="s">
        <v>30</v>
      </c>
      <c r="G27" s="110">
        <v>12</v>
      </c>
      <c r="H27" s="110" t="s">
        <v>4346</v>
      </c>
      <c r="I27" s="110" t="s">
        <v>4347</v>
      </c>
      <c r="J27" s="110"/>
      <c r="K27" s="110" t="s">
        <v>4348</v>
      </c>
      <c r="L27" s="110" t="s">
        <v>4349</v>
      </c>
      <c r="M27" s="110">
        <v>4165.95</v>
      </c>
      <c r="N27" s="110">
        <v>4165.95</v>
      </c>
      <c r="O27" s="111"/>
      <c r="P27" s="112" t="s">
        <v>27</v>
      </c>
      <c r="Q27" s="110" t="s">
        <v>35</v>
      </c>
      <c r="R27" s="110" t="s">
        <v>27</v>
      </c>
      <c r="S27" s="110"/>
      <c r="T27" s="110">
        <f t="shared" si="0"/>
        <v>4165.95</v>
      </c>
      <c r="U27" s="110"/>
      <c r="V27" s="110"/>
      <c r="W27" s="110"/>
      <c r="X27" s="110" t="s">
        <v>69</v>
      </c>
      <c r="Y27" s="110" t="s">
        <v>69</v>
      </c>
      <c r="AA27" s="113" t="e">
        <v>#N/A</v>
      </c>
      <c r="AB27" s="113" t="e">
        <v>#N/A</v>
      </c>
    </row>
    <row r="28" spans="1:28">
      <c r="A28" s="108">
        <v>27</v>
      </c>
      <c r="B28" s="108"/>
      <c r="C28" s="109">
        <v>46022</v>
      </c>
      <c r="D28" s="110" t="s">
        <v>28</v>
      </c>
      <c r="E28" s="110" t="s">
        <v>4254</v>
      </c>
      <c r="F28" s="110" t="s">
        <v>30</v>
      </c>
      <c r="G28" s="110">
        <v>12</v>
      </c>
      <c r="H28" s="110" t="s">
        <v>4350</v>
      </c>
      <c r="I28" s="110" t="s">
        <v>4351</v>
      </c>
      <c r="J28" s="110"/>
      <c r="K28" s="110" t="s">
        <v>4352</v>
      </c>
      <c r="L28" s="110" t="s">
        <v>4268</v>
      </c>
      <c r="M28" s="110">
        <v>5421.89</v>
      </c>
      <c r="N28" s="110">
        <v>5421.89</v>
      </c>
      <c r="O28" s="111"/>
      <c r="P28" s="112" t="s">
        <v>27</v>
      </c>
      <c r="Q28" s="110" t="s">
        <v>35</v>
      </c>
      <c r="R28" s="110" t="s">
        <v>27</v>
      </c>
      <c r="S28" s="110"/>
      <c r="T28" s="110">
        <f t="shared" si="0"/>
        <v>5421.89</v>
      </c>
      <c r="U28" s="110"/>
      <c r="V28" s="110"/>
      <c r="W28" s="110"/>
      <c r="X28" s="110" t="s">
        <v>62</v>
      </c>
      <c r="Y28" s="110" t="s">
        <v>62</v>
      </c>
      <c r="AA28" s="113" t="e">
        <v>#N/A</v>
      </c>
      <c r="AB28" s="113" t="e">
        <v>#N/A</v>
      </c>
    </row>
    <row r="29" spans="1:28">
      <c r="A29" s="108">
        <v>28</v>
      </c>
      <c r="B29" s="108"/>
      <c r="C29" s="109">
        <v>46022</v>
      </c>
      <c r="D29" s="110" t="s">
        <v>28</v>
      </c>
      <c r="E29" s="110" t="s">
        <v>4254</v>
      </c>
      <c r="F29" s="110" t="s">
        <v>30</v>
      </c>
      <c r="G29" s="110">
        <v>12</v>
      </c>
      <c r="H29" s="110" t="s">
        <v>4353</v>
      </c>
      <c r="I29" s="110" t="s">
        <v>4354</v>
      </c>
      <c r="J29" s="110"/>
      <c r="K29" s="110" t="s">
        <v>4355</v>
      </c>
      <c r="L29" s="110" t="s">
        <v>4356</v>
      </c>
      <c r="M29" s="110">
        <v>5793.11</v>
      </c>
      <c r="N29" s="110">
        <v>5793.11</v>
      </c>
      <c r="O29" s="111"/>
      <c r="P29" s="112" t="s">
        <v>27</v>
      </c>
      <c r="Q29" s="110" t="s">
        <v>35</v>
      </c>
      <c r="R29" s="110" t="s">
        <v>27</v>
      </c>
      <c r="S29" s="110"/>
      <c r="T29" s="110">
        <f t="shared" si="0"/>
        <v>5793.11</v>
      </c>
      <c r="U29" s="110"/>
      <c r="V29" s="110"/>
      <c r="W29" s="110"/>
      <c r="X29" s="110" t="s">
        <v>82</v>
      </c>
      <c r="Y29" s="110" t="s">
        <v>82</v>
      </c>
      <c r="AA29" s="113" t="e">
        <v>#N/A</v>
      </c>
      <c r="AB29" s="113" t="e">
        <v>#N/A</v>
      </c>
    </row>
    <row r="30" spans="1:28">
      <c r="A30" s="108">
        <v>29</v>
      </c>
      <c r="B30" s="108"/>
      <c r="C30" s="109">
        <v>46022</v>
      </c>
      <c r="D30" s="110" t="s">
        <v>28</v>
      </c>
      <c r="E30" s="110" t="s">
        <v>4254</v>
      </c>
      <c r="F30" s="110" t="s">
        <v>30</v>
      </c>
      <c r="G30" s="110">
        <v>12</v>
      </c>
      <c r="H30" s="110" t="s">
        <v>4357</v>
      </c>
      <c r="I30" s="110" t="s">
        <v>4358</v>
      </c>
      <c r="J30" s="110"/>
      <c r="K30" s="110" t="s">
        <v>4359</v>
      </c>
      <c r="L30" s="110"/>
      <c r="M30" s="110">
        <v>3815</v>
      </c>
      <c r="N30" s="110">
        <v>3815</v>
      </c>
      <c r="O30" s="111"/>
      <c r="P30" s="112" t="s">
        <v>27</v>
      </c>
      <c r="Q30" s="110" t="s">
        <v>35</v>
      </c>
      <c r="R30" s="110" t="s">
        <v>27</v>
      </c>
      <c r="S30" s="110"/>
      <c r="T30" s="110">
        <f t="shared" si="0"/>
        <v>3815</v>
      </c>
      <c r="U30" s="110"/>
      <c r="V30" s="110"/>
      <c r="W30" s="110"/>
      <c r="X30" s="110" t="s">
        <v>89</v>
      </c>
      <c r="Y30" s="110" t="s">
        <v>89</v>
      </c>
      <c r="AA30" s="113" t="e">
        <v>#N/A</v>
      </c>
      <c r="AB30" s="113" t="e">
        <v>#N/A</v>
      </c>
    </row>
    <row r="31" spans="1:28">
      <c r="A31" s="108">
        <v>30</v>
      </c>
      <c r="B31" s="108"/>
      <c r="C31" s="109">
        <v>46022</v>
      </c>
      <c r="D31" s="110" t="s">
        <v>28</v>
      </c>
      <c r="E31" s="110" t="s">
        <v>4254</v>
      </c>
      <c r="F31" s="110" t="s">
        <v>30</v>
      </c>
      <c r="G31" s="110">
        <v>12</v>
      </c>
      <c r="H31" s="110" t="s">
        <v>4360</v>
      </c>
      <c r="I31" s="110" t="s">
        <v>4361</v>
      </c>
      <c r="J31" s="110"/>
      <c r="K31" s="110" t="s">
        <v>4362</v>
      </c>
      <c r="L31" s="110" t="s">
        <v>4363</v>
      </c>
      <c r="M31" s="110">
        <v>6152.25</v>
      </c>
      <c r="N31" s="110">
        <v>6152.25</v>
      </c>
      <c r="O31" s="111"/>
      <c r="P31" s="112" t="s">
        <v>27</v>
      </c>
      <c r="Q31" s="110" t="s">
        <v>35</v>
      </c>
      <c r="R31" s="110" t="s">
        <v>27</v>
      </c>
      <c r="S31" s="110"/>
      <c r="T31" s="110">
        <f t="shared" si="0"/>
        <v>6152.25</v>
      </c>
      <c r="U31" s="110"/>
      <c r="V31" s="110"/>
      <c r="W31" s="110"/>
      <c r="X31" s="110" t="s">
        <v>117</v>
      </c>
      <c r="Y31" s="110" t="s">
        <v>117</v>
      </c>
      <c r="AA31" s="113" t="e">
        <v>#N/A</v>
      </c>
      <c r="AB31" s="113" t="e">
        <v>#N/A</v>
      </c>
    </row>
    <row r="32" spans="1:28">
      <c r="A32" s="108">
        <v>31</v>
      </c>
      <c r="B32" s="108"/>
      <c r="C32" s="109">
        <v>46022</v>
      </c>
      <c r="D32" s="110" t="s">
        <v>28</v>
      </c>
      <c r="E32" s="110" t="s">
        <v>4254</v>
      </c>
      <c r="F32" s="110" t="s">
        <v>30</v>
      </c>
      <c r="G32" s="110">
        <v>12</v>
      </c>
      <c r="H32" s="110" t="s">
        <v>4364</v>
      </c>
      <c r="I32" s="110" t="s">
        <v>4365</v>
      </c>
      <c r="J32" s="110"/>
      <c r="K32" s="110" t="s">
        <v>4366</v>
      </c>
      <c r="L32" s="110" t="s">
        <v>4367</v>
      </c>
      <c r="M32" s="110">
        <v>6443.05</v>
      </c>
      <c r="N32" s="110">
        <v>6443.05</v>
      </c>
      <c r="O32" s="111"/>
      <c r="P32" s="112" t="s">
        <v>27</v>
      </c>
      <c r="Q32" s="110" t="s">
        <v>35</v>
      </c>
      <c r="R32" s="110" t="s">
        <v>27</v>
      </c>
      <c r="S32" s="110"/>
      <c r="T32" s="110">
        <f t="shared" si="0"/>
        <v>6443.05</v>
      </c>
      <c r="U32" s="110"/>
      <c r="V32" s="110"/>
      <c r="W32" s="110"/>
      <c r="X32" s="110" t="s">
        <v>124</v>
      </c>
      <c r="Y32" s="110" t="s">
        <v>124</v>
      </c>
      <c r="AA32" s="113" t="e">
        <v>#N/A</v>
      </c>
      <c r="AB32" s="113" t="e">
        <v>#N/A</v>
      </c>
    </row>
    <row r="33" spans="1:28">
      <c r="A33" s="108">
        <v>32</v>
      </c>
      <c r="B33" s="108"/>
      <c r="C33" s="109">
        <v>46022</v>
      </c>
      <c r="D33" s="110" t="s">
        <v>28</v>
      </c>
      <c r="E33" s="110" t="s">
        <v>4254</v>
      </c>
      <c r="F33" s="110" t="s">
        <v>30</v>
      </c>
      <c r="G33" s="110">
        <v>12</v>
      </c>
      <c r="H33" s="110" t="s">
        <v>4368</v>
      </c>
      <c r="I33" s="110" t="s">
        <v>4369</v>
      </c>
      <c r="J33" s="110"/>
      <c r="K33" s="110" t="s">
        <v>4370</v>
      </c>
      <c r="L33" s="110" t="s">
        <v>4371</v>
      </c>
      <c r="M33" s="110">
        <v>6827.56</v>
      </c>
      <c r="N33" s="110">
        <v>6827.56</v>
      </c>
      <c r="O33" s="111"/>
      <c r="P33" s="112" t="s">
        <v>27</v>
      </c>
      <c r="Q33" s="110" t="s">
        <v>35</v>
      </c>
      <c r="R33" s="110" t="s">
        <v>27</v>
      </c>
      <c r="S33" s="110"/>
      <c r="T33" s="110">
        <f t="shared" si="0"/>
        <v>6827.56</v>
      </c>
      <c r="U33" s="110"/>
      <c r="V33" s="110"/>
      <c r="W33" s="110"/>
      <c r="X33" s="110" t="s">
        <v>117</v>
      </c>
      <c r="Y33" s="110" t="s">
        <v>117</v>
      </c>
      <c r="AA33" s="113" t="e">
        <v>#N/A</v>
      </c>
      <c r="AB33" s="113" t="e">
        <v>#N/A</v>
      </c>
    </row>
    <row r="34" spans="1:28">
      <c r="A34" s="108">
        <v>33</v>
      </c>
      <c r="B34" s="108"/>
      <c r="C34" s="109">
        <v>46022</v>
      </c>
      <c r="D34" s="110" t="s">
        <v>28</v>
      </c>
      <c r="E34" s="110" t="s">
        <v>4254</v>
      </c>
      <c r="F34" s="110" t="s">
        <v>30</v>
      </c>
      <c r="G34" s="110">
        <v>12</v>
      </c>
      <c r="H34" s="110" t="s">
        <v>4372</v>
      </c>
      <c r="I34" s="110" t="s">
        <v>4373</v>
      </c>
      <c r="J34" s="110"/>
      <c r="K34" s="110" t="s">
        <v>4374</v>
      </c>
      <c r="L34" s="110" t="s">
        <v>4375</v>
      </c>
      <c r="M34" s="110">
        <v>7176.86</v>
      </c>
      <c r="N34" s="110">
        <v>7176.86</v>
      </c>
      <c r="O34" s="111"/>
      <c r="P34" s="112" t="s">
        <v>27</v>
      </c>
      <c r="Q34" s="110" t="s">
        <v>35</v>
      </c>
      <c r="R34" s="110" t="s">
        <v>27</v>
      </c>
      <c r="S34" s="110"/>
      <c r="T34" s="110">
        <f t="shared" si="0"/>
        <v>7176.86</v>
      </c>
      <c r="U34" s="110"/>
      <c r="V34" s="110"/>
      <c r="W34" s="110"/>
      <c r="X34" s="110" t="s">
        <v>444</v>
      </c>
      <c r="Y34" s="110" t="s">
        <v>444</v>
      </c>
      <c r="AA34" s="113" t="e">
        <v>#N/A</v>
      </c>
      <c r="AB34" s="113" t="e">
        <v>#N/A</v>
      </c>
    </row>
    <row r="35" spans="1:28">
      <c r="A35" s="108">
        <v>34</v>
      </c>
      <c r="B35" s="108"/>
      <c r="C35" s="109">
        <v>46022</v>
      </c>
      <c r="D35" s="110" t="s">
        <v>28</v>
      </c>
      <c r="E35" s="110" t="s">
        <v>4254</v>
      </c>
      <c r="F35" s="110" t="s">
        <v>30</v>
      </c>
      <c r="G35" s="110">
        <v>12</v>
      </c>
      <c r="H35" s="110" t="s">
        <v>4319</v>
      </c>
      <c r="I35" s="110" t="s">
        <v>4320</v>
      </c>
      <c r="J35" s="110"/>
      <c r="K35" s="110" t="s">
        <v>4376</v>
      </c>
      <c r="L35" s="110"/>
      <c r="M35" s="110">
        <v>3514</v>
      </c>
      <c r="N35" s="110">
        <v>3514</v>
      </c>
      <c r="O35" s="111"/>
      <c r="P35" s="112" t="s">
        <v>27</v>
      </c>
      <c r="Q35" s="110" t="s">
        <v>35</v>
      </c>
      <c r="R35" s="110" t="s">
        <v>27</v>
      </c>
      <c r="S35" s="110"/>
      <c r="T35" s="110">
        <f t="shared" si="0"/>
        <v>3514</v>
      </c>
      <c r="U35" s="110"/>
      <c r="V35" s="110"/>
      <c r="W35" s="110"/>
      <c r="X35" s="110" t="s">
        <v>36</v>
      </c>
      <c r="Y35" s="110" t="s">
        <v>36</v>
      </c>
      <c r="AA35" s="113" t="e">
        <v>#N/A</v>
      </c>
      <c r="AB35" s="113" t="e">
        <v>#N/A</v>
      </c>
    </row>
    <row r="36" spans="1:28">
      <c r="A36" s="108">
        <v>35</v>
      </c>
      <c r="B36" s="108"/>
      <c r="C36" s="109">
        <v>46022</v>
      </c>
      <c r="D36" s="110" t="s">
        <v>28</v>
      </c>
      <c r="E36" s="110" t="s">
        <v>4254</v>
      </c>
      <c r="F36" s="110" t="s">
        <v>30</v>
      </c>
      <c r="G36" s="110">
        <v>12</v>
      </c>
      <c r="H36" s="110" t="s">
        <v>4377</v>
      </c>
      <c r="I36" s="110" t="s">
        <v>4378</v>
      </c>
      <c r="J36" s="110"/>
      <c r="K36" s="110" t="s">
        <v>4379</v>
      </c>
      <c r="L36" s="110" t="s">
        <v>4380</v>
      </c>
      <c r="M36" s="110">
        <v>7320.58</v>
      </c>
      <c r="N36" s="110">
        <v>7320.58</v>
      </c>
      <c r="O36" s="111"/>
      <c r="P36" s="112" t="s">
        <v>27</v>
      </c>
      <c r="Q36" s="110" t="s">
        <v>35</v>
      </c>
      <c r="R36" s="110" t="s">
        <v>27</v>
      </c>
      <c r="S36" s="110"/>
      <c r="T36" s="110">
        <f t="shared" si="0"/>
        <v>7320.58</v>
      </c>
      <c r="U36" s="110"/>
      <c r="V36" s="110"/>
      <c r="W36" s="110"/>
      <c r="X36" s="110" t="s">
        <v>444</v>
      </c>
      <c r="Y36" s="110" t="s">
        <v>444</v>
      </c>
      <c r="AA36" s="113" t="e">
        <v>#N/A</v>
      </c>
      <c r="AB36" s="113" t="e">
        <v>#N/A</v>
      </c>
    </row>
    <row r="37" spans="1:28">
      <c r="A37" s="108">
        <v>36</v>
      </c>
      <c r="B37" s="108"/>
      <c r="C37" s="109">
        <v>46022</v>
      </c>
      <c r="D37" s="110" t="s">
        <v>28</v>
      </c>
      <c r="E37" s="110" t="s">
        <v>4254</v>
      </c>
      <c r="F37" s="110" t="s">
        <v>30</v>
      </c>
      <c r="G37" s="110">
        <v>12</v>
      </c>
      <c r="H37" s="110" t="s">
        <v>4381</v>
      </c>
      <c r="I37" s="110" t="s">
        <v>4382</v>
      </c>
      <c r="J37" s="110"/>
      <c r="K37" s="110" t="s">
        <v>4383</v>
      </c>
      <c r="L37" s="110" t="s">
        <v>4384</v>
      </c>
      <c r="M37" s="110">
        <v>7351.25</v>
      </c>
      <c r="N37" s="110">
        <v>7351.25</v>
      </c>
      <c r="O37" s="111"/>
      <c r="P37" s="112" t="s">
        <v>27</v>
      </c>
      <c r="Q37" s="110" t="s">
        <v>35</v>
      </c>
      <c r="R37" s="110" t="s">
        <v>27</v>
      </c>
      <c r="S37" s="110"/>
      <c r="T37" s="110">
        <f t="shared" si="0"/>
        <v>7351.25</v>
      </c>
      <c r="U37" s="110"/>
      <c r="V37" s="110"/>
      <c r="W37" s="110"/>
      <c r="X37" s="110" t="s">
        <v>62</v>
      </c>
      <c r="Y37" s="110" t="s">
        <v>62</v>
      </c>
      <c r="AA37" s="113" t="e">
        <v>#N/A</v>
      </c>
      <c r="AB37" s="113" t="e">
        <v>#N/A</v>
      </c>
    </row>
    <row r="38" spans="1:28">
      <c r="A38" s="108">
        <v>37</v>
      </c>
      <c r="B38" s="108"/>
      <c r="C38" s="109">
        <v>46022</v>
      </c>
      <c r="D38" s="110" t="s">
        <v>28</v>
      </c>
      <c r="E38" s="110" t="s">
        <v>4254</v>
      </c>
      <c r="F38" s="110" t="s">
        <v>30</v>
      </c>
      <c r="G38" s="110">
        <v>12</v>
      </c>
      <c r="H38" s="110" t="s">
        <v>4385</v>
      </c>
      <c r="I38" s="110" t="s">
        <v>4386</v>
      </c>
      <c r="J38" s="110"/>
      <c r="K38" s="110" t="s">
        <v>4387</v>
      </c>
      <c r="L38" s="110" t="s">
        <v>4388</v>
      </c>
      <c r="M38" s="110">
        <v>8902.89</v>
      </c>
      <c r="N38" s="110">
        <v>8902.89</v>
      </c>
      <c r="O38" s="111"/>
      <c r="P38" s="112" t="s">
        <v>27</v>
      </c>
      <c r="Q38" s="110" t="s">
        <v>35</v>
      </c>
      <c r="R38" s="110" t="s">
        <v>27</v>
      </c>
      <c r="S38" s="110"/>
      <c r="T38" s="110">
        <f t="shared" si="0"/>
        <v>8902.89</v>
      </c>
      <c r="U38" s="110"/>
      <c r="V38" s="110"/>
      <c r="W38" s="110"/>
      <c r="X38" s="110" t="s">
        <v>4335</v>
      </c>
      <c r="Y38" s="110" t="s">
        <v>4335</v>
      </c>
      <c r="AA38" s="113" t="e">
        <v>#N/A</v>
      </c>
      <c r="AB38" s="113" t="e">
        <v>#N/A</v>
      </c>
    </row>
    <row r="39" spans="1:28">
      <c r="A39" s="108">
        <v>38</v>
      </c>
      <c r="B39" s="108"/>
      <c r="C39" s="109">
        <v>46022</v>
      </c>
      <c r="D39" s="110" t="s">
        <v>28</v>
      </c>
      <c r="E39" s="110" t="s">
        <v>4254</v>
      </c>
      <c r="F39" s="110" t="s">
        <v>30</v>
      </c>
      <c r="G39" s="110">
        <v>12</v>
      </c>
      <c r="H39" s="110" t="s">
        <v>4389</v>
      </c>
      <c r="I39" s="110" t="s">
        <v>4390</v>
      </c>
      <c r="J39" s="110"/>
      <c r="K39" s="110" t="s">
        <v>4391</v>
      </c>
      <c r="L39" s="110" t="s">
        <v>4392</v>
      </c>
      <c r="M39" s="110">
        <v>8970.1</v>
      </c>
      <c r="N39" s="110">
        <v>8970.1</v>
      </c>
      <c r="O39" s="111"/>
      <c r="P39" s="112" t="s">
        <v>27</v>
      </c>
      <c r="Q39" s="110" t="s">
        <v>35</v>
      </c>
      <c r="R39" s="110" t="s">
        <v>27</v>
      </c>
      <c r="S39" s="110"/>
      <c r="T39" s="110">
        <f t="shared" si="0"/>
        <v>8970.1</v>
      </c>
      <c r="U39" s="110"/>
      <c r="V39" s="110"/>
      <c r="W39" s="110"/>
      <c r="X39" s="110" t="s">
        <v>69</v>
      </c>
      <c r="Y39" s="110" t="s">
        <v>69</v>
      </c>
      <c r="AA39" s="113" t="e">
        <v>#N/A</v>
      </c>
      <c r="AB39" s="113" t="e">
        <v>#N/A</v>
      </c>
    </row>
    <row r="40" spans="1:28">
      <c r="A40" s="108">
        <v>39</v>
      </c>
      <c r="B40" s="108"/>
      <c r="C40" s="109">
        <v>46022</v>
      </c>
      <c r="D40" s="110" t="s">
        <v>28</v>
      </c>
      <c r="E40" s="110" t="s">
        <v>4254</v>
      </c>
      <c r="F40" s="110" t="s">
        <v>30</v>
      </c>
      <c r="G40" s="110">
        <v>12</v>
      </c>
      <c r="H40" s="110" t="s">
        <v>4393</v>
      </c>
      <c r="I40" s="110" t="s">
        <v>4394</v>
      </c>
      <c r="J40" s="110"/>
      <c r="K40" s="110" t="s">
        <v>4395</v>
      </c>
      <c r="L40" s="110" t="s">
        <v>4396</v>
      </c>
      <c r="M40" s="110">
        <v>9653.2800000000007</v>
      </c>
      <c r="N40" s="110">
        <v>9653.2800000000007</v>
      </c>
      <c r="O40" s="111"/>
      <c r="P40" s="112" t="s">
        <v>27</v>
      </c>
      <c r="Q40" s="110" t="s">
        <v>35</v>
      </c>
      <c r="R40" s="110" t="s">
        <v>27</v>
      </c>
      <c r="S40" s="110"/>
      <c r="T40" s="110">
        <f t="shared" si="0"/>
        <v>9653.2800000000007</v>
      </c>
      <c r="U40" s="110"/>
      <c r="V40" s="110"/>
      <c r="W40" s="110"/>
      <c r="X40" s="110" t="s">
        <v>89</v>
      </c>
      <c r="Y40" s="110" t="s">
        <v>89</v>
      </c>
      <c r="AA40" s="113" t="e">
        <v>#N/A</v>
      </c>
      <c r="AB40" s="113" t="e">
        <v>#N/A</v>
      </c>
    </row>
    <row r="41" spans="1:28">
      <c r="A41" s="108">
        <v>40</v>
      </c>
      <c r="B41" s="108"/>
      <c r="C41" s="109">
        <v>46022</v>
      </c>
      <c r="D41" s="110" t="s">
        <v>28</v>
      </c>
      <c r="E41" s="110" t="s">
        <v>4254</v>
      </c>
      <c r="F41" s="110" t="s">
        <v>30</v>
      </c>
      <c r="G41" s="110">
        <v>12</v>
      </c>
      <c r="H41" s="110" t="s">
        <v>4397</v>
      </c>
      <c r="I41" s="110" t="s">
        <v>4398</v>
      </c>
      <c r="J41" s="110"/>
      <c r="K41" s="110" t="s">
        <v>4399</v>
      </c>
      <c r="L41" s="110" t="s">
        <v>4384</v>
      </c>
      <c r="M41" s="110">
        <v>11791.49</v>
      </c>
      <c r="N41" s="110">
        <v>11791.49</v>
      </c>
      <c r="O41" s="111"/>
      <c r="P41" s="112" t="s">
        <v>27</v>
      </c>
      <c r="Q41" s="110" t="s">
        <v>35</v>
      </c>
      <c r="R41" s="110" t="s">
        <v>27</v>
      </c>
      <c r="S41" s="110"/>
      <c r="T41" s="110">
        <f t="shared" si="0"/>
        <v>11791.49</v>
      </c>
      <c r="U41" s="110"/>
      <c r="V41" s="110"/>
      <c r="W41" s="110"/>
      <c r="X41" s="110" t="s">
        <v>124</v>
      </c>
      <c r="Y41" s="110" t="s">
        <v>124</v>
      </c>
      <c r="AA41" s="113" t="e">
        <v>#N/A</v>
      </c>
      <c r="AB41" s="113" t="e">
        <v>#N/A</v>
      </c>
    </row>
    <row r="42" spans="1:28">
      <c r="A42" s="108">
        <v>41</v>
      </c>
      <c r="B42" s="108"/>
      <c r="C42" s="109">
        <v>46022</v>
      </c>
      <c r="D42" s="110" t="s">
        <v>28</v>
      </c>
      <c r="E42" s="110" t="s">
        <v>4254</v>
      </c>
      <c r="F42" s="110" t="s">
        <v>30</v>
      </c>
      <c r="G42" s="110">
        <v>12</v>
      </c>
      <c r="H42" s="110" t="s">
        <v>202</v>
      </c>
      <c r="I42" s="110" t="s">
        <v>4400</v>
      </c>
      <c r="J42" s="110"/>
      <c r="K42" s="110" t="s">
        <v>204</v>
      </c>
      <c r="L42" s="110" t="s">
        <v>205</v>
      </c>
      <c r="M42" s="110">
        <v>13137.46</v>
      </c>
      <c r="N42" s="110">
        <v>13137.46</v>
      </c>
      <c r="O42" s="111"/>
      <c r="P42" s="112" t="s">
        <v>27</v>
      </c>
      <c r="Q42" s="110" t="s">
        <v>35</v>
      </c>
      <c r="R42" s="110" t="s">
        <v>27</v>
      </c>
      <c r="S42" s="110"/>
      <c r="T42" s="110">
        <f t="shared" si="0"/>
        <v>13137.46</v>
      </c>
      <c r="U42" s="110"/>
      <c r="V42" s="110"/>
      <c r="W42" s="110"/>
      <c r="X42" s="110" t="s">
        <v>117</v>
      </c>
      <c r="Y42" s="110" t="s">
        <v>117</v>
      </c>
      <c r="AA42" s="113" t="e">
        <v>#N/A</v>
      </c>
      <c r="AB42" s="113" t="e">
        <v>#N/A</v>
      </c>
    </row>
    <row r="43" spans="1:28">
      <c r="A43" s="108">
        <v>42</v>
      </c>
      <c r="B43" s="108"/>
      <c r="C43" s="109">
        <v>46022</v>
      </c>
      <c r="D43" s="110" t="s">
        <v>28</v>
      </c>
      <c r="E43" s="110" t="s">
        <v>4254</v>
      </c>
      <c r="F43" s="110" t="s">
        <v>30</v>
      </c>
      <c r="G43" s="110">
        <v>12</v>
      </c>
      <c r="H43" s="110" t="s">
        <v>197</v>
      </c>
      <c r="I43" s="110" t="s">
        <v>4401</v>
      </c>
      <c r="J43" s="110"/>
      <c r="K43" s="110" t="s">
        <v>198</v>
      </c>
      <c r="L43" s="110" t="s">
        <v>199</v>
      </c>
      <c r="M43" s="110">
        <v>15829.88</v>
      </c>
      <c r="N43" s="110">
        <v>15829.88</v>
      </c>
      <c r="O43" s="111"/>
      <c r="P43" s="112" t="s">
        <v>27</v>
      </c>
      <c r="Q43" s="110" t="s">
        <v>35</v>
      </c>
      <c r="R43" s="110" t="s">
        <v>27</v>
      </c>
      <c r="S43" s="110"/>
      <c r="T43" s="110">
        <f t="shared" si="0"/>
        <v>15829.88</v>
      </c>
      <c r="U43" s="110"/>
      <c r="V43" s="110"/>
      <c r="W43" s="110"/>
      <c r="X43" s="110" t="s">
        <v>89</v>
      </c>
      <c r="Y43" s="110" t="s">
        <v>89</v>
      </c>
      <c r="AA43" s="113" t="e">
        <v>#N/A</v>
      </c>
      <c r="AB43" s="113" t="e">
        <v>#N/A</v>
      </c>
    </row>
    <row r="44" spans="1:28">
      <c r="A44" s="108">
        <v>43</v>
      </c>
      <c r="B44" s="108"/>
      <c r="C44" s="109">
        <v>46022</v>
      </c>
      <c r="D44" s="110" t="s">
        <v>28</v>
      </c>
      <c r="E44" s="110" t="s">
        <v>4254</v>
      </c>
      <c r="F44" s="110" t="s">
        <v>30</v>
      </c>
      <c r="G44" s="110">
        <v>12</v>
      </c>
      <c r="H44" s="110" t="s">
        <v>4402</v>
      </c>
      <c r="I44" s="110" t="s">
        <v>4403</v>
      </c>
      <c r="J44" s="110"/>
      <c r="K44" s="110" t="s">
        <v>4404</v>
      </c>
      <c r="L44" s="110" t="s">
        <v>4405</v>
      </c>
      <c r="M44" s="110">
        <v>19016.86</v>
      </c>
      <c r="N44" s="110">
        <v>19016.86</v>
      </c>
      <c r="O44" s="111"/>
      <c r="P44" s="112" t="s">
        <v>27</v>
      </c>
      <c r="Q44" s="110" t="s">
        <v>35</v>
      </c>
      <c r="R44" s="110" t="s">
        <v>27</v>
      </c>
      <c r="S44" s="110"/>
      <c r="T44" s="110">
        <f t="shared" si="0"/>
        <v>19016.86</v>
      </c>
      <c r="U44" s="110"/>
      <c r="V44" s="110"/>
      <c r="W44" s="110"/>
      <c r="X44" s="110" t="s">
        <v>124</v>
      </c>
      <c r="Y44" s="110" t="s">
        <v>124</v>
      </c>
      <c r="AA44" s="113" t="e">
        <v>#N/A</v>
      </c>
      <c r="AB44" s="113" t="e">
        <v>#N/A</v>
      </c>
    </row>
    <row r="45" spans="1:28">
      <c r="A45" s="108">
        <v>44</v>
      </c>
      <c r="B45" s="108"/>
      <c r="C45" s="109">
        <v>46022</v>
      </c>
      <c r="D45" s="110" t="s">
        <v>28</v>
      </c>
      <c r="E45" s="110" t="s">
        <v>4254</v>
      </c>
      <c r="F45" s="110" t="s">
        <v>30</v>
      </c>
      <c r="G45" s="110">
        <v>12</v>
      </c>
      <c r="H45" s="110" t="s">
        <v>1478</v>
      </c>
      <c r="I45" s="110" t="s">
        <v>4406</v>
      </c>
      <c r="J45" s="110"/>
      <c r="K45" s="110" t="s">
        <v>1480</v>
      </c>
      <c r="L45" s="110" t="s">
        <v>1481</v>
      </c>
      <c r="M45" s="110">
        <v>29339.7</v>
      </c>
      <c r="N45" s="110">
        <v>29339.7</v>
      </c>
      <c r="O45" s="111"/>
      <c r="P45" s="112" t="s">
        <v>27</v>
      </c>
      <c r="Q45" s="110" t="s">
        <v>35</v>
      </c>
      <c r="R45" s="110" t="s">
        <v>27</v>
      </c>
      <c r="S45" s="110"/>
      <c r="T45" s="110">
        <f t="shared" si="0"/>
        <v>29339.7</v>
      </c>
      <c r="U45" s="110"/>
      <c r="V45" s="110"/>
      <c r="W45" s="110"/>
      <c r="X45" s="110" t="s">
        <v>62</v>
      </c>
      <c r="Y45" s="110" t="s">
        <v>62</v>
      </c>
      <c r="AA45" s="113" t="e">
        <v>#N/A</v>
      </c>
      <c r="AB45" s="113" t="e">
        <v>#N/A</v>
      </c>
    </row>
    <row r="46" spans="1:28">
      <c r="A46" s="108">
        <v>45</v>
      </c>
      <c r="B46" s="108"/>
      <c r="C46" s="109">
        <v>46022</v>
      </c>
      <c r="D46" s="110" t="s">
        <v>28</v>
      </c>
      <c r="E46" s="110" t="s">
        <v>4254</v>
      </c>
      <c r="F46" s="110" t="s">
        <v>30</v>
      </c>
      <c r="G46" s="110">
        <v>12</v>
      </c>
      <c r="H46" s="110" t="s">
        <v>4407</v>
      </c>
      <c r="I46" s="110" t="s">
        <v>4408</v>
      </c>
      <c r="J46" s="110"/>
      <c r="K46" s="110" t="s">
        <v>4409</v>
      </c>
      <c r="L46" s="110" t="s">
        <v>4410</v>
      </c>
      <c r="M46" s="110">
        <v>2084.48</v>
      </c>
      <c r="N46" s="110">
        <v>2084.48</v>
      </c>
      <c r="O46" s="111"/>
      <c r="P46" s="112" t="s">
        <v>27</v>
      </c>
      <c r="Q46" s="110" t="s">
        <v>35</v>
      </c>
      <c r="R46" s="110" t="s">
        <v>27</v>
      </c>
      <c r="S46" s="110"/>
      <c r="T46" s="110">
        <f t="shared" si="0"/>
        <v>2084.48</v>
      </c>
      <c r="U46" s="110"/>
      <c r="V46" s="110"/>
      <c r="W46" s="110"/>
      <c r="X46" s="110" t="s">
        <v>117</v>
      </c>
      <c r="Y46" s="110" t="s">
        <v>117</v>
      </c>
      <c r="AA46" s="113" t="e">
        <v>#N/A</v>
      </c>
      <c r="AB46" s="113" t="e">
        <v>#N/A</v>
      </c>
    </row>
    <row r="47" spans="1:28">
      <c r="A47" s="108">
        <v>46</v>
      </c>
      <c r="B47" s="108"/>
      <c r="C47" s="109">
        <v>46022</v>
      </c>
      <c r="D47" s="110" t="s">
        <v>28</v>
      </c>
      <c r="E47" s="110" t="s">
        <v>4254</v>
      </c>
      <c r="F47" s="110" t="s">
        <v>30</v>
      </c>
      <c r="G47" s="110">
        <v>12</v>
      </c>
      <c r="H47" s="110" t="s">
        <v>4411</v>
      </c>
      <c r="I47" s="110" t="s">
        <v>4412</v>
      </c>
      <c r="J47" s="110"/>
      <c r="K47" s="110" t="s">
        <v>4413</v>
      </c>
      <c r="L47" s="110" t="s">
        <v>4414</v>
      </c>
      <c r="M47" s="110">
        <v>2061.92</v>
      </c>
      <c r="N47" s="110">
        <v>2061.92</v>
      </c>
      <c r="O47" s="111"/>
      <c r="P47" s="112" t="s">
        <v>27</v>
      </c>
      <c r="Q47" s="110" t="s">
        <v>35</v>
      </c>
      <c r="R47" s="110" t="s">
        <v>27</v>
      </c>
      <c r="S47" s="110"/>
      <c r="T47" s="110">
        <f t="shared" si="0"/>
        <v>2061.92</v>
      </c>
      <c r="U47" s="110"/>
      <c r="V47" s="110"/>
      <c r="W47" s="110"/>
      <c r="X47" s="110" t="s">
        <v>37</v>
      </c>
      <c r="Y47" s="110" t="s">
        <v>37</v>
      </c>
      <c r="AA47" s="113" t="e">
        <v>#N/A</v>
      </c>
      <c r="AB47" s="113" t="e">
        <v>#N/A</v>
      </c>
    </row>
    <row r="48" spans="1:28">
      <c r="A48" s="108">
        <v>47</v>
      </c>
      <c r="B48" s="108"/>
      <c r="C48" s="109">
        <v>46022</v>
      </c>
      <c r="D48" s="110" t="s">
        <v>28</v>
      </c>
      <c r="E48" s="110" t="s">
        <v>4254</v>
      </c>
      <c r="F48" s="110" t="s">
        <v>30</v>
      </c>
      <c r="G48" s="110">
        <v>12</v>
      </c>
      <c r="H48" s="110" t="s">
        <v>4415</v>
      </c>
      <c r="I48" s="110" t="s">
        <v>4416</v>
      </c>
      <c r="J48" s="110"/>
      <c r="K48" s="110" t="s">
        <v>4417</v>
      </c>
      <c r="L48" s="110" t="s">
        <v>4418</v>
      </c>
      <c r="M48" s="110">
        <v>1912.46</v>
      </c>
      <c r="N48" s="110">
        <v>1912.46</v>
      </c>
      <c r="O48" s="111"/>
      <c r="P48" s="112" t="s">
        <v>27</v>
      </c>
      <c r="Q48" s="110" t="s">
        <v>35</v>
      </c>
      <c r="R48" s="110" t="s">
        <v>27</v>
      </c>
      <c r="S48" s="110"/>
      <c r="T48" s="110">
        <f t="shared" si="0"/>
        <v>1912.46</v>
      </c>
      <c r="U48" s="110"/>
      <c r="V48" s="110"/>
      <c r="W48" s="110"/>
      <c r="X48" s="110" t="s">
        <v>76</v>
      </c>
      <c r="Y48" s="110" t="s">
        <v>76</v>
      </c>
      <c r="AA48" s="113" t="e">
        <v>#N/A</v>
      </c>
      <c r="AB48" s="113" t="e">
        <v>#N/A</v>
      </c>
    </row>
    <row r="49" spans="1:28">
      <c r="A49" s="108">
        <v>48</v>
      </c>
      <c r="B49" s="108"/>
      <c r="C49" s="109">
        <v>46022</v>
      </c>
      <c r="D49" s="110" t="s">
        <v>28</v>
      </c>
      <c r="E49" s="110" t="s">
        <v>4254</v>
      </c>
      <c r="F49" s="110" t="s">
        <v>30</v>
      </c>
      <c r="G49" s="110">
        <v>12</v>
      </c>
      <c r="H49" s="110" t="s">
        <v>4419</v>
      </c>
      <c r="I49" s="110" t="s">
        <v>4420</v>
      </c>
      <c r="J49" s="110"/>
      <c r="K49" s="110" t="s">
        <v>4421</v>
      </c>
      <c r="L49" s="110" t="s">
        <v>4422</v>
      </c>
      <c r="M49" s="110">
        <v>1900.84</v>
      </c>
      <c r="N49" s="110">
        <v>1900.84</v>
      </c>
      <c r="O49" s="111"/>
      <c r="P49" s="112" t="s">
        <v>27</v>
      </c>
      <c r="Q49" s="110" t="s">
        <v>35</v>
      </c>
      <c r="R49" s="110" t="s">
        <v>27</v>
      </c>
      <c r="S49" s="110"/>
      <c r="T49" s="110">
        <f t="shared" si="0"/>
        <v>1900.84</v>
      </c>
      <c r="U49" s="110"/>
      <c r="V49" s="110"/>
      <c r="W49" s="110"/>
      <c r="X49" s="110" t="s">
        <v>117</v>
      </c>
      <c r="Y49" s="110" t="s">
        <v>117</v>
      </c>
      <c r="AA49" s="113" t="e">
        <v>#N/A</v>
      </c>
      <c r="AB49" s="113" t="e">
        <v>#N/A</v>
      </c>
    </row>
    <row r="50" spans="1:28">
      <c r="A50" s="108">
        <v>49</v>
      </c>
      <c r="B50" s="108"/>
      <c r="C50" s="109">
        <v>46022</v>
      </c>
      <c r="D50" s="110" t="s">
        <v>28</v>
      </c>
      <c r="E50" s="110" t="s">
        <v>4254</v>
      </c>
      <c r="F50" s="110" t="s">
        <v>30</v>
      </c>
      <c r="G50" s="110">
        <v>12</v>
      </c>
      <c r="H50" s="110" t="s">
        <v>4423</v>
      </c>
      <c r="I50" s="110" t="s">
        <v>4424</v>
      </c>
      <c r="J50" s="110"/>
      <c r="K50" s="110" t="s">
        <v>4425</v>
      </c>
      <c r="L50" s="110" t="s">
        <v>4426</v>
      </c>
      <c r="M50" s="110">
        <v>1877.55</v>
      </c>
      <c r="N50" s="110">
        <v>1877.55</v>
      </c>
      <c r="O50" s="111"/>
      <c r="P50" s="112" t="s">
        <v>27</v>
      </c>
      <c r="Q50" s="110" t="s">
        <v>35</v>
      </c>
      <c r="R50" s="110" t="s">
        <v>27</v>
      </c>
      <c r="S50" s="110"/>
      <c r="T50" s="110">
        <f t="shared" si="0"/>
        <v>1877.55</v>
      </c>
      <c r="U50" s="110"/>
      <c r="V50" s="110"/>
      <c r="W50" s="110"/>
      <c r="X50" s="110" t="s">
        <v>444</v>
      </c>
      <c r="Y50" s="110" t="s">
        <v>444</v>
      </c>
      <c r="AA50" s="113" t="e">
        <v>#N/A</v>
      </c>
      <c r="AB50" s="113" t="e">
        <v>#N/A</v>
      </c>
    </row>
    <row r="51" spans="1:28">
      <c r="A51" s="108">
        <v>50</v>
      </c>
      <c r="B51" s="108"/>
      <c r="C51" s="109">
        <v>46022</v>
      </c>
      <c r="D51" s="110" t="s">
        <v>28</v>
      </c>
      <c r="E51" s="110" t="s">
        <v>4254</v>
      </c>
      <c r="F51" s="110" t="s">
        <v>30</v>
      </c>
      <c r="G51" s="110">
        <v>12</v>
      </c>
      <c r="H51" s="110" t="s">
        <v>4427</v>
      </c>
      <c r="I51" s="110" t="s">
        <v>4428</v>
      </c>
      <c r="J51" s="110"/>
      <c r="K51" s="110" t="s">
        <v>4429</v>
      </c>
      <c r="L51" s="110" t="s">
        <v>4430</v>
      </c>
      <c r="M51" s="110">
        <v>1815.08</v>
      </c>
      <c r="N51" s="110">
        <v>1815.08</v>
      </c>
      <c r="O51" s="111"/>
      <c r="P51" s="112" t="s">
        <v>27</v>
      </c>
      <c r="Q51" s="110" t="s">
        <v>35</v>
      </c>
      <c r="R51" s="110" t="s">
        <v>27</v>
      </c>
      <c r="S51" s="110"/>
      <c r="T51" s="110">
        <f t="shared" si="0"/>
        <v>1815.08</v>
      </c>
      <c r="U51" s="110"/>
      <c r="V51" s="110"/>
      <c r="W51" s="110"/>
      <c r="X51" s="110" t="s">
        <v>89</v>
      </c>
      <c r="Y51" s="110" t="s">
        <v>89</v>
      </c>
      <c r="AA51" s="113" t="e">
        <v>#N/A</v>
      </c>
      <c r="AB51" s="113" t="e">
        <v>#N/A</v>
      </c>
    </row>
    <row r="52" spans="1:28">
      <c r="A52" s="108">
        <v>51</v>
      </c>
      <c r="B52" s="108"/>
      <c r="C52" s="109">
        <v>46022</v>
      </c>
      <c r="D52" s="110" t="s">
        <v>28</v>
      </c>
      <c r="E52" s="110" t="s">
        <v>4254</v>
      </c>
      <c r="F52" s="110" t="s">
        <v>30</v>
      </c>
      <c r="G52" s="110">
        <v>12</v>
      </c>
      <c r="H52" s="110" t="s">
        <v>4431</v>
      </c>
      <c r="I52" s="110" t="s">
        <v>4432</v>
      </c>
      <c r="J52" s="110"/>
      <c r="K52" s="110" t="s">
        <v>4433</v>
      </c>
      <c r="L52" s="110" t="s">
        <v>4434</v>
      </c>
      <c r="M52" s="110">
        <v>1724.78</v>
      </c>
      <c r="N52" s="110">
        <v>1724.78</v>
      </c>
      <c r="O52" s="111"/>
      <c r="P52" s="112" t="s">
        <v>27</v>
      </c>
      <c r="Q52" s="110" t="s">
        <v>35</v>
      </c>
      <c r="R52" s="110" t="s">
        <v>27</v>
      </c>
      <c r="S52" s="110"/>
      <c r="T52" s="110">
        <f t="shared" si="0"/>
        <v>1724.78</v>
      </c>
      <c r="U52" s="110"/>
      <c r="V52" s="110"/>
      <c r="W52" s="110"/>
      <c r="X52" s="110" t="s">
        <v>62</v>
      </c>
      <c r="Y52" s="110" t="s">
        <v>62</v>
      </c>
      <c r="AA52" s="113" t="e">
        <v>#N/A</v>
      </c>
      <c r="AB52" s="113" t="e">
        <v>#N/A</v>
      </c>
    </row>
    <row r="53" spans="1:28">
      <c r="A53" s="108">
        <v>52</v>
      </c>
      <c r="B53" s="108"/>
      <c r="C53" s="109">
        <v>46022</v>
      </c>
      <c r="D53" s="110" t="s">
        <v>28</v>
      </c>
      <c r="E53" s="110" t="s">
        <v>4254</v>
      </c>
      <c r="F53" s="110" t="s">
        <v>30</v>
      </c>
      <c r="G53" s="110">
        <v>12</v>
      </c>
      <c r="H53" s="110" t="s">
        <v>4435</v>
      </c>
      <c r="I53" s="110" t="s">
        <v>4436</v>
      </c>
      <c r="J53" s="110"/>
      <c r="K53" s="110" t="s">
        <v>4437</v>
      </c>
      <c r="L53" s="110" t="s">
        <v>4438</v>
      </c>
      <c r="M53" s="110">
        <v>1675.44</v>
      </c>
      <c r="N53" s="110">
        <v>1675.44</v>
      </c>
      <c r="O53" s="111"/>
      <c r="P53" s="112" t="s">
        <v>27</v>
      </c>
      <c r="Q53" s="110" t="s">
        <v>35</v>
      </c>
      <c r="R53" s="110" t="s">
        <v>27</v>
      </c>
      <c r="S53" s="110"/>
      <c r="T53" s="110">
        <f t="shared" si="0"/>
        <v>1675.44</v>
      </c>
      <c r="U53" s="110"/>
      <c r="V53" s="110"/>
      <c r="W53" s="110"/>
      <c r="X53" s="110" t="s">
        <v>89</v>
      </c>
      <c r="Y53" s="110" t="s">
        <v>89</v>
      </c>
      <c r="AA53" s="113" t="e">
        <v>#N/A</v>
      </c>
      <c r="AB53" s="113" t="e">
        <v>#N/A</v>
      </c>
    </row>
    <row r="54" spans="1:28">
      <c r="A54" s="108">
        <v>53</v>
      </c>
      <c r="B54" s="108"/>
      <c r="C54" s="109">
        <v>46022</v>
      </c>
      <c r="D54" s="110" t="s">
        <v>28</v>
      </c>
      <c r="E54" s="110" t="s">
        <v>4254</v>
      </c>
      <c r="F54" s="110" t="s">
        <v>30</v>
      </c>
      <c r="G54" s="110">
        <v>12</v>
      </c>
      <c r="H54" s="110" t="s">
        <v>4439</v>
      </c>
      <c r="I54" s="110" t="s">
        <v>4440</v>
      </c>
      <c r="J54" s="110"/>
      <c r="K54" s="110" t="s">
        <v>4441</v>
      </c>
      <c r="L54" s="110" t="s">
        <v>4442</v>
      </c>
      <c r="M54" s="110">
        <v>1589.64</v>
      </c>
      <c r="N54" s="110">
        <v>1589.64</v>
      </c>
      <c r="O54" s="111"/>
      <c r="P54" s="112" t="s">
        <v>27</v>
      </c>
      <c r="Q54" s="110" t="s">
        <v>35</v>
      </c>
      <c r="R54" s="110" t="s">
        <v>27</v>
      </c>
      <c r="S54" s="110"/>
      <c r="T54" s="110">
        <f t="shared" si="0"/>
        <v>1589.64</v>
      </c>
      <c r="U54" s="110"/>
      <c r="V54" s="110"/>
      <c r="W54" s="110"/>
      <c r="X54" s="110" t="s">
        <v>4335</v>
      </c>
      <c r="Y54" s="110" t="s">
        <v>4335</v>
      </c>
      <c r="AA54" s="113" t="e">
        <v>#N/A</v>
      </c>
      <c r="AB54" s="113" t="e">
        <v>#N/A</v>
      </c>
    </row>
    <row r="55" spans="1:28">
      <c r="A55" s="108">
        <v>54</v>
      </c>
      <c r="B55" s="108"/>
      <c r="C55" s="109">
        <v>46022</v>
      </c>
      <c r="D55" s="110" t="s">
        <v>28</v>
      </c>
      <c r="E55" s="110" t="s">
        <v>4254</v>
      </c>
      <c r="F55" s="110" t="s">
        <v>30</v>
      </c>
      <c r="G55" s="110">
        <v>12</v>
      </c>
      <c r="H55" s="110" t="s">
        <v>4443</v>
      </c>
      <c r="I55" s="110" t="s">
        <v>4444</v>
      </c>
      <c r="J55" s="110"/>
      <c r="K55" s="110" t="s">
        <v>4445</v>
      </c>
      <c r="L55" s="110" t="s">
        <v>4446</v>
      </c>
      <c r="M55" s="110">
        <v>1460.5</v>
      </c>
      <c r="N55" s="110">
        <v>1460.5</v>
      </c>
      <c r="O55" s="111"/>
      <c r="P55" s="112" t="s">
        <v>27</v>
      </c>
      <c r="Q55" s="110" t="s">
        <v>35</v>
      </c>
      <c r="R55" s="110" t="s">
        <v>27</v>
      </c>
      <c r="S55" s="110"/>
      <c r="T55" s="110">
        <f t="shared" si="0"/>
        <v>1460.5</v>
      </c>
      <c r="U55" s="110"/>
      <c r="V55" s="110"/>
      <c r="W55" s="110"/>
      <c r="X55" s="110" t="s">
        <v>62</v>
      </c>
      <c r="Y55" s="110" t="s">
        <v>62</v>
      </c>
      <c r="AA55" s="113" t="e">
        <v>#N/A</v>
      </c>
      <c r="AB55" s="113" t="e">
        <v>#N/A</v>
      </c>
    </row>
    <row r="56" spans="1:28">
      <c r="A56" s="108">
        <v>55</v>
      </c>
      <c r="B56" s="108"/>
      <c r="C56" s="109">
        <v>46022</v>
      </c>
      <c r="D56" s="110" t="s">
        <v>28</v>
      </c>
      <c r="E56" s="110" t="s">
        <v>4254</v>
      </c>
      <c r="F56" s="110" t="s">
        <v>30</v>
      </c>
      <c r="G56" s="110">
        <v>12</v>
      </c>
      <c r="H56" s="110" t="s">
        <v>4447</v>
      </c>
      <c r="I56" s="110" t="s">
        <v>4448</v>
      </c>
      <c r="J56" s="110"/>
      <c r="K56" s="110" t="s">
        <v>4449</v>
      </c>
      <c r="L56" s="110" t="s">
        <v>4450</v>
      </c>
      <c r="M56" s="110">
        <v>1315.89</v>
      </c>
      <c r="N56" s="110">
        <v>1315.89</v>
      </c>
      <c r="O56" s="111"/>
      <c r="P56" s="112" t="s">
        <v>27</v>
      </c>
      <c r="Q56" s="110" t="s">
        <v>35</v>
      </c>
      <c r="R56" s="110" t="s">
        <v>27</v>
      </c>
      <c r="S56" s="110"/>
      <c r="T56" s="110">
        <f t="shared" si="0"/>
        <v>1315.89</v>
      </c>
      <c r="U56" s="110"/>
      <c r="V56" s="110"/>
      <c r="W56" s="110"/>
      <c r="X56" s="110" t="s">
        <v>82</v>
      </c>
      <c r="Y56" s="110" t="s">
        <v>82</v>
      </c>
      <c r="AA56" s="113" t="e">
        <v>#N/A</v>
      </c>
      <c r="AB56" s="113" t="e">
        <v>#N/A</v>
      </c>
    </row>
    <row r="57" spans="1:28">
      <c r="A57" s="108">
        <v>56</v>
      </c>
      <c r="B57" s="108"/>
      <c r="C57" s="109">
        <v>46022</v>
      </c>
      <c r="D57" s="110" t="s">
        <v>28</v>
      </c>
      <c r="E57" s="110" t="s">
        <v>4254</v>
      </c>
      <c r="F57" s="110" t="s">
        <v>30</v>
      </c>
      <c r="G57" s="110">
        <v>12</v>
      </c>
      <c r="H57" s="110" t="s">
        <v>4451</v>
      </c>
      <c r="I57" s="110" t="s">
        <v>4452</v>
      </c>
      <c r="J57" s="110"/>
      <c r="K57" s="110" t="s">
        <v>4453</v>
      </c>
      <c r="L57" s="110" t="s">
        <v>4454</v>
      </c>
      <c r="M57" s="110">
        <v>1250</v>
      </c>
      <c r="N57" s="110">
        <v>1250</v>
      </c>
      <c r="O57" s="111"/>
      <c r="P57" s="112" t="s">
        <v>27</v>
      </c>
      <c r="Q57" s="110" t="s">
        <v>35</v>
      </c>
      <c r="R57" s="110" t="s">
        <v>27</v>
      </c>
      <c r="S57" s="110"/>
      <c r="T57" s="110">
        <f t="shared" si="0"/>
        <v>1250</v>
      </c>
      <c r="U57" s="110"/>
      <c r="V57" s="110"/>
      <c r="W57" s="110"/>
      <c r="X57" s="110" t="s">
        <v>89</v>
      </c>
      <c r="Y57" s="110" t="s">
        <v>89</v>
      </c>
      <c r="AA57" s="113" t="e">
        <v>#N/A</v>
      </c>
      <c r="AB57" s="113" t="e">
        <v>#N/A</v>
      </c>
    </row>
    <row r="58" spans="1:28">
      <c r="A58" s="108">
        <v>57</v>
      </c>
      <c r="B58" s="108"/>
      <c r="C58" s="109">
        <v>46022</v>
      </c>
      <c r="D58" s="110" t="s">
        <v>28</v>
      </c>
      <c r="E58" s="110" t="s">
        <v>4254</v>
      </c>
      <c r="F58" s="110" t="s">
        <v>30</v>
      </c>
      <c r="G58" s="110">
        <v>12</v>
      </c>
      <c r="H58" s="110" t="s">
        <v>4455</v>
      </c>
      <c r="I58" s="110" t="s">
        <v>4456</v>
      </c>
      <c r="J58" s="110"/>
      <c r="K58" s="110" t="s">
        <v>4457</v>
      </c>
      <c r="L58" s="110" t="s">
        <v>4458</v>
      </c>
      <c r="M58" s="110">
        <v>313.41000000000003</v>
      </c>
      <c r="N58" s="110">
        <v>313.41000000000003</v>
      </c>
      <c r="O58" s="111"/>
      <c r="P58" s="112" t="s">
        <v>27</v>
      </c>
      <c r="Q58" s="110" t="s">
        <v>35</v>
      </c>
      <c r="R58" s="110" t="s">
        <v>27</v>
      </c>
      <c r="S58" s="110"/>
      <c r="T58" s="110">
        <f t="shared" si="0"/>
        <v>313.41000000000003</v>
      </c>
      <c r="U58" s="110"/>
      <c r="V58" s="110"/>
      <c r="W58" s="110"/>
      <c r="X58" s="110" t="s">
        <v>82</v>
      </c>
      <c r="Y58" s="110" t="s">
        <v>82</v>
      </c>
      <c r="AA58" s="113" t="e">
        <v>#N/A</v>
      </c>
      <c r="AB58" s="113" t="e">
        <v>#N/A</v>
      </c>
    </row>
    <row r="59" spans="1:28">
      <c r="A59" s="108">
        <v>58</v>
      </c>
      <c r="B59" s="108"/>
      <c r="C59" s="109">
        <v>46024</v>
      </c>
      <c r="D59" s="110" t="s">
        <v>226</v>
      </c>
      <c r="E59" s="110" t="s">
        <v>4254</v>
      </c>
      <c r="F59" s="110" t="s">
        <v>336</v>
      </c>
      <c r="G59" s="110">
        <v>2</v>
      </c>
      <c r="H59" s="110" t="s">
        <v>4459</v>
      </c>
      <c r="I59" s="114">
        <v>9666918888</v>
      </c>
      <c r="J59" s="114"/>
      <c r="K59" s="115" t="s">
        <v>348</v>
      </c>
      <c r="L59" s="115" t="s">
        <v>348</v>
      </c>
      <c r="M59" s="110">
        <v>9540</v>
      </c>
      <c r="N59" s="110">
        <v>9540</v>
      </c>
      <c r="O59" s="111">
        <v>46060</v>
      </c>
      <c r="P59" s="112" t="s">
        <v>340</v>
      </c>
      <c r="Q59" s="110" t="s">
        <v>52</v>
      </c>
      <c r="R59" s="110" t="s">
        <v>340</v>
      </c>
      <c r="S59" s="110">
        <v>9540</v>
      </c>
      <c r="T59" s="110">
        <f t="shared" si="0"/>
        <v>0</v>
      </c>
      <c r="U59" s="111">
        <v>46060</v>
      </c>
      <c r="V59" s="110" t="s">
        <v>4460</v>
      </c>
      <c r="W59" s="110" t="s">
        <v>54</v>
      </c>
      <c r="X59" s="110"/>
      <c r="Y59" s="110" t="s">
        <v>350</v>
      </c>
      <c r="AA59" s="113" t="s">
        <v>11</v>
      </c>
      <c r="AB59" s="113" t="s">
        <v>4461</v>
      </c>
    </row>
    <row r="60" spans="1:28">
      <c r="A60" s="108">
        <v>59</v>
      </c>
      <c r="B60" s="108" t="s">
        <v>225</v>
      </c>
      <c r="C60" s="109">
        <v>46024</v>
      </c>
      <c r="D60" s="110" t="s">
        <v>226</v>
      </c>
      <c r="E60" s="110" t="s">
        <v>4254</v>
      </c>
      <c r="F60" s="110" t="s">
        <v>336</v>
      </c>
      <c r="G60" s="110">
        <v>2</v>
      </c>
      <c r="H60" s="110" t="s">
        <v>4462</v>
      </c>
      <c r="I60" s="114">
        <v>9533339432</v>
      </c>
      <c r="J60" s="114"/>
      <c r="K60" s="115" t="s">
        <v>4463</v>
      </c>
      <c r="L60" s="115" t="s">
        <v>4463</v>
      </c>
      <c r="M60" s="110">
        <v>9350</v>
      </c>
      <c r="N60" s="110">
        <v>355</v>
      </c>
      <c r="O60" s="111"/>
      <c r="P60" s="112"/>
      <c r="Q60" s="110"/>
      <c r="R60" s="110" t="s">
        <v>340</v>
      </c>
      <c r="S60" s="110"/>
      <c r="T60" s="110">
        <f t="shared" si="0"/>
        <v>355</v>
      </c>
      <c r="U60" s="110"/>
      <c r="V60" s="110"/>
      <c r="W60" s="110"/>
      <c r="X60" s="110"/>
      <c r="Y60" s="110" t="s">
        <v>370</v>
      </c>
      <c r="AA60" s="113" t="s">
        <v>11</v>
      </c>
      <c r="AB60" s="113" t="s">
        <v>4464</v>
      </c>
    </row>
    <row r="61" spans="1:28">
      <c r="A61" s="108">
        <v>60</v>
      </c>
      <c r="B61" s="108" t="s">
        <v>225</v>
      </c>
      <c r="C61" s="109">
        <v>46024</v>
      </c>
      <c r="D61" s="110" t="s">
        <v>226</v>
      </c>
      <c r="E61" s="110" t="s">
        <v>4254</v>
      </c>
      <c r="F61" s="110" t="s">
        <v>364</v>
      </c>
      <c r="G61" s="110">
        <v>2</v>
      </c>
      <c r="H61" s="110" t="s">
        <v>4465</v>
      </c>
      <c r="I61" s="114">
        <v>7799653969</v>
      </c>
      <c r="J61" s="114"/>
      <c r="K61" s="115" t="s">
        <v>4466</v>
      </c>
      <c r="L61" s="115" t="s">
        <v>4466</v>
      </c>
      <c r="M61" s="110">
        <v>6220</v>
      </c>
      <c r="N61" s="110">
        <v>6230</v>
      </c>
      <c r="O61" s="111"/>
      <c r="P61" s="112"/>
      <c r="Q61" s="110"/>
      <c r="R61" s="110" t="s">
        <v>4467</v>
      </c>
      <c r="S61" s="110"/>
      <c r="T61" s="110">
        <f t="shared" si="0"/>
        <v>6230</v>
      </c>
      <c r="U61" s="110"/>
      <c r="V61" s="110"/>
      <c r="W61" s="110"/>
      <c r="X61" s="110" t="s">
        <v>2442</v>
      </c>
      <c r="Y61" s="110" t="s">
        <v>2442</v>
      </c>
      <c r="AA61" s="113" t="s">
        <v>11</v>
      </c>
      <c r="AB61" s="113" t="s">
        <v>4254</v>
      </c>
    </row>
    <row r="62" spans="1:28">
      <c r="A62" s="108">
        <v>61</v>
      </c>
      <c r="B62" s="108" t="s">
        <v>225</v>
      </c>
      <c r="C62" s="109">
        <v>46024</v>
      </c>
      <c r="D62" s="110" t="s">
        <v>226</v>
      </c>
      <c r="E62" s="110" t="s">
        <v>4254</v>
      </c>
      <c r="F62" s="110" t="s">
        <v>310</v>
      </c>
      <c r="G62" s="110">
        <v>2</v>
      </c>
      <c r="H62" s="110" t="s">
        <v>4468</v>
      </c>
      <c r="I62" s="114">
        <v>7093932937</v>
      </c>
      <c r="J62" s="114"/>
      <c r="K62" s="115" t="s">
        <v>4469</v>
      </c>
      <c r="L62" s="115" t="s">
        <v>4469</v>
      </c>
      <c r="M62" s="114">
        <v>19390</v>
      </c>
      <c r="N62" s="110">
        <v>8465</v>
      </c>
      <c r="O62" s="111">
        <v>46047</v>
      </c>
      <c r="P62" s="112" t="s">
        <v>315</v>
      </c>
      <c r="Q62" s="110" t="s">
        <v>52</v>
      </c>
      <c r="R62" s="110" t="s">
        <v>3580</v>
      </c>
      <c r="S62" s="110">
        <v>8400</v>
      </c>
      <c r="T62" s="110">
        <f t="shared" si="0"/>
        <v>65</v>
      </c>
      <c r="U62" s="111">
        <v>46047</v>
      </c>
      <c r="V62" s="110" t="s">
        <v>4470</v>
      </c>
      <c r="W62" s="110" t="s">
        <v>54</v>
      </c>
      <c r="X62" s="110" t="s">
        <v>315</v>
      </c>
      <c r="Y62" s="110" t="s">
        <v>4471</v>
      </c>
      <c r="AA62" s="113" t="s">
        <v>4472</v>
      </c>
      <c r="AB62" s="113" t="s">
        <v>4461</v>
      </c>
    </row>
    <row r="63" spans="1:28">
      <c r="A63" s="108">
        <v>62</v>
      </c>
      <c r="B63" s="108" t="s">
        <v>225</v>
      </c>
      <c r="C63" s="109">
        <v>46024</v>
      </c>
      <c r="D63" s="110" t="s">
        <v>226</v>
      </c>
      <c r="E63" s="110" t="s">
        <v>4254</v>
      </c>
      <c r="F63" s="110" t="s">
        <v>310</v>
      </c>
      <c r="G63" s="110">
        <v>2</v>
      </c>
      <c r="H63" s="110" t="s">
        <v>4473</v>
      </c>
      <c r="I63" s="114">
        <v>9703155330</v>
      </c>
      <c r="J63" s="114"/>
      <c r="K63" s="115" t="s">
        <v>4474</v>
      </c>
      <c r="L63" s="115" t="s">
        <v>4474</v>
      </c>
      <c r="M63" s="116">
        <v>26910</v>
      </c>
      <c r="N63" s="110">
        <v>5915</v>
      </c>
      <c r="O63" s="111"/>
      <c r="P63" s="112" t="s">
        <v>4475</v>
      </c>
      <c r="Q63" s="110"/>
      <c r="R63" s="110" t="s">
        <v>3580</v>
      </c>
      <c r="S63" s="110"/>
      <c r="T63" s="110">
        <f t="shared" si="0"/>
        <v>5915</v>
      </c>
      <c r="U63" s="110"/>
      <c r="V63" s="110"/>
      <c r="W63" s="110"/>
      <c r="X63" s="110" t="s">
        <v>4475</v>
      </c>
      <c r="Y63" s="110" t="s">
        <v>4476</v>
      </c>
      <c r="AA63" s="113" t="s">
        <v>11</v>
      </c>
      <c r="AB63" s="113" t="s">
        <v>4254</v>
      </c>
    </row>
    <row r="64" spans="1:28">
      <c r="A64" s="108">
        <v>63</v>
      </c>
      <c r="B64" s="108"/>
      <c r="C64" s="109">
        <v>46024</v>
      </c>
      <c r="D64" s="110" t="s">
        <v>226</v>
      </c>
      <c r="E64" s="110" t="s">
        <v>4254</v>
      </c>
      <c r="F64" s="110" t="s">
        <v>294</v>
      </c>
      <c r="G64" s="110">
        <v>2</v>
      </c>
      <c r="H64" s="110" t="s">
        <v>4477</v>
      </c>
      <c r="I64" s="114">
        <v>9703918164</v>
      </c>
      <c r="J64" s="114"/>
      <c r="K64" s="115" t="s">
        <v>297</v>
      </c>
      <c r="L64" s="115" t="s">
        <v>297</v>
      </c>
      <c r="M64" s="110">
        <v>24750</v>
      </c>
      <c r="N64" s="110">
        <v>24750</v>
      </c>
      <c r="O64" s="111">
        <v>46030</v>
      </c>
      <c r="P64" s="112" t="s">
        <v>298</v>
      </c>
      <c r="Q64" s="110" t="s">
        <v>52</v>
      </c>
      <c r="R64" s="116" t="s">
        <v>298</v>
      </c>
      <c r="S64" s="110">
        <v>24750</v>
      </c>
      <c r="T64" s="110">
        <f t="shared" si="0"/>
        <v>0</v>
      </c>
      <c r="U64" s="111">
        <v>46030</v>
      </c>
      <c r="V64" s="110" t="s">
        <v>4478</v>
      </c>
      <c r="W64" s="110" t="s">
        <v>54</v>
      </c>
      <c r="X64" s="110" t="s">
        <v>298</v>
      </c>
      <c r="Y64" s="110" t="s">
        <v>298</v>
      </c>
      <c r="AA64" s="113" t="s">
        <v>11</v>
      </c>
      <c r="AB64" s="113" t="s">
        <v>4479</v>
      </c>
    </row>
    <row r="65" spans="1:28">
      <c r="A65" s="108">
        <v>64</v>
      </c>
      <c r="B65" s="108"/>
      <c r="C65" s="109">
        <v>46024</v>
      </c>
      <c r="D65" s="110" t="s">
        <v>226</v>
      </c>
      <c r="E65" s="110" t="s">
        <v>4254</v>
      </c>
      <c r="F65" s="110" t="s">
        <v>4480</v>
      </c>
      <c r="G65" s="110">
        <v>2</v>
      </c>
      <c r="H65" s="110" t="s">
        <v>4481</v>
      </c>
      <c r="I65" s="114">
        <v>9989155943</v>
      </c>
      <c r="J65" s="114"/>
      <c r="K65" s="115" t="s">
        <v>4482</v>
      </c>
      <c r="L65" s="115" t="s">
        <v>4482</v>
      </c>
      <c r="M65" s="110">
        <v>5300</v>
      </c>
      <c r="N65" s="110">
        <v>1300</v>
      </c>
      <c r="O65" s="111">
        <v>46028</v>
      </c>
      <c r="P65" s="112" t="s">
        <v>1060</v>
      </c>
      <c r="Q65" s="110" t="s">
        <v>52</v>
      </c>
      <c r="R65" s="110" t="s">
        <v>1060</v>
      </c>
      <c r="S65" s="110">
        <v>1300</v>
      </c>
      <c r="T65" s="110">
        <f t="shared" si="0"/>
        <v>0</v>
      </c>
      <c r="U65" s="111">
        <v>46028</v>
      </c>
      <c r="V65" s="110" t="s">
        <v>4483</v>
      </c>
      <c r="W65" s="110" t="s">
        <v>54</v>
      </c>
      <c r="X65" s="110"/>
      <c r="Y65" s="110"/>
      <c r="AA65" s="113" t="s">
        <v>4484</v>
      </c>
      <c r="AB65" s="113" t="s">
        <v>4485</v>
      </c>
    </row>
    <row r="66" spans="1:28" ht="15">
      <c r="A66" s="108">
        <v>65</v>
      </c>
      <c r="B66" s="108"/>
      <c r="C66" s="109">
        <v>46024</v>
      </c>
      <c r="D66" s="110" t="s">
        <v>28</v>
      </c>
      <c r="E66" s="110" t="s">
        <v>4254</v>
      </c>
      <c r="F66" s="110" t="s">
        <v>30</v>
      </c>
      <c r="G66" s="110">
        <v>14</v>
      </c>
      <c r="H66" s="117" t="s">
        <v>4486</v>
      </c>
      <c r="I66" s="110" t="s">
        <v>4487</v>
      </c>
      <c r="J66" s="110"/>
      <c r="K66" s="110" t="s">
        <v>4488</v>
      </c>
      <c r="L66" s="110"/>
      <c r="M66" s="110">
        <v>11926.03</v>
      </c>
      <c r="N66" s="110">
        <v>11926.03</v>
      </c>
      <c r="O66" s="111"/>
      <c r="P66" s="112" t="s">
        <v>27</v>
      </c>
      <c r="Q66" s="110" t="s">
        <v>35</v>
      </c>
      <c r="R66" s="110" t="s">
        <v>27</v>
      </c>
      <c r="S66" s="110"/>
      <c r="T66" s="110">
        <f t="shared" ref="T66:T129" si="1">N66-S66</f>
        <v>11926.03</v>
      </c>
      <c r="U66" s="110"/>
      <c r="V66" s="110"/>
      <c r="W66" s="110"/>
      <c r="X66" s="110" t="s">
        <v>117</v>
      </c>
      <c r="Y66" s="110" t="s">
        <v>117</v>
      </c>
      <c r="AA66" s="113" t="e">
        <v>#N/A</v>
      </c>
      <c r="AB66" s="113" t="e">
        <v>#N/A</v>
      </c>
    </row>
    <row r="67" spans="1:28" ht="15">
      <c r="A67" s="108">
        <v>66</v>
      </c>
      <c r="B67" s="108"/>
      <c r="C67" s="109">
        <v>46024</v>
      </c>
      <c r="D67" s="110" t="s">
        <v>28</v>
      </c>
      <c r="E67" s="110" t="s">
        <v>4254</v>
      </c>
      <c r="F67" s="110" t="s">
        <v>30</v>
      </c>
      <c r="G67" s="110">
        <v>14</v>
      </c>
      <c r="H67" s="117" t="s">
        <v>4489</v>
      </c>
      <c r="I67" s="110" t="s">
        <v>4490</v>
      </c>
      <c r="J67" s="110"/>
      <c r="K67" s="110" t="s">
        <v>4491</v>
      </c>
      <c r="L67" s="110"/>
      <c r="M67" s="110">
        <v>13572.35</v>
      </c>
      <c r="N67" s="110">
        <v>13572.35</v>
      </c>
      <c r="O67" s="111"/>
      <c r="P67" s="112" t="s">
        <v>27</v>
      </c>
      <c r="Q67" s="110" t="s">
        <v>35</v>
      </c>
      <c r="R67" s="110" t="s">
        <v>27</v>
      </c>
      <c r="S67" s="110"/>
      <c r="T67" s="110">
        <f t="shared" si="1"/>
        <v>13572.35</v>
      </c>
      <c r="U67" s="110"/>
      <c r="V67" s="110"/>
      <c r="W67" s="110"/>
      <c r="X67" s="110" t="s">
        <v>69</v>
      </c>
      <c r="Y67" s="110" t="s">
        <v>69</v>
      </c>
      <c r="AA67" s="113" t="e">
        <v>#N/A</v>
      </c>
      <c r="AB67" s="113" t="e">
        <v>#N/A</v>
      </c>
    </row>
    <row r="68" spans="1:28" ht="15">
      <c r="A68" s="108">
        <v>67</v>
      </c>
      <c r="B68" s="108"/>
      <c r="C68" s="109">
        <v>46024</v>
      </c>
      <c r="D68" s="110" t="s">
        <v>28</v>
      </c>
      <c r="E68" s="110" t="s">
        <v>4254</v>
      </c>
      <c r="F68" s="110" t="s">
        <v>30</v>
      </c>
      <c r="G68" s="110">
        <v>14</v>
      </c>
      <c r="H68" s="117" t="s">
        <v>4492</v>
      </c>
      <c r="I68" s="110" t="s">
        <v>4493</v>
      </c>
      <c r="J68" s="110"/>
      <c r="K68" s="110" t="s">
        <v>4494</v>
      </c>
      <c r="L68" s="110" t="s">
        <v>4495</v>
      </c>
      <c r="M68" s="110">
        <v>15135.35</v>
      </c>
      <c r="N68" s="110">
        <v>15135.35</v>
      </c>
      <c r="O68" s="111"/>
      <c r="P68" s="112" t="s">
        <v>27</v>
      </c>
      <c r="Q68" s="110" t="s">
        <v>35</v>
      </c>
      <c r="R68" s="110" t="s">
        <v>27</v>
      </c>
      <c r="S68" s="110"/>
      <c r="T68" s="110">
        <f t="shared" si="1"/>
        <v>15135.35</v>
      </c>
      <c r="U68" s="110"/>
      <c r="V68" s="110"/>
      <c r="W68" s="110"/>
      <c r="X68" s="110" t="s">
        <v>124</v>
      </c>
      <c r="Y68" s="110" t="s">
        <v>124</v>
      </c>
      <c r="AA68" s="113" t="e">
        <v>#N/A</v>
      </c>
      <c r="AB68" s="113" t="e">
        <v>#N/A</v>
      </c>
    </row>
    <row r="69" spans="1:28" ht="15">
      <c r="A69" s="108">
        <v>68</v>
      </c>
      <c r="B69" s="108"/>
      <c r="C69" s="109">
        <v>46024</v>
      </c>
      <c r="D69" s="110" t="s">
        <v>28</v>
      </c>
      <c r="E69" s="110" t="s">
        <v>4254</v>
      </c>
      <c r="F69" s="110" t="s">
        <v>30</v>
      </c>
      <c r="G69" s="110">
        <v>14</v>
      </c>
      <c r="H69" s="117" t="s">
        <v>4496</v>
      </c>
      <c r="I69" s="110" t="s">
        <v>4497</v>
      </c>
      <c r="J69" s="110"/>
      <c r="K69" s="110" t="s">
        <v>4498</v>
      </c>
      <c r="L69" s="110" t="s">
        <v>4499</v>
      </c>
      <c r="M69" s="110">
        <v>13078.27</v>
      </c>
      <c r="N69" s="110">
        <v>13078.27</v>
      </c>
      <c r="O69" s="111"/>
      <c r="P69" s="112" t="s">
        <v>27</v>
      </c>
      <c r="Q69" s="110" t="s">
        <v>35</v>
      </c>
      <c r="R69" s="110" t="s">
        <v>27</v>
      </c>
      <c r="S69" s="110"/>
      <c r="T69" s="110">
        <f t="shared" si="1"/>
        <v>13078.27</v>
      </c>
      <c r="U69" s="110"/>
      <c r="V69" s="110"/>
      <c r="W69" s="110"/>
      <c r="X69" s="110" t="s">
        <v>117</v>
      </c>
      <c r="Y69" s="110" t="s">
        <v>117</v>
      </c>
      <c r="AA69" s="113" t="e">
        <v>#N/A</v>
      </c>
      <c r="AB69" s="113" t="e">
        <v>#N/A</v>
      </c>
    </row>
    <row r="70" spans="1:28" ht="15">
      <c r="A70" s="108">
        <v>69</v>
      </c>
      <c r="B70" s="108"/>
      <c r="C70" s="109">
        <v>46024</v>
      </c>
      <c r="D70" s="110" t="s">
        <v>28</v>
      </c>
      <c r="E70" s="110" t="s">
        <v>4254</v>
      </c>
      <c r="F70" s="110" t="s">
        <v>30</v>
      </c>
      <c r="G70" s="110">
        <v>14</v>
      </c>
      <c r="H70" s="117" t="s">
        <v>4486</v>
      </c>
      <c r="I70" s="110" t="s">
        <v>4487</v>
      </c>
      <c r="J70" s="110"/>
      <c r="K70" s="110" t="s">
        <v>4500</v>
      </c>
      <c r="L70" s="110"/>
      <c r="M70" s="110">
        <v>14431.8</v>
      </c>
      <c r="N70" s="110">
        <v>14431.8</v>
      </c>
      <c r="O70" s="111"/>
      <c r="P70" s="112" t="s">
        <v>27</v>
      </c>
      <c r="Q70" s="110" t="s">
        <v>35</v>
      </c>
      <c r="R70" s="110" t="s">
        <v>27</v>
      </c>
      <c r="S70" s="110"/>
      <c r="T70" s="110">
        <f t="shared" si="1"/>
        <v>14431.8</v>
      </c>
      <c r="U70" s="110"/>
      <c r="V70" s="110"/>
      <c r="W70" s="110"/>
      <c r="X70" s="110" t="s">
        <v>36</v>
      </c>
      <c r="Y70" s="110" t="s">
        <v>36</v>
      </c>
      <c r="AA70" s="113" t="e">
        <v>#N/A</v>
      </c>
      <c r="AB70" s="113" t="e">
        <v>#N/A</v>
      </c>
    </row>
    <row r="71" spans="1:28">
      <c r="A71" s="108">
        <v>70</v>
      </c>
      <c r="B71" s="108"/>
      <c r="C71" s="109">
        <v>46024</v>
      </c>
      <c r="D71" s="110" t="s">
        <v>28</v>
      </c>
      <c r="E71" s="110" t="s">
        <v>4254</v>
      </c>
      <c r="F71" s="110" t="s">
        <v>30</v>
      </c>
      <c r="G71" s="110">
        <v>14</v>
      </c>
      <c r="H71" s="110" t="s">
        <v>4501</v>
      </c>
      <c r="I71" s="110" t="s">
        <v>4502</v>
      </c>
      <c r="J71" s="110"/>
      <c r="K71" s="110" t="s">
        <v>4503</v>
      </c>
      <c r="L71" s="110" t="s">
        <v>4504</v>
      </c>
      <c r="M71" s="110">
        <v>10844</v>
      </c>
      <c r="N71" s="110">
        <v>10844</v>
      </c>
      <c r="O71" s="111"/>
      <c r="P71" s="112" t="s">
        <v>27</v>
      </c>
      <c r="Q71" s="110" t="s">
        <v>35</v>
      </c>
      <c r="R71" s="110" t="s">
        <v>27</v>
      </c>
      <c r="S71" s="110"/>
      <c r="T71" s="110">
        <f t="shared" si="1"/>
        <v>10844</v>
      </c>
      <c r="U71" s="110"/>
      <c r="V71" s="110"/>
      <c r="W71" s="110"/>
      <c r="X71" s="110" t="s">
        <v>89</v>
      </c>
      <c r="Y71" s="110" t="s">
        <v>89</v>
      </c>
      <c r="AA71" s="113" t="e">
        <v>#N/A</v>
      </c>
      <c r="AB71" s="113" t="e">
        <v>#N/A</v>
      </c>
    </row>
    <row r="72" spans="1:28">
      <c r="A72" s="108">
        <v>71</v>
      </c>
      <c r="B72" s="108"/>
      <c r="C72" s="109">
        <v>46024</v>
      </c>
      <c r="D72" s="110" t="s">
        <v>28</v>
      </c>
      <c r="E72" s="110" t="s">
        <v>4254</v>
      </c>
      <c r="F72" s="110" t="s">
        <v>30</v>
      </c>
      <c r="G72" s="110">
        <v>14</v>
      </c>
      <c r="H72" s="110" t="s">
        <v>4505</v>
      </c>
      <c r="I72" s="110" t="s">
        <v>4506</v>
      </c>
      <c r="J72" s="110"/>
      <c r="K72" s="110" t="s">
        <v>4507</v>
      </c>
      <c r="L72" s="110" t="s">
        <v>4508</v>
      </c>
      <c r="M72" s="110">
        <v>10200.59</v>
      </c>
      <c r="N72" s="110">
        <v>10200.59</v>
      </c>
      <c r="O72" s="111"/>
      <c r="P72" s="112" t="s">
        <v>27</v>
      </c>
      <c r="Q72" s="110" t="s">
        <v>35</v>
      </c>
      <c r="R72" s="110" t="s">
        <v>27</v>
      </c>
      <c r="S72" s="110"/>
      <c r="T72" s="110">
        <f t="shared" si="1"/>
        <v>10200.59</v>
      </c>
      <c r="U72" s="110"/>
      <c r="V72" s="110"/>
      <c r="W72" s="110"/>
      <c r="X72" s="110" t="s">
        <v>89</v>
      </c>
      <c r="Y72" s="110" t="s">
        <v>89</v>
      </c>
      <c r="AA72" s="113" t="e">
        <v>#N/A</v>
      </c>
      <c r="AB72" s="113" t="e">
        <v>#N/A</v>
      </c>
    </row>
    <row r="73" spans="1:28">
      <c r="A73" s="108">
        <v>72</v>
      </c>
      <c r="B73" s="108"/>
      <c r="C73" s="109">
        <v>46024</v>
      </c>
      <c r="D73" s="110" t="s">
        <v>28</v>
      </c>
      <c r="E73" s="110" t="s">
        <v>4254</v>
      </c>
      <c r="F73" s="110" t="s">
        <v>30</v>
      </c>
      <c r="G73" s="110">
        <v>14</v>
      </c>
      <c r="H73" s="110" t="s">
        <v>4509</v>
      </c>
      <c r="I73" s="110" t="s">
        <v>4510</v>
      </c>
      <c r="J73" s="110"/>
      <c r="K73" s="110" t="s">
        <v>4511</v>
      </c>
      <c r="L73" s="110" t="s">
        <v>4512</v>
      </c>
      <c r="M73" s="110">
        <v>10055.49</v>
      </c>
      <c r="N73" s="110">
        <v>10055.49</v>
      </c>
      <c r="O73" s="111"/>
      <c r="P73" s="112" t="s">
        <v>27</v>
      </c>
      <c r="Q73" s="110" t="s">
        <v>35</v>
      </c>
      <c r="R73" s="110" t="s">
        <v>27</v>
      </c>
      <c r="S73" s="110"/>
      <c r="T73" s="110">
        <f t="shared" si="1"/>
        <v>10055.49</v>
      </c>
      <c r="U73" s="110"/>
      <c r="V73" s="110"/>
      <c r="W73" s="110"/>
      <c r="X73" s="110" t="s">
        <v>124</v>
      </c>
      <c r="Y73" s="110" t="s">
        <v>124</v>
      </c>
      <c r="AA73" s="113" t="e">
        <v>#N/A</v>
      </c>
      <c r="AB73" s="113" t="e">
        <v>#N/A</v>
      </c>
    </row>
    <row r="74" spans="1:28">
      <c r="A74" s="108">
        <v>73</v>
      </c>
      <c r="B74" s="108"/>
      <c r="C74" s="109">
        <v>46024</v>
      </c>
      <c r="D74" s="110" t="s">
        <v>28</v>
      </c>
      <c r="E74" s="110" t="s">
        <v>4254</v>
      </c>
      <c r="F74" s="110" t="s">
        <v>30</v>
      </c>
      <c r="G74" s="110">
        <v>14</v>
      </c>
      <c r="H74" s="110" t="s">
        <v>4513</v>
      </c>
      <c r="I74" s="110" t="s">
        <v>4514</v>
      </c>
      <c r="J74" s="110"/>
      <c r="K74" s="110" t="s">
        <v>4515</v>
      </c>
      <c r="L74" s="110" t="s">
        <v>4499</v>
      </c>
      <c r="M74" s="110">
        <v>10245.709999999999</v>
      </c>
      <c r="N74" s="110">
        <v>10245.709999999999</v>
      </c>
      <c r="O74" s="111"/>
      <c r="P74" s="112" t="s">
        <v>27</v>
      </c>
      <c r="Q74" s="110" t="s">
        <v>35</v>
      </c>
      <c r="R74" s="110" t="s">
        <v>27</v>
      </c>
      <c r="S74" s="110"/>
      <c r="T74" s="110">
        <f t="shared" si="1"/>
        <v>10245.709999999999</v>
      </c>
      <c r="U74" s="110"/>
      <c r="V74" s="110"/>
      <c r="W74" s="110"/>
      <c r="X74" s="110" t="s">
        <v>82</v>
      </c>
      <c r="Y74" s="110" t="s">
        <v>82</v>
      </c>
      <c r="AA74" s="113" t="e">
        <v>#N/A</v>
      </c>
      <c r="AB74" s="113" t="e">
        <v>#N/A</v>
      </c>
    </row>
    <row r="75" spans="1:28">
      <c r="A75" s="108">
        <v>74</v>
      </c>
      <c r="B75" s="108"/>
      <c r="C75" s="109">
        <v>46024</v>
      </c>
      <c r="D75" s="110" t="s">
        <v>28</v>
      </c>
      <c r="E75" s="110" t="s">
        <v>4254</v>
      </c>
      <c r="F75" s="110" t="s">
        <v>30</v>
      </c>
      <c r="G75" s="110">
        <v>14</v>
      </c>
      <c r="H75" s="110" t="s">
        <v>4516</v>
      </c>
      <c r="I75" s="110" t="s">
        <v>4517</v>
      </c>
      <c r="J75" s="110"/>
      <c r="K75" s="110" t="s">
        <v>4518</v>
      </c>
      <c r="L75" s="110" t="s">
        <v>4519</v>
      </c>
      <c r="M75" s="110">
        <v>8404.7199999999993</v>
      </c>
      <c r="N75" s="110">
        <v>8404.7199999999993</v>
      </c>
      <c r="O75" s="111"/>
      <c r="P75" s="112" t="s">
        <v>27</v>
      </c>
      <c r="Q75" s="110" t="s">
        <v>35</v>
      </c>
      <c r="R75" s="110" t="s">
        <v>27</v>
      </c>
      <c r="S75" s="110"/>
      <c r="T75" s="110">
        <f t="shared" si="1"/>
        <v>8404.7199999999993</v>
      </c>
      <c r="U75" s="110"/>
      <c r="V75" s="110"/>
      <c r="W75" s="110"/>
      <c r="X75" s="110" t="s">
        <v>36</v>
      </c>
      <c r="Y75" s="110" t="s">
        <v>36</v>
      </c>
      <c r="AA75" s="113" t="e">
        <v>#N/A</v>
      </c>
      <c r="AB75" s="113" t="e">
        <v>#N/A</v>
      </c>
    </row>
    <row r="76" spans="1:28">
      <c r="A76" s="108">
        <v>75</v>
      </c>
      <c r="B76" s="108"/>
      <c r="C76" s="109">
        <v>46024</v>
      </c>
      <c r="D76" s="110" t="s">
        <v>28</v>
      </c>
      <c r="E76" s="110" t="s">
        <v>4254</v>
      </c>
      <c r="F76" s="110" t="s">
        <v>30</v>
      </c>
      <c r="G76" s="110">
        <v>14</v>
      </c>
      <c r="H76" s="110" t="s">
        <v>4520</v>
      </c>
      <c r="I76" s="110" t="s">
        <v>4521</v>
      </c>
      <c r="J76" s="110"/>
      <c r="K76" s="110" t="s">
        <v>4522</v>
      </c>
      <c r="L76" s="110" t="s">
        <v>4523</v>
      </c>
      <c r="M76" s="110">
        <v>7408.03</v>
      </c>
      <c r="N76" s="110">
        <v>7408.03</v>
      </c>
      <c r="O76" s="111"/>
      <c r="P76" s="112" t="s">
        <v>27</v>
      </c>
      <c r="Q76" s="110" t="s">
        <v>35</v>
      </c>
      <c r="R76" s="110" t="s">
        <v>27</v>
      </c>
      <c r="S76" s="110"/>
      <c r="T76" s="110">
        <f t="shared" si="1"/>
        <v>7408.03</v>
      </c>
      <c r="U76" s="110"/>
      <c r="V76" s="110"/>
      <c r="W76" s="110"/>
      <c r="X76" s="110" t="s">
        <v>76</v>
      </c>
      <c r="Y76" s="110" t="s">
        <v>76</v>
      </c>
      <c r="AA76" s="113" t="e">
        <v>#N/A</v>
      </c>
      <c r="AB76" s="113" t="e">
        <v>#N/A</v>
      </c>
    </row>
    <row r="77" spans="1:28">
      <c r="A77" s="108">
        <v>76</v>
      </c>
      <c r="B77" s="108"/>
      <c r="C77" s="109">
        <v>46024</v>
      </c>
      <c r="D77" s="110" t="s">
        <v>28</v>
      </c>
      <c r="E77" s="110" t="s">
        <v>4254</v>
      </c>
      <c r="F77" s="110" t="s">
        <v>30</v>
      </c>
      <c r="G77" s="110">
        <v>14</v>
      </c>
      <c r="H77" s="110" t="s">
        <v>4524</v>
      </c>
      <c r="I77" s="110" t="s">
        <v>4525</v>
      </c>
      <c r="J77" s="110"/>
      <c r="K77" s="110" t="s">
        <v>4526</v>
      </c>
      <c r="L77" s="110" t="s">
        <v>4527</v>
      </c>
      <c r="M77" s="110">
        <v>7162.95</v>
      </c>
      <c r="N77" s="110">
        <v>7162.95</v>
      </c>
      <c r="O77" s="111"/>
      <c r="P77" s="112" t="s">
        <v>27</v>
      </c>
      <c r="Q77" s="110" t="s">
        <v>35</v>
      </c>
      <c r="R77" s="110" t="s">
        <v>27</v>
      </c>
      <c r="S77" s="110"/>
      <c r="T77" s="110">
        <f t="shared" si="1"/>
        <v>7162.95</v>
      </c>
      <c r="U77" s="110"/>
      <c r="V77" s="110"/>
      <c r="W77" s="110"/>
      <c r="X77" s="110" t="s">
        <v>62</v>
      </c>
      <c r="Y77" s="110" t="s">
        <v>62</v>
      </c>
      <c r="AA77" s="113" t="e">
        <v>#N/A</v>
      </c>
      <c r="AB77" s="113" t="e">
        <v>#N/A</v>
      </c>
    </row>
    <row r="78" spans="1:28">
      <c r="A78" s="108">
        <v>77</v>
      </c>
      <c r="B78" s="108"/>
      <c r="C78" s="109">
        <v>46024</v>
      </c>
      <c r="D78" s="110" t="s">
        <v>28</v>
      </c>
      <c r="E78" s="110" t="s">
        <v>4254</v>
      </c>
      <c r="F78" s="110" t="s">
        <v>30</v>
      </c>
      <c r="G78" s="110">
        <v>14</v>
      </c>
      <c r="H78" s="110" t="s">
        <v>4528</v>
      </c>
      <c r="I78" s="110" t="s">
        <v>4529</v>
      </c>
      <c r="J78" s="110"/>
      <c r="K78" s="110" t="s">
        <v>4530</v>
      </c>
      <c r="L78" s="110" t="s">
        <v>4531</v>
      </c>
      <c r="M78" s="110">
        <v>4854.49</v>
      </c>
      <c r="N78" s="110">
        <v>4854.49</v>
      </c>
      <c r="O78" s="111"/>
      <c r="P78" s="112" t="s">
        <v>27</v>
      </c>
      <c r="Q78" s="110" t="s">
        <v>35</v>
      </c>
      <c r="R78" s="110" t="s">
        <v>27</v>
      </c>
      <c r="S78" s="110"/>
      <c r="T78" s="110">
        <f t="shared" si="1"/>
        <v>4854.49</v>
      </c>
      <c r="U78" s="110"/>
      <c r="V78" s="110"/>
      <c r="W78" s="110"/>
      <c r="X78" s="110" t="s">
        <v>124</v>
      </c>
      <c r="Y78" s="110" t="s">
        <v>124</v>
      </c>
      <c r="AA78" s="113" t="e">
        <v>#N/A</v>
      </c>
      <c r="AB78" s="113" t="e">
        <v>#N/A</v>
      </c>
    </row>
    <row r="79" spans="1:28">
      <c r="A79" s="108">
        <v>78</v>
      </c>
      <c r="B79" s="108"/>
      <c r="C79" s="109">
        <v>46024</v>
      </c>
      <c r="D79" s="110" t="s">
        <v>28</v>
      </c>
      <c r="E79" s="110" t="s">
        <v>4254</v>
      </c>
      <c r="F79" s="110" t="s">
        <v>30</v>
      </c>
      <c r="G79" s="110">
        <v>14</v>
      </c>
      <c r="H79" s="110" t="s">
        <v>4532</v>
      </c>
      <c r="I79" s="110" t="s">
        <v>4533</v>
      </c>
      <c r="J79" s="110"/>
      <c r="K79" s="110" t="s">
        <v>4534</v>
      </c>
      <c r="L79" s="110" t="s">
        <v>4535</v>
      </c>
      <c r="M79" s="110">
        <v>4842.88</v>
      </c>
      <c r="N79" s="110">
        <v>4842.88</v>
      </c>
      <c r="O79" s="111"/>
      <c r="P79" s="112" t="s">
        <v>27</v>
      </c>
      <c r="Q79" s="110" t="s">
        <v>35</v>
      </c>
      <c r="R79" s="110" t="s">
        <v>27</v>
      </c>
      <c r="S79" s="110"/>
      <c r="T79" s="110">
        <f t="shared" si="1"/>
        <v>4842.88</v>
      </c>
      <c r="U79" s="110"/>
      <c r="V79" s="110"/>
      <c r="W79" s="110"/>
      <c r="X79" s="110" t="s">
        <v>37</v>
      </c>
      <c r="Y79" s="110" t="s">
        <v>37</v>
      </c>
      <c r="AA79" s="113" t="e">
        <v>#N/A</v>
      </c>
      <c r="AB79" s="113" t="e">
        <v>#N/A</v>
      </c>
    </row>
    <row r="80" spans="1:28">
      <c r="A80" s="108">
        <v>79</v>
      </c>
      <c r="B80" s="108"/>
      <c r="C80" s="109">
        <v>46024</v>
      </c>
      <c r="D80" s="110" t="s">
        <v>28</v>
      </c>
      <c r="E80" s="110" t="s">
        <v>4254</v>
      </c>
      <c r="F80" s="110" t="s">
        <v>30</v>
      </c>
      <c r="G80" s="110">
        <v>14</v>
      </c>
      <c r="H80" s="110" t="s">
        <v>1919</v>
      </c>
      <c r="I80" s="110" t="s">
        <v>4536</v>
      </c>
      <c r="J80" s="110"/>
      <c r="K80" s="110" t="s">
        <v>1921</v>
      </c>
      <c r="L80" s="110" t="s">
        <v>1922</v>
      </c>
      <c r="M80" s="110">
        <v>6453.56</v>
      </c>
      <c r="N80" s="110">
        <v>6453.56</v>
      </c>
      <c r="O80" s="111"/>
      <c r="P80" s="112" t="s">
        <v>27</v>
      </c>
      <c r="Q80" s="110" t="s">
        <v>35</v>
      </c>
      <c r="R80" s="110" t="s">
        <v>27</v>
      </c>
      <c r="S80" s="110"/>
      <c r="T80" s="110">
        <f t="shared" si="1"/>
        <v>6453.56</v>
      </c>
      <c r="U80" s="110"/>
      <c r="V80" s="110"/>
      <c r="W80" s="110"/>
      <c r="X80" s="110" t="s">
        <v>82</v>
      </c>
      <c r="Y80" s="110" t="s">
        <v>82</v>
      </c>
      <c r="AA80" s="113" t="e">
        <v>#N/A</v>
      </c>
      <c r="AB80" s="113" t="e">
        <v>#N/A</v>
      </c>
    </row>
    <row r="81" spans="1:28" ht="15">
      <c r="A81" s="108">
        <v>80</v>
      </c>
      <c r="B81" s="108"/>
      <c r="C81" s="109">
        <v>46024</v>
      </c>
      <c r="D81" s="110" t="s">
        <v>28</v>
      </c>
      <c r="E81" s="110" t="s">
        <v>4254</v>
      </c>
      <c r="F81" s="110" t="s">
        <v>30</v>
      </c>
      <c r="G81" s="110">
        <v>14</v>
      </c>
      <c r="H81" s="117" t="s">
        <v>4537</v>
      </c>
      <c r="I81" s="110" t="s">
        <v>4538</v>
      </c>
      <c r="J81" s="110"/>
      <c r="K81" s="110" t="s">
        <v>4539</v>
      </c>
      <c r="L81" s="110"/>
      <c r="M81" s="110">
        <v>5086.13</v>
      </c>
      <c r="N81" s="110">
        <v>5086.13</v>
      </c>
      <c r="O81" s="111"/>
      <c r="P81" s="112" t="s">
        <v>27</v>
      </c>
      <c r="Q81" s="110" t="s">
        <v>35</v>
      </c>
      <c r="R81" s="110" t="s">
        <v>27</v>
      </c>
      <c r="S81" s="110"/>
      <c r="T81" s="110">
        <f t="shared" si="1"/>
        <v>5086.13</v>
      </c>
      <c r="U81" s="110"/>
      <c r="V81" s="110"/>
      <c r="W81" s="110"/>
      <c r="X81" s="110" t="s">
        <v>89</v>
      </c>
      <c r="Y81" s="110" t="s">
        <v>89</v>
      </c>
      <c r="AA81" s="113" t="e">
        <v>#N/A</v>
      </c>
      <c r="AB81" s="113" t="e">
        <v>#N/A</v>
      </c>
    </row>
    <row r="82" spans="1:28" ht="15">
      <c r="A82" s="108">
        <v>81</v>
      </c>
      <c r="B82" s="108"/>
      <c r="C82" s="109">
        <v>46024</v>
      </c>
      <c r="D82" s="110" t="s">
        <v>28</v>
      </c>
      <c r="E82" s="110" t="s">
        <v>4254</v>
      </c>
      <c r="F82" s="110" t="s">
        <v>30</v>
      </c>
      <c r="G82" s="110">
        <v>14</v>
      </c>
      <c r="H82" s="117" t="s">
        <v>4540</v>
      </c>
      <c r="I82" s="110" t="s">
        <v>4541</v>
      </c>
      <c r="J82" s="110"/>
      <c r="K82" s="110" t="s">
        <v>4542</v>
      </c>
      <c r="L82" s="110"/>
      <c r="M82" s="110">
        <v>4754.84</v>
      </c>
      <c r="N82" s="110">
        <v>4754.84</v>
      </c>
      <c r="O82" s="111"/>
      <c r="P82" s="112" t="s">
        <v>27</v>
      </c>
      <c r="Q82" s="110" t="s">
        <v>35</v>
      </c>
      <c r="R82" s="110" t="s">
        <v>27</v>
      </c>
      <c r="S82" s="110"/>
      <c r="T82" s="110">
        <f t="shared" si="1"/>
        <v>4754.84</v>
      </c>
      <c r="U82" s="110"/>
      <c r="V82" s="110"/>
      <c r="W82" s="110"/>
      <c r="X82" s="110" t="s">
        <v>124</v>
      </c>
      <c r="Y82" s="110" t="s">
        <v>124</v>
      </c>
      <c r="AA82" s="113" t="e">
        <v>#N/A</v>
      </c>
      <c r="AB82" s="113" t="e">
        <v>#N/A</v>
      </c>
    </row>
    <row r="83" spans="1:28">
      <c r="A83" s="108">
        <v>82</v>
      </c>
      <c r="B83" s="108"/>
      <c r="C83" s="109">
        <v>46024</v>
      </c>
      <c r="D83" s="110" t="s">
        <v>28</v>
      </c>
      <c r="E83" s="110" t="s">
        <v>4254</v>
      </c>
      <c r="F83" s="110" t="s">
        <v>30</v>
      </c>
      <c r="G83" s="110">
        <v>14</v>
      </c>
      <c r="H83" s="110" t="s">
        <v>4543</v>
      </c>
      <c r="I83" s="110" t="s">
        <v>4544</v>
      </c>
      <c r="J83" s="110"/>
      <c r="K83" s="110" t="s">
        <v>4545</v>
      </c>
      <c r="L83" s="110" t="s">
        <v>4546</v>
      </c>
      <c r="M83" s="110">
        <v>3897.54</v>
      </c>
      <c r="N83" s="110">
        <v>3897.54</v>
      </c>
      <c r="O83" s="111"/>
      <c r="P83" s="112" t="s">
        <v>27</v>
      </c>
      <c r="Q83" s="110" t="s">
        <v>35</v>
      </c>
      <c r="R83" s="110" t="s">
        <v>27</v>
      </c>
      <c r="S83" s="110"/>
      <c r="T83" s="110">
        <f t="shared" si="1"/>
        <v>3897.54</v>
      </c>
      <c r="U83" s="110"/>
      <c r="V83" s="110"/>
      <c r="W83" s="110"/>
      <c r="X83" s="110" t="s">
        <v>69</v>
      </c>
      <c r="Y83" s="110" t="s">
        <v>69</v>
      </c>
      <c r="AA83" s="113" t="e">
        <v>#N/A</v>
      </c>
      <c r="AB83" s="113" t="e">
        <v>#N/A</v>
      </c>
    </row>
    <row r="84" spans="1:28">
      <c r="A84" s="108">
        <v>83</v>
      </c>
      <c r="B84" s="108"/>
      <c r="C84" s="109">
        <v>46024</v>
      </c>
      <c r="D84" s="110" t="s">
        <v>28</v>
      </c>
      <c r="E84" s="110" t="s">
        <v>4254</v>
      </c>
      <c r="F84" s="110" t="s">
        <v>30</v>
      </c>
      <c r="G84" s="110">
        <v>14</v>
      </c>
      <c r="H84" s="110" t="s">
        <v>4547</v>
      </c>
      <c r="I84" s="110" t="s">
        <v>4548</v>
      </c>
      <c r="J84" s="110"/>
      <c r="K84" s="110" t="s">
        <v>4549</v>
      </c>
      <c r="L84" s="110" t="s">
        <v>4550</v>
      </c>
      <c r="M84" s="110">
        <v>2946.06</v>
      </c>
      <c r="N84" s="110">
        <v>2946.06</v>
      </c>
      <c r="O84" s="111"/>
      <c r="P84" s="112" t="s">
        <v>27</v>
      </c>
      <c r="Q84" s="110" t="s">
        <v>35</v>
      </c>
      <c r="R84" s="110" t="s">
        <v>27</v>
      </c>
      <c r="S84" s="110"/>
      <c r="T84" s="110">
        <f t="shared" si="1"/>
        <v>2946.06</v>
      </c>
      <c r="U84" s="110"/>
      <c r="V84" s="110"/>
      <c r="W84" s="110"/>
      <c r="X84" s="110" t="s">
        <v>36</v>
      </c>
      <c r="Y84" s="110" t="s">
        <v>36</v>
      </c>
      <c r="AA84" s="113" t="e">
        <v>#N/A</v>
      </c>
      <c r="AB84" s="113" t="e">
        <v>#N/A</v>
      </c>
    </row>
    <row r="85" spans="1:28">
      <c r="A85" s="108">
        <v>84</v>
      </c>
      <c r="B85" s="108"/>
      <c r="C85" s="109">
        <v>46024</v>
      </c>
      <c r="D85" s="110" t="s">
        <v>28</v>
      </c>
      <c r="E85" s="110" t="s">
        <v>4254</v>
      </c>
      <c r="F85" s="110" t="s">
        <v>30</v>
      </c>
      <c r="G85" s="110">
        <v>14</v>
      </c>
      <c r="H85" s="110" t="s">
        <v>4551</v>
      </c>
      <c r="I85" s="110" t="s">
        <v>4552</v>
      </c>
      <c r="J85" s="110"/>
      <c r="K85" s="110" t="s">
        <v>4553</v>
      </c>
      <c r="L85" s="110" t="s">
        <v>4554</v>
      </c>
      <c r="M85" s="110">
        <v>4479.42</v>
      </c>
      <c r="N85" s="110">
        <v>4479.42</v>
      </c>
      <c r="O85" s="111"/>
      <c r="P85" s="112" t="s">
        <v>27</v>
      </c>
      <c r="Q85" s="110" t="s">
        <v>35</v>
      </c>
      <c r="R85" s="110" t="s">
        <v>27</v>
      </c>
      <c r="S85" s="110"/>
      <c r="T85" s="110">
        <f t="shared" si="1"/>
        <v>4479.42</v>
      </c>
      <c r="U85" s="110"/>
      <c r="V85" s="110"/>
      <c r="W85" s="110"/>
      <c r="X85" s="110" t="s">
        <v>37</v>
      </c>
      <c r="Y85" s="110" t="s">
        <v>37</v>
      </c>
      <c r="AA85" s="113" t="e">
        <v>#N/A</v>
      </c>
      <c r="AB85" s="113" t="e">
        <v>#N/A</v>
      </c>
    </row>
    <row r="86" spans="1:28">
      <c r="A86" s="108">
        <v>85</v>
      </c>
      <c r="B86" s="108"/>
      <c r="C86" s="109">
        <v>46024</v>
      </c>
      <c r="D86" s="110" t="s">
        <v>28</v>
      </c>
      <c r="E86" s="110" t="s">
        <v>4254</v>
      </c>
      <c r="F86" s="110" t="s">
        <v>30</v>
      </c>
      <c r="G86" s="110">
        <v>14</v>
      </c>
      <c r="H86" s="110" t="s">
        <v>4555</v>
      </c>
      <c r="I86" s="110" t="s">
        <v>4556</v>
      </c>
      <c r="J86" s="110"/>
      <c r="K86" s="110" t="s">
        <v>4557</v>
      </c>
      <c r="L86" s="110" t="s">
        <v>4558</v>
      </c>
      <c r="M86" s="110">
        <v>4031.6</v>
      </c>
      <c r="N86" s="110">
        <v>4031.6</v>
      </c>
      <c r="O86" s="111"/>
      <c r="P86" s="112" t="s">
        <v>27</v>
      </c>
      <c r="Q86" s="110" t="s">
        <v>35</v>
      </c>
      <c r="R86" s="110" t="s">
        <v>27</v>
      </c>
      <c r="S86" s="110"/>
      <c r="T86" s="110">
        <f t="shared" si="1"/>
        <v>4031.6</v>
      </c>
      <c r="U86" s="110"/>
      <c r="V86" s="110"/>
      <c r="W86" s="110"/>
      <c r="X86" s="110" t="s">
        <v>124</v>
      </c>
      <c r="Y86" s="110" t="s">
        <v>124</v>
      </c>
      <c r="AA86" s="113" t="e">
        <v>#N/A</v>
      </c>
      <c r="AB86" s="113" t="e">
        <v>#N/A</v>
      </c>
    </row>
    <row r="87" spans="1:28">
      <c r="A87" s="108">
        <v>86</v>
      </c>
      <c r="B87" s="108"/>
      <c r="C87" s="109">
        <v>46024</v>
      </c>
      <c r="D87" s="110" t="s">
        <v>28</v>
      </c>
      <c r="E87" s="110" t="s">
        <v>4254</v>
      </c>
      <c r="F87" s="110" t="s">
        <v>30</v>
      </c>
      <c r="G87" s="110">
        <v>14</v>
      </c>
      <c r="H87" s="110" t="s">
        <v>4540</v>
      </c>
      <c r="I87" s="110" t="s">
        <v>4541</v>
      </c>
      <c r="J87" s="110"/>
      <c r="K87" s="110" t="s">
        <v>4559</v>
      </c>
      <c r="L87" s="110" t="s">
        <v>4560</v>
      </c>
      <c r="M87" s="110">
        <v>5151.16</v>
      </c>
      <c r="N87" s="110">
        <v>5151.16</v>
      </c>
      <c r="O87" s="111"/>
      <c r="P87" s="112" t="s">
        <v>27</v>
      </c>
      <c r="Q87" s="110" t="s">
        <v>35</v>
      </c>
      <c r="R87" s="110" t="s">
        <v>27</v>
      </c>
      <c r="S87" s="110"/>
      <c r="T87" s="110">
        <f t="shared" si="1"/>
        <v>5151.16</v>
      </c>
      <c r="U87" s="110"/>
      <c r="V87" s="110"/>
      <c r="W87" s="110"/>
      <c r="X87" s="110" t="s">
        <v>117</v>
      </c>
      <c r="Y87" s="110" t="s">
        <v>117</v>
      </c>
      <c r="AA87" s="113" t="e">
        <v>#N/A</v>
      </c>
      <c r="AB87" s="113" t="e">
        <v>#N/A</v>
      </c>
    </row>
    <row r="88" spans="1:28">
      <c r="A88" s="108">
        <v>87</v>
      </c>
      <c r="B88" s="108"/>
      <c r="C88" s="109">
        <v>46024</v>
      </c>
      <c r="D88" s="110" t="s">
        <v>28</v>
      </c>
      <c r="E88" s="110" t="s">
        <v>4254</v>
      </c>
      <c r="F88" s="110" t="s">
        <v>30</v>
      </c>
      <c r="G88" s="110">
        <v>14</v>
      </c>
      <c r="H88" s="110" t="s">
        <v>4561</v>
      </c>
      <c r="I88" s="110" t="s">
        <v>4562</v>
      </c>
      <c r="J88" s="110"/>
      <c r="K88" s="110" t="s">
        <v>4563</v>
      </c>
      <c r="L88" s="110" t="s">
        <v>4564</v>
      </c>
      <c r="M88" s="110">
        <v>4806.72</v>
      </c>
      <c r="N88" s="110">
        <v>4806.72</v>
      </c>
      <c r="O88" s="111"/>
      <c r="P88" s="112" t="s">
        <v>27</v>
      </c>
      <c r="Q88" s="110" t="s">
        <v>35</v>
      </c>
      <c r="R88" s="110" t="s">
        <v>27</v>
      </c>
      <c r="S88" s="110"/>
      <c r="T88" s="110">
        <f t="shared" si="1"/>
        <v>4806.72</v>
      </c>
      <c r="U88" s="110"/>
      <c r="V88" s="110"/>
      <c r="W88" s="110"/>
      <c r="X88" s="110" t="s">
        <v>37</v>
      </c>
      <c r="Y88" s="110" t="s">
        <v>37</v>
      </c>
      <c r="AA88" s="113" t="e">
        <v>#N/A</v>
      </c>
      <c r="AB88" s="113" t="e">
        <v>#N/A</v>
      </c>
    </row>
    <row r="89" spans="1:28">
      <c r="A89" s="108">
        <v>88</v>
      </c>
      <c r="B89" s="108"/>
      <c r="C89" s="109">
        <v>46024</v>
      </c>
      <c r="D89" s="110" t="s">
        <v>28</v>
      </c>
      <c r="E89" s="110" t="s">
        <v>4254</v>
      </c>
      <c r="F89" s="110" t="s">
        <v>30</v>
      </c>
      <c r="G89" s="110">
        <v>14</v>
      </c>
      <c r="H89" s="110" t="s">
        <v>4565</v>
      </c>
      <c r="I89" s="110" t="s">
        <v>4566</v>
      </c>
      <c r="J89" s="110"/>
      <c r="K89" s="110" t="s">
        <v>4567</v>
      </c>
      <c r="L89" s="110" t="s">
        <v>4568</v>
      </c>
      <c r="M89" s="110">
        <v>3400.12</v>
      </c>
      <c r="N89" s="110">
        <v>3400.12</v>
      </c>
      <c r="O89" s="111"/>
      <c r="P89" s="112" t="s">
        <v>27</v>
      </c>
      <c r="Q89" s="110" t="s">
        <v>35</v>
      </c>
      <c r="R89" s="110" t="s">
        <v>27</v>
      </c>
      <c r="S89" s="110"/>
      <c r="T89" s="110">
        <f t="shared" si="1"/>
        <v>3400.12</v>
      </c>
      <c r="U89" s="110"/>
      <c r="V89" s="110"/>
      <c r="W89" s="110"/>
      <c r="X89" s="110" t="s">
        <v>82</v>
      </c>
      <c r="Y89" s="110" t="s">
        <v>82</v>
      </c>
      <c r="AA89" s="113" t="e">
        <v>#N/A</v>
      </c>
      <c r="AB89" s="113" t="e">
        <v>#N/A</v>
      </c>
    </row>
    <row r="90" spans="1:28">
      <c r="A90" s="108">
        <v>89</v>
      </c>
      <c r="B90" s="108"/>
      <c r="C90" s="109">
        <v>46024</v>
      </c>
      <c r="D90" s="110" t="s">
        <v>28</v>
      </c>
      <c r="E90" s="110" t="s">
        <v>4254</v>
      </c>
      <c r="F90" s="110" t="s">
        <v>30</v>
      </c>
      <c r="G90" s="110">
        <v>14</v>
      </c>
      <c r="H90" s="110" t="s">
        <v>4569</v>
      </c>
      <c r="I90" s="110" t="s">
        <v>4570</v>
      </c>
      <c r="J90" s="110"/>
      <c r="K90" s="110" t="s">
        <v>4571</v>
      </c>
      <c r="L90" s="110" t="s">
        <v>4572</v>
      </c>
      <c r="M90" s="110">
        <v>3165.83</v>
      </c>
      <c r="N90" s="110">
        <v>3165.83</v>
      </c>
      <c r="O90" s="111"/>
      <c r="P90" s="112" t="s">
        <v>27</v>
      </c>
      <c r="Q90" s="110" t="s">
        <v>35</v>
      </c>
      <c r="R90" s="110" t="s">
        <v>27</v>
      </c>
      <c r="S90" s="110">
        <v>2216</v>
      </c>
      <c r="T90" s="110">
        <f t="shared" si="1"/>
        <v>949.82999999999993</v>
      </c>
      <c r="U90" s="111">
        <v>46058</v>
      </c>
      <c r="V90" s="110" t="s">
        <v>4573</v>
      </c>
      <c r="W90" s="110" t="s">
        <v>54</v>
      </c>
      <c r="X90" s="110" t="s">
        <v>89</v>
      </c>
      <c r="Y90" s="110" t="s">
        <v>89</v>
      </c>
      <c r="AA90" s="113" t="e">
        <v>#N/A</v>
      </c>
      <c r="AB90" s="113" t="e">
        <v>#N/A</v>
      </c>
    </row>
    <row r="91" spans="1:28">
      <c r="A91" s="108">
        <v>90</v>
      </c>
      <c r="B91" s="108"/>
      <c r="C91" s="109">
        <v>46024</v>
      </c>
      <c r="D91" s="110" t="s">
        <v>28</v>
      </c>
      <c r="E91" s="110" t="s">
        <v>4254</v>
      </c>
      <c r="F91" s="110" t="s">
        <v>30</v>
      </c>
      <c r="G91" s="110">
        <v>14</v>
      </c>
      <c r="H91" s="110" t="s">
        <v>4574</v>
      </c>
      <c r="I91" s="110" t="s">
        <v>4575</v>
      </c>
      <c r="J91" s="110"/>
      <c r="K91" s="110" t="s">
        <v>4576</v>
      </c>
      <c r="L91" s="110" t="s">
        <v>4577</v>
      </c>
      <c r="M91" s="110">
        <v>2573.29</v>
      </c>
      <c r="N91" s="110">
        <v>2573.29</v>
      </c>
      <c r="O91" s="111"/>
      <c r="P91" s="112" t="s">
        <v>27</v>
      </c>
      <c r="Q91" s="110" t="s">
        <v>35</v>
      </c>
      <c r="R91" s="110" t="s">
        <v>27</v>
      </c>
      <c r="S91" s="110"/>
      <c r="T91" s="110">
        <f t="shared" si="1"/>
        <v>2573.29</v>
      </c>
      <c r="U91" s="110"/>
      <c r="V91" s="110"/>
      <c r="W91" s="110"/>
      <c r="X91" s="110" t="s">
        <v>124</v>
      </c>
      <c r="Y91" s="110" t="s">
        <v>124</v>
      </c>
      <c r="AA91" s="113" t="e">
        <v>#N/A</v>
      </c>
      <c r="AB91" s="113" t="e">
        <v>#N/A</v>
      </c>
    </row>
    <row r="92" spans="1:28">
      <c r="A92" s="108">
        <v>91</v>
      </c>
      <c r="B92" s="108"/>
      <c r="C92" s="109">
        <v>46024</v>
      </c>
      <c r="D92" s="110" t="s">
        <v>28</v>
      </c>
      <c r="E92" s="110" t="s">
        <v>4254</v>
      </c>
      <c r="F92" s="110" t="s">
        <v>30</v>
      </c>
      <c r="G92" s="110">
        <v>14</v>
      </c>
      <c r="H92" s="110" t="s">
        <v>4578</v>
      </c>
      <c r="I92" s="110" t="s">
        <v>4579</v>
      </c>
      <c r="J92" s="110"/>
      <c r="K92" s="110" t="s">
        <v>4580</v>
      </c>
      <c r="L92" s="110" t="s">
        <v>4581</v>
      </c>
      <c r="M92" s="110">
        <v>3028.3</v>
      </c>
      <c r="N92" s="110">
        <v>3028.3</v>
      </c>
      <c r="O92" s="111"/>
      <c r="P92" s="112" t="s">
        <v>27</v>
      </c>
      <c r="Q92" s="110" t="s">
        <v>35</v>
      </c>
      <c r="R92" s="110" t="s">
        <v>27</v>
      </c>
      <c r="S92" s="110"/>
      <c r="T92" s="110">
        <f t="shared" si="1"/>
        <v>3028.3</v>
      </c>
      <c r="U92" s="110"/>
      <c r="V92" s="110"/>
      <c r="W92" s="110"/>
      <c r="X92" s="110" t="s">
        <v>444</v>
      </c>
      <c r="Y92" s="110" t="s">
        <v>444</v>
      </c>
      <c r="AA92" s="113" t="e">
        <v>#N/A</v>
      </c>
      <c r="AB92" s="113" t="e">
        <v>#N/A</v>
      </c>
    </row>
    <row r="93" spans="1:28">
      <c r="A93" s="108">
        <v>92</v>
      </c>
      <c r="B93" s="108"/>
      <c r="C93" s="109">
        <v>46024</v>
      </c>
      <c r="D93" s="110" t="s">
        <v>28</v>
      </c>
      <c r="E93" s="110" t="s">
        <v>4254</v>
      </c>
      <c r="F93" s="110" t="s">
        <v>30</v>
      </c>
      <c r="G93" s="110">
        <v>14</v>
      </c>
      <c r="H93" s="110" t="s">
        <v>4582</v>
      </c>
      <c r="I93" s="110" t="s">
        <v>4583</v>
      </c>
      <c r="J93" s="110"/>
      <c r="K93" s="110" t="s">
        <v>4584</v>
      </c>
      <c r="L93" s="110" t="s">
        <v>4585</v>
      </c>
      <c r="M93" s="110">
        <v>2337.63</v>
      </c>
      <c r="N93" s="110">
        <v>2337.63</v>
      </c>
      <c r="O93" s="111"/>
      <c r="P93" s="112" t="s">
        <v>27</v>
      </c>
      <c r="Q93" s="110" t="s">
        <v>35</v>
      </c>
      <c r="R93" s="110" t="s">
        <v>27</v>
      </c>
      <c r="S93" s="110"/>
      <c r="T93" s="110">
        <f t="shared" si="1"/>
        <v>2337.63</v>
      </c>
      <c r="U93" s="110"/>
      <c r="V93" s="110"/>
      <c r="W93" s="110"/>
      <c r="X93" s="110" t="s">
        <v>117</v>
      </c>
      <c r="Y93" s="110" t="s">
        <v>117</v>
      </c>
      <c r="AA93" s="113" t="e">
        <v>#N/A</v>
      </c>
      <c r="AB93" s="113" t="e">
        <v>#N/A</v>
      </c>
    </row>
    <row r="94" spans="1:28">
      <c r="A94" s="108">
        <v>93</v>
      </c>
      <c r="B94" s="108"/>
      <c r="C94" s="109">
        <v>46024</v>
      </c>
      <c r="D94" s="110" t="s">
        <v>28</v>
      </c>
      <c r="E94" s="110" t="s">
        <v>4254</v>
      </c>
      <c r="F94" s="110" t="s">
        <v>30</v>
      </c>
      <c r="G94" s="110">
        <v>14</v>
      </c>
      <c r="H94" s="110" t="s">
        <v>4586</v>
      </c>
      <c r="I94" s="110" t="s">
        <v>4587</v>
      </c>
      <c r="J94" s="110"/>
      <c r="K94" s="110" t="s">
        <v>4588</v>
      </c>
      <c r="L94" s="110"/>
      <c r="M94" s="110">
        <v>3473.65</v>
      </c>
      <c r="N94" s="110">
        <v>3473.65</v>
      </c>
      <c r="O94" s="111"/>
      <c r="P94" s="112" t="s">
        <v>27</v>
      </c>
      <c r="Q94" s="110" t="s">
        <v>35</v>
      </c>
      <c r="R94" s="110" t="s">
        <v>27</v>
      </c>
      <c r="S94" s="110"/>
      <c r="T94" s="110">
        <f t="shared" si="1"/>
        <v>3473.65</v>
      </c>
      <c r="U94" s="110"/>
      <c r="V94" s="110"/>
      <c r="W94" s="110"/>
      <c r="X94" s="110" t="s">
        <v>82</v>
      </c>
      <c r="Y94" s="110" t="s">
        <v>82</v>
      </c>
      <c r="AA94" s="113" t="e">
        <v>#N/A</v>
      </c>
      <c r="AB94" s="113" t="e">
        <v>#N/A</v>
      </c>
    </row>
    <row r="95" spans="1:28">
      <c r="A95" s="108">
        <v>94</v>
      </c>
      <c r="B95" s="108"/>
      <c r="C95" s="109">
        <v>46024</v>
      </c>
      <c r="D95" s="110" t="s">
        <v>28</v>
      </c>
      <c r="E95" s="110" t="s">
        <v>4254</v>
      </c>
      <c r="F95" s="110" t="s">
        <v>30</v>
      </c>
      <c r="G95" s="110">
        <v>14</v>
      </c>
      <c r="H95" s="110" t="s">
        <v>4589</v>
      </c>
      <c r="I95" s="110" t="s">
        <v>4590</v>
      </c>
      <c r="J95" s="110"/>
      <c r="K95" s="110" t="s">
        <v>4591</v>
      </c>
      <c r="L95" s="110" t="s">
        <v>4519</v>
      </c>
      <c r="M95" s="110">
        <v>2580.81</v>
      </c>
      <c r="N95" s="110">
        <v>2580.81</v>
      </c>
      <c r="O95" s="111"/>
      <c r="P95" s="112" t="s">
        <v>27</v>
      </c>
      <c r="Q95" s="110" t="s">
        <v>35</v>
      </c>
      <c r="R95" s="110" t="s">
        <v>27</v>
      </c>
      <c r="S95" s="110"/>
      <c r="T95" s="110">
        <f t="shared" si="1"/>
        <v>2580.81</v>
      </c>
      <c r="U95" s="110"/>
      <c r="V95" s="110"/>
      <c r="W95" s="110"/>
      <c r="X95" s="110" t="s">
        <v>62</v>
      </c>
      <c r="Y95" s="110" t="s">
        <v>62</v>
      </c>
      <c r="AA95" s="113" t="e">
        <v>#N/A</v>
      </c>
      <c r="AB95" s="113" t="e">
        <v>#N/A</v>
      </c>
    </row>
    <row r="96" spans="1:28">
      <c r="A96" s="108">
        <v>95</v>
      </c>
      <c r="B96" s="108"/>
      <c r="C96" s="109">
        <v>46024</v>
      </c>
      <c r="D96" s="110" t="s">
        <v>28</v>
      </c>
      <c r="E96" s="110" t="s">
        <v>4254</v>
      </c>
      <c r="F96" s="110" t="s">
        <v>30</v>
      </c>
      <c r="G96" s="110">
        <v>14</v>
      </c>
      <c r="H96" s="110" t="s">
        <v>4592</v>
      </c>
      <c r="I96" s="110" t="s">
        <v>4593</v>
      </c>
      <c r="J96" s="110"/>
      <c r="K96" s="110" t="s">
        <v>4594</v>
      </c>
      <c r="L96" s="110" t="s">
        <v>2875</v>
      </c>
      <c r="M96" s="110">
        <v>2805.33</v>
      </c>
      <c r="N96" s="110">
        <v>2805.33</v>
      </c>
      <c r="O96" s="111"/>
      <c r="P96" s="112" t="s">
        <v>27</v>
      </c>
      <c r="Q96" s="110" t="s">
        <v>35</v>
      </c>
      <c r="R96" s="110" t="s">
        <v>27</v>
      </c>
      <c r="S96" s="110"/>
      <c r="T96" s="110">
        <f t="shared" si="1"/>
        <v>2805.33</v>
      </c>
      <c r="U96" s="110"/>
      <c r="V96" s="110"/>
      <c r="W96" s="110"/>
      <c r="X96" s="110" t="s">
        <v>4335</v>
      </c>
      <c r="Y96" s="110" t="s">
        <v>4335</v>
      </c>
      <c r="AA96" s="113" t="e">
        <v>#N/A</v>
      </c>
      <c r="AB96" s="113" t="e">
        <v>#N/A</v>
      </c>
    </row>
    <row r="97" spans="1:28">
      <c r="A97" s="108">
        <v>96</v>
      </c>
      <c r="B97" s="108"/>
      <c r="C97" s="109">
        <v>46024</v>
      </c>
      <c r="D97" s="110" t="s">
        <v>28</v>
      </c>
      <c r="E97" s="110" t="s">
        <v>4254</v>
      </c>
      <c r="F97" s="110" t="s">
        <v>30</v>
      </c>
      <c r="G97" s="110">
        <v>14</v>
      </c>
      <c r="H97" s="110" t="s">
        <v>4595</v>
      </c>
      <c r="I97" s="110" t="s">
        <v>4596</v>
      </c>
      <c r="J97" s="110"/>
      <c r="K97" s="110" t="s">
        <v>4597</v>
      </c>
      <c r="L97" s="110" t="s">
        <v>4598</v>
      </c>
      <c r="M97" s="110">
        <v>1976.04</v>
      </c>
      <c r="N97" s="110">
        <v>1976.04</v>
      </c>
      <c r="O97" s="111"/>
      <c r="P97" s="112" t="s">
        <v>27</v>
      </c>
      <c r="Q97" s="110" t="s">
        <v>35</v>
      </c>
      <c r="R97" s="110" t="s">
        <v>27</v>
      </c>
      <c r="S97" s="110"/>
      <c r="T97" s="110">
        <f t="shared" si="1"/>
        <v>1976.04</v>
      </c>
      <c r="U97" s="110"/>
      <c r="V97" s="110"/>
      <c r="W97" s="110"/>
      <c r="X97" s="110" t="s">
        <v>4335</v>
      </c>
      <c r="Y97" s="110" t="s">
        <v>4335</v>
      </c>
      <c r="AA97" s="113" t="e">
        <v>#N/A</v>
      </c>
      <c r="AB97" s="113" t="e">
        <v>#N/A</v>
      </c>
    </row>
    <row r="98" spans="1:28">
      <c r="A98" s="108">
        <v>97</v>
      </c>
      <c r="B98" s="108"/>
      <c r="C98" s="109">
        <v>46024</v>
      </c>
      <c r="D98" s="110" t="s">
        <v>28</v>
      </c>
      <c r="E98" s="110" t="s">
        <v>4254</v>
      </c>
      <c r="F98" s="110" t="s">
        <v>30</v>
      </c>
      <c r="G98" s="110">
        <v>14</v>
      </c>
      <c r="H98" s="110" t="s">
        <v>4599</v>
      </c>
      <c r="I98" s="110" t="s">
        <v>4600</v>
      </c>
      <c r="J98" s="110"/>
      <c r="K98" s="110" t="s">
        <v>4601</v>
      </c>
      <c r="L98" s="110" t="s">
        <v>4602</v>
      </c>
      <c r="M98" s="110">
        <v>8424.58</v>
      </c>
      <c r="N98" s="110">
        <v>8424.58</v>
      </c>
      <c r="O98" s="111"/>
      <c r="P98" s="112" t="s">
        <v>27</v>
      </c>
      <c r="Q98" s="110" t="s">
        <v>35</v>
      </c>
      <c r="R98" s="110" t="s">
        <v>27</v>
      </c>
      <c r="S98" s="110"/>
      <c r="T98" s="110">
        <f t="shared" si="1"/>
        <v>8424.58</v>
      </c>
      <c r="U98" s="110"/>
      <c r="V98" s="110"/>
      <c r="W98" s="110"/>
      <c r="X98" s="110" t="s">
        <v>36</v>
      </c>
      <c r="Y98" s="110" t="s">
        <v>36</v>
      </c>
      <c r="AA98" s="113" t="e">
        <v>#N/A</v>
      </c>
      <c r="AB98" s="113" t="e">
        <v>#N/A</v>
      </c>
    </row>
    <row r="99" spans="1:28">
      <c r="A99" s="108">
        <v>98</v>
      </c>
      <c r="B99" s="108"/>
      <c r="C99" s="109">
        <v>46024</v>
      </c>
      <c r="D99" s="110" t="s">
        <v>28</v>
      </c>
      <c r="E99" s="110" t="s">
        <v>4254</v>
      </c>
      <c r="F99" s="110" t="s">
        <v>30</v>
      </c>
      <c r="G99" s="110">
        <v>14</v>
      </c>
      <c r="H99" s="110" t="s">
        <v>4599</v>
      </c>
      <c r="I99" s="110" t="s">
        <v>4600</v>
      </c>
      <c r="J99" s="110"/>
      <c r="K99" s="110" t="s">
        <v>4603</v>
      </c>
      <c r="L99" s="110"/>
      <c r="M99" s="110">
        <v>5796.35</v>
      </c>
      <c r="N99" s="110">
        <v>5796.35</v>
      </c>
      <c r="O99" s="111"/>
      <c r="P99" s="112" t="s">
        <v>27</v>
      </c>
      <c r="Q99" s="110" t="s">
        <v>35</v>
      </c>
      <c r="R99" s="110" t="s">
        <v>27</v>
      </c>
      <c r="S99" s="110"/>
      <c r="T99" s="110">
        <f t="shared" si="1"/>
        <v>5796.35</v>
      </c>
      <c r="U99" s="110"/>
      <c r="V99" s="110"/>
      <c r="W99" s="110"/>
      <c r="X99" s="110" t="s">
        <v>117</v>
      </c>
      <c r="Y99" s="110" t="s">
        <v>117</v>
      </c>
      <c r="AA99" s="113" t="e">
        <v>#N/A</v>
      </c>
      <c r="AB99" s="113" t="e">
        <v>#N/A</v>
      </c>
    </row>
    <row r="100" spans="1:28">
      <c r="A100" s="108">
        <v>99</v>
      </c>
      <c r="B100" s="108"/>
      <c r="C100" s="109">
        <v>46024</v>
      </c>
      <c r="D100" s="110" t="s">
        <v>28</v>
      </c>
      <c r="E100" s="110" t="s">
        <v>4254</v>
      </c>
      <c r="F100" s="110" t="s">
        <v>30</v>
      </c>
      <c r="G100" s="110">
        <v>14</v>
      </c>
      <c r="H100" s="110" t="s">
        <v>4604</v>
      </c>
      <c r="I100" s="110" t="s">
        <v>4605</v>
      </c>
      <c r="J100" s="110"/>
      <c r="K100" s="110" t="s">
        <v>4606</v>
      </c>
      <c r="L100" s="110" t="s">
        <v>4607</v>
      </c>
      <c r="M100" s="110">
        <v>1251.54</v>
      </c>
      <c r="N100" s="110">
        <v>1251.54</v>
      </c>
      <c r="O100" s="111"/>
      <c r="P100" s="112" t="s">
        <v>27</v>
      </c>
      <c r="Q100" s="110" t="s">
        <v>35</v>
      </c>
      <c r="R100" s="110" t="s">
        <v>27</v>
      </c>
      <c r="S100" s="110"/>
      <c r="T100" s="110">
        <f t="shared" si="1"/>
        <v>1251.54</v>
      </c>
      <c r="U100" s="110"/>
      <c r="V100" s="110"/>
      <c r="W100" s="110"/>
      <c r="X100" s="110" t="s">
        <v>444</v>
      </c>
      <c r="Y100" s="110" t="s">
        <v>444</v>
      </c>
      <c r="AA100" s="113" t="e">
        <v>#N/A</v>
      </c>
      <c r="AB100" s="113" t="e">
        <v>#N/A</v>
      </c>
    </row>
    <row r="101" spans="1:28">
      <c r="A101" s="108">
        <v>100</v>
      </c>
      <c r="B101" s="108"/>
      <c r="C101" s="109">
        <v>46024</v>
      </c>
      <c r="D101" s="110" t="s">
        <v>28</v>
      </c>
      <c r="E101" s="110" t="s">
        <v>4254</v>
      </c>
      <c r="F101" s="110" t="s">
        <v>30</v>
      </c>
      <c r="G101" s="110">
        <v>14</v>
      </c>
      <c r="H101" s="110" t="s">
        <v>4608</v>
      </c>
      <c r="I101" s="110" t="s">
        <v>4609</v>
      </c>
      <c r="J101" s="110"/>
      <c r="K101" s="110" t="s">
        <v>4610</v>
      </c>
      <c r="L101" s="110" t="s">
        <v>4611</v>
      </c>
      <c r="M101" s="110">
        <v>1986.24</v>
      </c>
      <c r="N101" s="110">
        <v>1986.24</v>
      </c>
      <c r="O101" s="111"/>
      <c r="P101" s="112" t="s">
        <v>27</v>
      </c>
      <c r="Q101" s="110" t="s">
        <v>35</v>
      </c>
      <c r="R101" s="110" t="s">
        <v>27</v>
      </c>
      <c r="S101" s="110"/>
      <c r="T101" s="110">
        <f t="shared" si="1"/>
        <v>1986.24</v>
      </c>
      <c r="U101" s="110"/>
      <c r="V101" s="110"/>
      <c r="W101" s="110"/>
      <c r="X101" s="110" t="s">
        <v>37</v>
      </c>
      <c r="Y101" s="110" t="s">
        <v>37</v>
      </c>
      <c r="AA101" s="113" t="e">
        <v>#N/A</v>
      </c>
      <c r="AB101" s="113" t="e">
        <v>#N/A</v>
      </c>
    </row>
    <row r="102" spans="1:28">
      <c r="A102" s="108">
        <v>101</v>
      </c>
      <c r="B102" s="108"/>
      <c r="C102" s="109">
        <v>46024</v>
      </c>
      <c r="D102" s="110" t="s">
        <v>28</v>
      </c>
      <c r="E102" s="110" t="s">
        <v>4254</v>
      </c>
      <c r="F102" s="110" t="s">
        <v>30</v>
      </c>
      <c r="G102" s="110">
        <v>14</v>
      </c>
      <c r="H102" s="110" t="s">
        <v>4612</v>
      </c>
      <c r="I102" s="110" t="s">
        <v>4613</v>
      </c>
      <c r="J102" s="110"/>
      <c r="K102" s="110" t="s">
        <v>4614</v>
      </c>
      <c r="L102" s="110"/>
      <c r="M102" s="110">
        <v>2712.6</v>
      </c>
      <c r="N102" s="110">
        <v>2712.6</v>
      </c>
      <c r="O102" s="111"/>
      <c r="P102" s="112" t="s">
        <v>27</v>
      </c>
      <c r="Q102" s="110" t="s">
        <v>35</v>
      </c>
      <c r="R102" s="110" t="s">
        <v>27</v>
      </c>
      <c r="S102" s="110"/>
      <c r="T102" s="110">
        <f t="shared" si="1"/>
        <v>2712.6</v>
      </c>
      <c r="U102" s="110"/>
      <c r="V102" s="110"/>
      <c r="W102" s="110"/>
      <c r="X102" s="110" t="s">
        <v>76</v>
      </c>
      <c r="Y102" s="110" t="s">
        <v>76</v>
      </c>
      <c r="AA102" s="113" t="e">
        <v>#N/A</v>
      </c>
      <c r="AB102" s="113" t="e">
        <v>#N/A</v>
      </c>
    </row>
    <row r="103" spans="1:28">
      <c r="A103" s="108">
        <v>102</v>
      </c>
      <c r="B103" s="108"/>
      <c r="C103" s="109">
        <v>46024</v>
      </c>
      <c r="D103" s="110" t="s">
        <v>28</v>
      </c>
      <c r="E103" s="110" t="s">
        <v>4254</v>
      </c>
      <c r="F103" s="110" t="s">
        <v>30</v>
      </c>
      <c r="G103" s="110">
        <v>14</v>
      </c>
      <c r="H103" s="110" t="s">
        <v>4615</v>
      </c>
      <c r="I103" s="110" t="s">
        <v>4616</v>
      </c>
      <c r="J103" s="110"/>
      <c r="K103" s="110" t="s">
        <v>4617</v>
      </c>
      <c r="L103" s="110" t="s">
        <v>4618</v>
      </c>
      <c r="M103" s="110">
        <v>1795.15</v>
      </c>
      <c r="N103" s="110">
        <v>1795.15</v>
      </c>
      <c r="O103" s="111"/>
      <c r="P103" s="112" t="s">
        <v>27</v>
      </c>
      <c r="Q103" s="110" t="s">
        <v>35</v>
      </c>
      <c r="R103" s="110" t="s">
        <v>27</v>
      </c>
      <c r="S103" s="110"/>
      <c r="T103" s="110">
        <f t="shared" si="1"/>
        <v>1795.15</v>
      </c>
      <c r="U103" s="110"/>
      <c r="V103" s="110"/>
      <c r="W103" s="110"/>
      <c r="X103" s="110" t="s">
        <v>82</v>
      </c>
      <c r="Y103" s="110" t="s">
        <v>82</v>
      </c>
      <c r="AA103" s="113" t="e">
        <v>#N/A</v>
      </c>
      <c r="AB103" s="113" t="e">
        <v>#N/A</v>
      </c>
    </row>
    <row r="104" spans="1:28">
      <c r="A104" s="108">
        <v>103</v>
      </c>
      <c r="B104" s="108"/>
      <c r="C104" s="109">
        <v>46024</v>
      </c>
      <c r="D104" s="110" t="s">
        <v>28</v>
      </c>
      <c r="E104" s="110" t="s">
        <v>4254</v>
      </c>
      <c r="F104" s="110" t="s">
        <v>30</v>
      </c>
      <c r="G104" s="110">
        <v>14</v>
      </c>
      <c r="H104" s="110" t="s">
        <v>4619</v>
      </c>
      <c r="I104" s="110" t="s">
        <v>4620</v>
      </c>
      <c r="J104" s="110"/>
      <c r="K104" s="110" t="s">
        <v>4621</v>
      </c>
      <c r="L104" s="110"/>
      <c r="M104" s="110">
        <v>4558.68</v>
      </c>
      <c r="N104" s="110">
        <v>4558.68</v>
      </c>
      <c r="O104" s="111"/>
      <c r="P104" s="112" t="s">
        <v>27</v>
      </c>
      <c r="Q104" s="110" t="s">
        <v>35</v>
      </c>
      <c r="R104" s="110" t="s">
        <v>27</v>
      </c>
      <c r="S104" s="110"/>
      <c r="T104" s="110">
        <f t="shared" si="1"/>
        <v>4558.68</v>
      </c>
      <c r="U104" s="110"/>
      <c r="V104" s="110"/>
      <c r="W104" s="110"/>
      <c r="X104" s="110" t="s">
        <v>37</v>
      </c>
      <c r="Y104" s="110" t="s">
        <v>37</v>
      </c>
      <c r="AA104" s="113" t="e">
        <v>#N/A</v>
      </c>
      <c r="AB104" s="113" t="e">
        <v>#N/A</v>
      </c>
    </row>
    <row r="105" spans="1:28">
      <c r="A105" s="108">
        <v>104</v>
      </c>
      <c r="B105" s="108"/>
      <c r="C105" s="109">
        <v>46024</v>
      </c>
      <c r="D105" s="110" t="s">
        <v>28</v>
      </c>
      <c r="E105" s="110" t="s">
        <v>4254</v>
      </c>
      <c r="F105" s="110" t="s">
        <v>30</v>
      </c>
      <c r="G105" s="110">
        <v>14</v>
      </c>
      <c r="H105" s="110" t="s">
        <v>4622</v>
      </c>
      <c r="I105" s="110" t="s">
        <v>4623</v>
      </c>
      <c r="J105" s="110"/>
      <c r="K105" s="110" t="s">
        <v>4624</v>
      </c>
      <c r="L105" s="110" t="s">
        <v>4625</v>
      </c>
      <c r="M105" s="110">
        <v>1863.83</v>
      </c>
      <c r="N105" s="110">
        <v>1863.83</v>
      </c>
      <c r="O105" s="111"/>
      <c r="P105" s="112" t="s">
        <v>27</v>
      </c>
      <c r="Q105" s="110" t="s">
        <v>35</v>
      </c>
      <c r="R105" s="110" t="s">
        <v>27</v>
      </c>
      <c r="S105" s="110"/>
      <c r="T105" s="110">
        <f t="shared" si="1"/>
        <v>1863.83</v>
      </c>
      <c r="U105" s="110"/>
      <c r="V105" s="110"/>
      <c r="W105" s="110"/>
      <c r="X105" s="110" t="s">
        <v>62</v>
      </c>
      <c r="Y105" s="110" t="s">
        <v>62</v>
      </c>
      <c r="AA105" s="113" t="e">
        <v>#N/A</v>
      </c>
      <c r="AB105" s="113" t="e">
        <v>#N/A</v>
      </c>
    </row>
    <row r="106" spans="1:28">
      <c r="A106" s="108">
        <v>105</v>
      </c>
      <c r="B106" s="108"/>
      <c r="C106" s="109">
        <v>46024</v>
      </c>
      <c r="D106" s="110" t="s">
        <v>28</v>
      </c>
      <c r="E106" s="110" t="s">
        <v>4254</v>
      </c>
      <c r="F106" s="110" t="s">
        <v>30</v>
      </c>
      <c r="G106" s="110">
        <v>14</v>
      </c>
      <c r="H106" s="110" t="s">
        <v>4626</v>
      </c>
      <c r="I106" s="110" t="s">
        <v>4627</v>
      </c>
      <c r="J106" s="110"/>
      <c r="K106" s="110" t="s">
        <v>4628</v>
      </c>
      <c r="L106" s="110" t="s">
        <v>182</v>
      </c>
      <c r="M106" s="110">
        <v>1943.98</v>
      </c>
      <c r="N106" s="110">
        <v>1943.98</v>
      </c>
      <c r="O106" s="111"/>
      <c r="P106" s="112" t="s">
        <v>27</v>
      </c>
      <c r="Q106" s="110" t="s">
        <v>35</v>
      </c>
      <c r="R106" s="110" t="s">
        <v>27</v>
      </c>
      <c r="S106" s="110"/>
      <c r="T106" s="110">
        <f t="shared" si="1"/>
        <v>1943.98</v>
      </c>
      <c r="U106" s="110"/>
      <c r="V106" s="110"/>
      <c r="W106" s="110"/>
      <c r="X106" s="110" t="s">
        <v>444</v>
      </c>
      <c r="Y106" s="110" t="s">
        <v>444</v>
      </c>
      <c r="AA106" s="113" t="e">
        <v>#N/A</v>
      </c>
      <c r="AB106" s="113" t="e">
        <v>#N/A</v>
      </c>
    </row>
    <row r="107" spans="1:28">
      <c r="A107" s="108">
        <v>106</v>
      </c>
      <c r="B107" s="108"/>
      <c r="C107" s="109">
        <v>46024</v>
      </c>
      <c r="D107" s="110" t="s">
        <v>28</v>
      </c>
      <c r="E107" s="110" t="s">
        <v>4254</v>
      </c>
      <c r="F107" s="110" t="s">
        <v>30</v>
      </c>
      <c r="G107" s="110">
        <v>14</v>
      </c>
      <c r="H107" s="110" t="s">
        <v>4629</v>
      </c>
      <c r="I107" s="110" t="s">
        <v>4630</v>
      </c>
      <c r="J107" s="110"/>
      <c r="K107" s="110" t="s">
        <v>4631</v>
      </c>
      <c r="L107" s="110" t="s">
        <v>4632</v>
      </c>
      <c r="M107" s="110">
        <v>1576.28</v>
      </c>
      <c r="N107" s="110">
        <v>1576.28</v>
      </c>
      <c r="O107" s="111"/>
      <c r="P107" s="112" t="s">
        <v>27</v>
      </c>
      <c r="Q107" s="110" t="s">
        <v>35</v>
      </c>
      <c r="R107" s="110" t="s">
        <v>27</v>
      </c>
      <c r="S107" s="110"/>
      <c r="T107" s="110">
        <f t="shared" si="1"/>
        <v>1576.28</v>
      </c>
      <c r="U107" s="110"/>
      <c r="V107" s="110"/>
      <c r="W107" s="110"/>
      <c r="X107" s="110" t="s">
        <v>4335</v>
      </c>
      <c r="Y107" s="110" t="s">
        <v>4335</v>
      </c>
      <c r="AA107" s="113" t="e">
        <v>#N/A</v>
      </c>
      <c r="AB107" s="113" t="e">
        <v>#N/A</v>
      </c>
    </row>
    <row r="108" spans="1:28">
      <c r="A108" s="108">
        <v>107</v>
      </c>
      <c r="B108" s="108"/>
      <c r="C108" s="109">
        <v>46024</v>
      </c>
      <c r="D108" s="110" t="s">
        <v>28</v>
      </c>
      <c r="E108" s="110" t="s">
        <v>4254</v>
      </c>
      <c r="F108" s="110" t="s">
        <v>30</v>
      </c>
      <c r="G108" s="110">
        <v>14</v>
      </c>
      <c r="H108" s="110" t="s">
        <v>440</v>
      </c>
      <c r="I108" s="110" t="s">
        <v>4633</v>
      </c>
      <c r="J108" s="110"/>
      <c r="K108" s="110" t="s">
        <v>442</v>
      </c>
      <c r="L108" s="110" t="s">
        <v>443</v>
      </c>
      <c r="M108" s="110">
        <v>1541.18</v>
      </c>
      <c r="N108" s="110">
        <v>1541.18</v>
      </c>
      <c r="O108" s="111"/>
      <c r="P108" s="112" t="s">
        <v>27</v>
      </c>
      <c r="Q108" s="110" t="s">
        <v>35</v>
      </c>
      <c r="R108" s="110" t="s">
        <v>27</v>
      </c>
      <c r="S108" s="110"/>
      <c r="T108" s="110">
        <f t="shared" si="1"/>
        <v>1541.18</v>
      </c>
      <c r="U108" s="110"/>
      <c r="V108" s="110"/>
      <c r="W108" s="110"/>
      <c r="X108" s="110" t="s">
        <v>444</v>
      </c>
      <c r="Y108" s="110" t="s">
        <v>444</v>
      </c>
      <c r="AA108" s="113" t="e">
        <v>#N/A</v>
      </c>
      <c r="AB108" s="113" t="e">
        <v>#N/A</v>
      </c>
    </row>
    <row r="109" spans="1:28">
      <c r="A109" s="108">
        <v>108</v>
      </c>
      <c r="B109" s="108"/>
      <c r="C109" s="109">
        <v>46024</v>
      </c>
      <c r="D109" s="110" t="s">
        <v>28</v>
      </c>
      <c r="E109" s="110" t="s">
        <v>4254</v>
      </c>
      <c r="F109" s="110" t="s">
        <v>30</v>
      </c>
      <c r="G109" s="110">
        <v>14</v>
      </c>
      <c r="H109" s="110" t="s">
        <v>4634</v>
      </c>
      <c r="I109" s="110" t="s">
        <v>4635</v>
      </c>
      <c r="J109" s="110"/>
      <c r="K109" s="110" t="s">
        <v>4636</v>
      </c>
      <c r="L109" s="110"/>
      <c r="M109" s="110">
        <v>1928.95</v>
      </c>
      <c r="N109" s="110">
        <v>1928.95</v>
      </c>
      <c r="O109" s="111"/>
      <c r="P109" s="112" t="s">
        <v>27</v>
      </c>
      <c r="Q109" s="110" t="s">
        <v>35</v>
      </c>
      <c r="R109" s="110" t="s">
        <v>27</v>
      </c>
      <c r="S109" s="110"/>
      <c r="T109" s="110">
        <f t="shared" si="1"/>
        <v>1928.95</v>
      </c>
      <c r="U109" s="110"/>
      <c r="V109" s="110"/>
      <c r="W109" s="110"/>
      <c r="X109" s="110" t="s">
        <v>62</v>
      </c>
      <c r="Y109" s="110" t="s">
        <v>62</v>
      </c>
      <c r="AA109" s="113" t="e">
        <v>#N/A</v>
      </c>
      <c r="AB109" s="113" t="e">
        <v>#N/A</v>
      </c>
    </row>
    <row r="110" spans="1:28">
      <c r="A110" s="108">
        <v>109</v>
      </c>
      <c r="B110" s="108"/>
      <c r="C110" s="109">
        <v>46024</v>
      </c>
      <c r="D110" s="110" t="s">
        <v>28</v>
      </c>
      <c r="E110" s="110" t="s">
        <v>4254</v>
      </c>
      <c r="F110" s="110" t="s">
        <v>30</v>
      </c>
      <c r="G110" s="110">
        <v>14</v>
      </c>
      <c r="H110" s="110" t="s">
        <v>4637</v>
      </c>
      <c r="I110" s="110" t="s">
        <v>4638</v>
      </c>
      <c r="J110" s="110"/>
      <c r="K110" s="110" t="s">
        <v>4639</v>
      </c>
      <c r="L110" s="110" t="s">
        <v>4640</v>
      </c>
      <c r="M110" s="110">
        <v>1267.78</v>
      </c>
      <c r="N110" s="110">
        <v>1267.78</v>
      </c>
      <c r="O110" s="111"/>
      <c r="P110" s="112" t="s">
        <v>27</v>
      </c>
      <c r="Q110" s="110" t="s">
        <v>35</v>
      </c>
      <c r="R110" s="110" t="s">
        <v>27</v>
      </c>
      <c r="S110" s="110"/>
      <c r="T110" s="110">
        <f t="shared" si="1"/>
        <v>1267.78</v>
      </c>
      <c r="U110" s="110"/>
      <c r="V110" s="110"/>
      <c r="W110" s="110"/>
      <c r="X110" s="110" t="s">
        <v>4335</v>
      </c>
      <c r="Y110" s="110" t="s">
        <v>4335</v>
      </c>
      <c r="AA110" s="113" t="e">
        <v>#N/A</v>
      </c>
      <c r="AB110" s="113" t="e">
        <v>#N/A</v>
      </c>
    </row>
    <row r="111" spans="1:28">
      <c r="A111" s="108">
        <v>110</v>
      </c>
      <c r="B111" s="108"/>
      <c r="C111" s="109">
        <v>46024</v>
      </c>
      <c r="D111" s="110" t="s">
        <v>28</v>
      </c>
      <c r="E111" s="110" t="s">
        <v>4254</v>
      </c>
      <c r="F111" s="110" t="s">
        <v>30</v>
      </c>
      <c r="G111" s="110">
        <v>14</v>
      </c>
      <c r="H111" s="110" t="s">
        <v>4641</v>
      </c>
      <c r="I111" s="110" t="s">
        <v>4642</v>
      </c>
      <c r="J111" s="110"/>
      <c r="K111" s="110" t="s">
        <v>4643</v>
      </c>
      <c r="L111" s="110" t="s">
        <v>4644</v>
      </c>
      <c r="M111" s="110">
        <v>1105.75</v>
      </c>
      <c r="N111" s="110">
        <v>1105.75</v>
      </c>
      <c r="O111" s="111"/>
      <c r="P111" s="112" t="s">
        <v>27</v>
      </c>
      <c r="Q111" s="110" t="s">
        <v>35</v>
      </c>
      <c r="R111" s="110" t="s">
        <v>27</v>
      </c>
      <c r="S111" s="110"/>
      <c r="T111" s="110">
        <f t="shared" si="1"/>
        <v>1105.75</v>
      </c>
      <c r="U111" s="110"/>
      <c r="V111" s="110"/>
      <c r="W111" s="110"/>
      <c r="X111" s="110" t="s">
        <v>37</v>
      </c>
      <c r="Y111" s="110" t="s">
        <v>37</v>
      </c>
      <c r="AA111" s="113" t="e">
        <v>#N/A</v>
      </c>
      <c r="AB111" s="113" t="e">
        <v>#N/A</v>
      </c>
    </row>
    <row r="112" spans="1:28">
      <c r="A112" s="108">
        <v>111</v>
      </c>
      <c r="B112" s="108"/>
      <c r="C112" s="109">
        <v>46024</v>
      </c>
      <c r="D112" s="110" t="s">
        <v>28</v>
      </c>
      <c r="E112" s="110" t="s">
        <v>4254</v>
      </c>
      <c r="F112" s="110" t="s">
        <v>30</v>
      </c>
      <c r="G112" s="110">
        <v>14</v>
      </c>
      <c r="H112" s="110" t="s">
        <v>4645</v>
      </c>
      <c r="I112" s="110" t="s">
        <v>4646</v>
      </c>
      <c r="J112" s="110"/>
      <c r="K112" s="110" t="s">
        <v>4647</v>
      </c>
      <c r="L112" s="110" t="s">
        <v>4648</v>
      </c>
      <c r="M112" s="110">
        <v>2387.9</v>
      </c>
      <c r="N112" s="110">
        <v>2387.9</v>
      </c>
      <c r="O112" s="111"/>
      <c r="P112" s="112" t="s">
        <v>27</v>
      </c>
      <c r="Q112" s="110" t="s">
        <v>35</v>
      </c>
      <c r="R112" s="110" t="s">
        <v>27</v>
      </c>
      <c r="S112" s="110"/>
      <c r="T112" s="110">
        <f t="shared" si="1"/>
        <v>2387.9</v>
      </c>
      <c r="U112" s="110"/>
      <c r="V112" s="110"/>
      <c r="W112" s="110"/>
      <c r="X112" s="110" t="s">
        <v>124</v>
      </c>
      <c r="Y112" s="110" t="s">
        <v>124</v>
      </c>
      <c r="AA112" s="113" t="e">
        <v>#N/A</v>
      </c>
      <c r="AB112" s="113" t="e">
        <v>#N/A</v>
      </c>
    </row>
    <row r="113" spans="1:28">
      <c r="A113" s="108">
        <v>112</v>
      </c>
      <c r="B113" s="108"/>
      <c r="C113" s="109">
        <v>46024</v>
      </c>
      <c r="D113" s="110" t="s">
        <v>28</v>
      </c>
      <c r="E113" s="110" t="s">
        <v>4254</v>
      </c>
      <c r="F113" s="110" t="s">
        <v>30</v>
      </c>
      <c r="G113" s="110">
        <v>14</v>
      </c>
      <c r="H113" s="110" t="s">
        <v>4649</v>
      </c>
      <c r="I113" s="110" t="s">
        <v>4650</v>
      </c>
      <c r="J113" s="110"/>
      <c r="K113" s="110" t="s">
        <v>4651</v>
      </c>
      <c r="L113" s="110" t="s">
        <v>4652</v>
      </c>
      <c r="M113" s="110">
        <v>1047.8399999999999</v>
      </c>
      <c r="N113" s="110">
        <v>1047.8399999999999</v>
      </c>
      <c r="O113" s="111"/>
      <c r="P113" s="112" t="s">
        <v>27</v>
      </c>
      <c r="Q113" s="110" t="s">
        <v>35</v>
      </c>
      <c r="R113" s="110" t="s">
        <v>27</v>
      </c>
      <c r="S113" s="110"/>
      <c r="T113" s="110">
        <f t="shared" si="1"/>
        <v>1047.8399999999999</v>
      </c>
      <c r="U113" s="110"/>
      <c r="V113" s="110"/>
      <c r="W113" s="110"/>
      <c r="X113" s="110" t="s">
        <v>69</v>
      </c>
      <c r="Y113" s="110" t="s">
        <v>69</v>
      </c>
      <c r="AA113" s="113" t="e">
        <v>#N/A</v>
      </c>
      <c r="AB113" s="113" t="e">
        <v>#N/A</v>
      </c>
    </row>
    <row r="114" spans="1:28">
      <c r="A114" s="108">
        <v>113</v>
      </c>
      <c r="B114" s="108"/>
      <c r="C114" s="109">
        <v>46024</v>
      </c>
      <c r="D114" s="110" t="s">
        <v>28</v>
      </c>
      <c r="E114" s="110" t="s">
        <v>4254</v>
      </c>
      <c r="F114" s="110" t="s">
        <v>30</v>
      </c>
      <c r="G114" s="110">
        <v>14</v>
      </c>
      <c r="H114" s="110" t="s">
        <v>4653</v>
      </c>
      <c r="I114" s="110" t="s">
        <v>4654</v>
      </c>
      <c r="J114" s="110"/>
      <c r="K114" s="110" t="s">
        <v>4655</v>
      </c>
      <c r="L114" s="110" t="s">
        <v>4656</v>
      </c>
      <c r="M114" s="110">
        <v>1246.52</v>
      </c>
      <c r="N114" s="110">
        <v>1246.52</v>
      </c>
      <c r="O114" s="111"/>
      <c r="P114" s="112" t="s">
        <v>27</v>
      </c>
      <c r="Q114" s="110" t="s">
        <v>35</v>
      </c>
      <c r="R114" s="110" t="s">
        <v>27</v>
      </c>
      <c r="S114" s="110"/>
      <c r="T114" s="110">
        <f t="shared" si="1"/>
        <v>1246.52</v>
      </c>
      <c r="U114" s="110"/>
      <c r="V114" s="110"/>
      <c r="W114" s="110"/>
      <c r="X114" s="110" t="s">
        <v>36</v>
      </c>
      <c r="Y114" s="110" t="s">
        <v>36</v>
      </c>
      <c r="AA114" s="113" t="e">
        <v>#N/A</v>
      </c>
      <c r="AB114" s="113" t="e">
        <v>#N/A</v>
      </c>
    </row>
    <row r="115" spans="1:28">
      <c r="A115" s="108">
        <v>114</v>
      </c>
      <c r="B115" s="108"/>
      <c r="C115" s="109">
        <v>46024</v>
      </c>
      <c r="D115" s="110" t="s">
        <v>28</v>
      </c>
      <c r="E115" s="110" t="s">
        <v>4254</v>
      </c>
      <c r="F115" s="110" t="s">
        <v>30</v>
      </c>
      <c r="G115" s="110">
        <v>14</v>
      </c>
      <c r="H115" s="110" t="s">
        <v>4657</v>
      </c>
      <c r="I115" s="110" t="s">
        <v>4658</v>
      </c>
      <c r="J115" s="110"/>
      <c r="K115" s="110" t="s">
        <v>4659</v>
      </c>
      <c r="L115" s="110" t="s">
        <v>4660</v>
      </c>
      <c r="M115" s="110">
        <v>1177.6400000000001</v>
      </c>
      <c r="N115" s="110">
        <v>1177.6400000000001</v>
      </c>
      <c r="O115" s="111"/>
      <c r="P115" s="112" t="s">
        <v>27</v>
      </c>
      <c r="Q115" s="110" t="s">
        <v>35</v>
      </c>
      <c r="R115" s="110" t="s">
        <v>27</v>
      </c>
      <c r="S115" s="110"/>
      <c r="T115" s="110">
        <f t="shared" si="1"/>
        <v>1177.6400000000001</v>
      </c>
      <c r="U115" s="110"/>
      <c r="V115" s="110"/>
      <c r="W115" s="110"/>
      <c r="X115" s="110" t="s">
        <v>62</v>
      </c>
      <c r="Y115" s="110" t="s">
        <v>62</v>
      </c>
      <c r="AA115" s="113" t="e">
        <v>#N/A</v>
      </c>
      <c r="AB115" s="113" t="e">
        <v>#N/A</v>
      </c>
    </row>
    <row r="116" spans="1:28">
      <c r="A116" s="108">
        <v>115</v>
      </c>
      <c r="B116" s="108"/>
      <c r="C116" s="109">
        <v>46024</v>
      </c>
      <c r="D116" s="110" t="s">
        <v>28</v>
      </c>
      <c r="E116" s="110" t="s">
        <v>4254</v>
      </c>
      <c r="F116" s="110" t="s">
        <v>30</v>
      </c>
      <c r="G116" s="110">
        <v>14</v>
      </c>
      <c r="H116" s="110" t="s">
        <v>4661</v>
      </c>
      <c r="I116" s="110" t="s">
        <v>4662</v>
      </c>
      <c r="J116" s="110"/>
      <c r="K116" s="110" t="s">
        <v>4663</v>
      </c>
      <c r="L116" s="110" t="s">
        <v>4664</v>
      </c>
      <c r="M116" s="110">
        <v>553.99</v>
      </c>
      <c r="N116" s="110">
        <v>553.99</v>
      </c>
      <c r="O116" s="111"/>
      <c r="P116" s="112" t="s">
        <v>27</v>
      </c>
      <c r="Q116" s="110" t="s">
        <v>35</v>
      </c>
      <c r="R116" s="110" t="s">
        <v>27</v>
      </c>
      <c r="S116" s="110"/>
      <c r="T116" s="110">
        <f t="shared" si="1"/>
        <v>553.99</v>
      </c>
      <c r="U116" s="110"/>
      <c r="V116" s="110"/>
      <c r="W116" s="110"/>
      <c r="X116" s="110" t="s">
        <v>62</v>
      </c>
      <c r="Y116" s="110" t="s">
        <v>62</v>
      </c>
      <c r="AA116" s="113" t="e">
        <v>#N/A</v>
      </c>
      <c r="AB116" s="113" t="e">
        <v>#N/A</v>
      </c>
    </row>
    <row r="117" spans="1:28">
      <c r="A117" s="108">
        <v>116</v>
      </c>
      <c r="B117" s="108"/>
      <c r="C117" s="109">
        <v>46024</v>
      </c>
      <c r="D117" s="110" t="s">
        <v>28</v>
      </c>
      <c r="E117" s="110" t="s">
        <v>4254</v>
      </c>
      <c r="F117" s="110" t="s">
        <v>30</v>
      </c>
      <c r="G117" s="110">
        <v>14</v>
      </c>
      <c r="H117" s="110" t="s">
        <v>4665</v>
      </c>
      <c r="I117" s="110" t="s">
        <v>4666</v>
      </c>
      <c r="J117" s="110"/>
      <c r="K117" s="110" t="s">
        <v>4667</v>
      </c>
      <c r="L117" s="110" t="s">
        <v>4318</v>
      </c>
      <c r="M117" s="110">
        <v>525.29</v>
      </c>
      <c r="N117" s="110">
        <v>525.29</v>
      </c>
      <c r="O117" s="111"/>
      <c r="P117" s="112" t="s">
        <v>27</v>
      </c>
      <c r="Q117" s="110" t="s">
        <v>35</v>
      </c>
      <c r="R117" s="110" t="s">
        <v>27</v>
      </c>
      <c r="S117" s="110"/>
      <c r="T117" s="110">
        <f t="shared" si="1"/>
        <v>525.29</v>
      </c>
      <c r="U117" s="110"/>
      <c r="V117" s="110"/>
      <c r="W117" s="110"/>
      <c r="X117" s="110" t="s">
        <v>62</v>
      </c>
      <c r="Y117" s="110" t="s">
        <v>62</v>
      </c>
      <c r="AA117" s="113" t="e">
        <v>#N/A</v>
      </c>
      <c r="AB117" s="113" t="e">
        <v>#N/A</v>
      </c>
    </row>
    <row r="118" spans="1:28">
      <c r="A118" s="108">
        <v>117</v>
      </c>
      <c r="B118" s="108"/>
      <c r="C118" s="109">
        <v>46024</v>
      </c>
      <c r="D118" s="110" t="s">
        <v>28</v>
      </c>
      <c r="E118" s="110" t="s">
        <v>4254</v>
      </c>
      <c r="F118" s="110" t="s">
        <v>30</v>
      </c>
      <c r="G118" s="110">
        <v>14</v>
      </c>
      <c r="H118" s="110" t="s">
        <v>4668</v>
      </c>
      <c r="I118" s="110" t="s">
        <v>4669</v>
      </c>
      <c r="J118" s="110"/>
      <c r="K118" s="110" t="s">
        <v>4670</v>
      </c>
      <c r="L118" s="110" t="s">
        <v>4671</v>
      </c>
      <c r="M118" s="110">
        <v>499.8</v>
      </c>
      <c r="N118" s="110">
        <v>499.8</v>
      </c>
      <c r="O118" s="111">
        <v>46048</v>
      </c>
      <c r="P118" s="112" t="s">
        <v>444</v>
      </c>
      <c r="Q118" s="110" t="s">
        <v>52</v>
      </c>
      <c r="R118" s="110" t="s">
        <v>27</v>
      </c>
      <c r="S118" s="110">
        <v>500</v>
      </c>
      <c r="T118" s="110">
        <f t="shared" si="1"/>
        <v>-0.19999999999998863</v>
      </c>
      <c r="U118" s="111">
        <v>46048</v>
      </c>
      <c r="V118" s="110" t="s">
        <v>4672</v>
      </c>
      <c r="W118" s="110" t="s">
        <v>54</v>
      </c>
      <c r="X118" s="110" t="s">
        <v>444</v>
      </c>
      <c r="Y118" s="110" t="s">
        <v>444</v>
      </c>
      <c r="AA118" s="113" t="e">
        <v>#N/A</v>
      </c>
      <c r="AB118" s="113" t="e">
        <v>#N/A</v>
      </c>
    </row>
    <row r="119" spans="1:28">
      <c r="A119" s="108">
        <v>118</v>
      </c>
      <c r="B119" s="108"/>
      <c r="C119" s="109">
        <v>46024</v>
      </c>
      <c r="D119" s="110" t="s">
        <v>28</v>
      </c>
      <c r="E119" s="110" t="s">
        <v>4254</v>
      </c>
      <c r="F119" s="110" t="s">
        <v>30</v>
      </c>
      <c r="G119" s="110">
        <v>14</v>
      </c>
      <c r="H119" s="110" t="s">
        <v>4673</v>
      </c>
      <c r="I119" s="110" t="s">
        <v>4674</v>
      </c>
      <c r="J119" s="110"/>
      <c r="K119" s="110" t="s">
        <v>4675</v>
      </c>
      <c r="L119" s="110" t="s">
        <v>4676</v>
      </c>
      <c r="M119" s="110">
        <v>362.9</v>
      </c>
      <c r="N119" s="110">
        <v>362.9</v>
      </c>
      <c r="O119" s="111"/>
      <c r="P119" s="112" t="s">
        <v>27</v>
      </c>
      <c r="Q119" s="110" t="s">
        <v>35</v>
      </c>
      <c r="R119" s="110" t="s">
        <v>27</v>
      </c>
      <c r="S119" s="110"/>
      <c r="T119" s="110">
        <f t="shared" si="1"/>
        <v>362.9</v>
      </c>
      <c r="U119" s="110"/>
      <c r="V119" s="110"/>
      <c r="W119" s="110"/>
      <c r="X119" s="110" t="s">
        <v>89</v>
      </c>
      <c r="Y119" s="110" t="s">
        <v>89</v>
      </c>
      <c r="AA119" s="113" t="e">
        <v>#N/A</v>
      </c>
      <c r="AB119" s="113" t="e">
        <v>#N/A</v>
      </c>
    </row>
    <row r="120" spans="1:28">
      <c r="A120" s="108">
        <v>119</v>
      </c>
      <c r="B120" s="108"/>
      <c r="C120" s="109">
        <v>46024</v>
      </c>
      <c r="D120" s="110" t="s">
        <v>28</v>
      </c>
      <c r="E120" s="110" t="s">
        <v>4254</v>
      </c>
      <c r="F120" s="110" t="s">
        <v>30</v>
      </c>
      <c r="G120" s="110">
        <v>14</v>
      </c>
      <c r="H120" s="110" t="s">
        <v>4677</v>
      </c>
      <c r="I120" s="110" t="s">
        <v>4678</v>
      </c>
      <c r="J120" s="110"/>
      <c r="K120" s="110" t="s">
        <v>4679</v>
      </c>
      <c r="L120" s="110"/>
      <c r="M120" s="110">
        <v>3134.5</v>
      </c>
      <c r="N120" s="110">
        <v>3134.5</v>
      </c>
      <c r="O120" s="111"/>
      <c r="P120" s="112" t="s">
        <v>27</v>
      </c>
      <c r="Q120" s="110" t="s">
        <v>35</v>
      </c>
      <c r="R120" s="110" t="s">
        <v>27</v>
      </c>
      <c r="S120" s="110"/>
      <c r="T120" s="110">
        <f t="shared" si="1"/>
        <v>3134.5</v>
      </c>
      <c r="U120" s="110"/>
      <c r="V120" s="110"/>
      <c r="W120" s="110"/>
      <c r="X120" s="110" t="s">
        <v>82</v>
      </c>
      <c r="Y120" s="110" t="s">
        <v>82</v>
      </c>
      <c r="AA120" s="113" t="e">
        <v>#N/A</v>
      </c>
      <c r="AB120" s="113" t="e">
        <v>#N/A</v>
      </c>
    </row>
    <row r="121" spans="1:28">
      <c r="A121" s="108">
        <v>120</v>
      </c>
      <c r="B121" s="108"/>
      <c r="C121" s="109">
        <v>46024</v>
      </c>
      <c r="D121" s="110" t="s">
        <v>28</v>
      </c>
      <c r="E121" s="110" t="s">
        <v>4254</v>
      </c>
      <c r="F121" s="110" t="s">
        <v>30</v>
      </c>
      <c r="G121" s="110">
        <v>14</v>
      </c>
      <c r="H121" s="110" t="s">
        <v>4680</v>
      </c>
      <c r="I121" s="110" t="s">
        <v>4681</v>
      </c>
      <c r="J121" s="110"/>
      <c r="K121" s="110" t="s">
        <v>4682</v>
      </c>
      <c r="L121" s="110" t="s">
        <v>4683</v>
      </c>
      <c r="M121" s="110">
        <v>1483.7</v>
      </c>
      <c r="N121" s="110">
        <v>1483.7</v>
      </c>
      <c r="O121" s="111"/>
      <c r="P121" s="112" t="s">
        <v>27</v>
      </c>
      <c r="Q121" s="110" t="s">
        <v>35</v>
      </c>
      <c r="R121" s="110" t="s">
        <v>27</v>
      </c>
      <c r="S121" s="110"/>
      <c r="T121" s="110">
        <f t="shared" si="1"/>
        <v>1483.7</v>
      </c>
      <c r="U121" s="110"/>
      <c r="V121" s="110"/>
      <c r="W121" s="110"/>
      <c r="X121" s="110" t="s">
        <v>82</v>
      </c>
      <c r="Y121" s="110" t="s">
        <v>82</v>
      </c>
      <c r="AA121" s="113" t="e">
        <v>#N/A</v>
      </c>
      <c r="AB121" s="113" t="e">
        <v>#N/A</v>
      </c>
    </row>
    <row r="122" spans="1:28">
      <c r="A122" s="108">
        <v>121</v>
      </c>
      <c r="B122" s="108"/>
      <c r="C122" s="109">
        <v>46025</v>
      </c>
      <c r="D122" s="110" t="s">
        <v>28</v>
      </c>
      <c r="E122" s="110" t="s">
        <v>4254</v>
      </c>
      <c r="F122" s="110" t="s">
        <v>30</v>
      </c>
      <c r="G122" s="110">
        <v>15</v>
      </c>
      <c r="H122" s="110" t="s">
        <v>4684</v>
      </c>
      <c r="I122" s="110" t="s">
        <v>4685</v>
      </c>
      <c r="J122" s="110"/>
      <c r="K122" s="110" t="s">
        <v>4686</v>
      </c>
      <c r="L122" s="110" t="s">
        <v>4687</v>
      </c>
      <c r="M122" s="110">
        <v>21424.720000000001</v>
      </c>
      <c r="N122" s="110">
        <v>21424.720000000001</v>
      </c>
      <c r="O122" s="111"/>
      <c r="P122" s="112" t="s">
        <v>27</v>
      </c>
      <c r="Q122" s="110" t="s">
        <v>35</v>
      </c>
      <c r="R122" s="110" t="s">
        <v>27</v>
      </c>
      <c r="S122" s="110"/>
      <c r="T122" s="110">
        <f t="shared" si="1"/>
        <v>21424.720000000001</v>
      </c>
      <c r="U122" s="110"/>
      <c r="V122" s="110"/>
      <c r="W122" s="110"/>
      <c r="X122" s="110" t="s">
        <v>69</v>
      </c>
      <c r="Y122" s="110" t="s">
        <v>69</v>
      </c>
      <c r="AA122" s="113" t="e">
        <v>#N/A</v>
      </c>
      <c r="AB122" s="113" t="e">
        <v>#N/A</v>
      </c>
    </row>
    <row r="123" spans="1:28">
      <c r="A123" s="108">
        <v>122</v>
      </c>
      <c r="B123" s="108"/>
      <c r="C123" s="109">
        <v>46025</v>
      </c>
      <c r="D123" s="110" t="s">
        <v>28</v>
      </c>
      <c r="E123" s="110" t="s">
        <v>4254</v>
      </c>
      <c r="F123" s="110" t="s">
        <v>30</v>
      </c>
      <c r="G123" s="110">
        <v>15</v>
      </c>
      <c r="H123" s="110" t="s">
        <v>4688</v>
      </c>
      <c r="I123" s="110" t="s">
        <v>4689</v>
      </c>
      <c r="J123" s="110"/>
      <c r="K123" s="110" t="s">
        <v>4690</v>
      </c>
      <c r="L123" s="110" t="s">
        <v>4691</v>
      </c>
      <c r="M123" s="110">
        <v>13507.26</v>
      </c>
      <c r="N123" s="110">
        <v>13507.26</v>
      </c>
      <c r="O123" s="111"/>
      <c r="P123" s="112" t="s">
        <v>27</v>
      </c>
      <c r="Q123" s="110" t="s">
        <v>35</v>
      </c>
      <c r="R123" s="110" t="s">
        <v>27</v>
      </c>
      <c r="S123" s="110"/>
      <c r="T123" s="110">
        <f t="shared" si="1"/>
        <v>13507.26</v>
      </c>
      <c r="U123" s="110"/>
      <c r="V123" s="110"/>
      <c r="W123" s="110"/>
      <c r="X123" s="110" t="s">
        <v>37</v>
      </c>
      <c r="Y123" s="110" t="s">
        <v>37</v>
      </c>
      <c r="AA123" s="113" t="e">
        <v>#N/A</v>
      </c>
      <c r="AB123" s="113" t="e">
        <v>#N/A</v>
      </c>
    </row>
    <row r="124" spans="1:28">
      <c r="A124" s="108">
        <v>123</v>
      </c>
      <c r="B124" s="108"/>
      <c r="C124" s="109">
        <v>46025</v>
      </c>
      <c r="D124" s="110" t="s">
        <v>28</v>
      </c>
      <c r="E124" s="110" t="s">
        <v>4254</v>
      </c>
      <c r="F124" s="110" t="s">
        <v>30</v>
      </c>
      <c r="G124" s="110">
        <v>15</v>
      </c>
      <c r="H124" s="110" t="s">
        <v>428</v>
      </c>
      <c r="I124" s="110" t="s">
        <v>4692</v>
      </c>
      <c r="J124" s="110"/>
      <c r="K124" s="110" t="s">
        <v>430</v>
      </c>
      <c r="L124" s="110" t="s">
        <v>431</v>
      </c>
      <c r="M124" s="110">
        <v>13046.5</v>
      </c>
      <c r="N124" s="110">
        <v>13046.5</v>
      </c>
      <c r="O124" s="111"/>
      <c r="P124" s="112" t="s">
        <v>27</v>
      </c>
      <c r="Q124" s="110" t="s">
        <v>35</v>
      </c>
      <c r="R124" s="110" t="s">
        <v>27</v>
      </c>
      <c r="S124" s="110"/>
      <c r="T124" s="110">
        <f t="shared" si="1"/>
        <v>13046.5</v>
      </c>
      <c r="U124" s="110"/>
      <c r="V124" s="110"/>
      <c r="W124" s="110"/>
      <c r="X124" s="110" t="s">
        <v>4335</v>
      </c>
      <c r="Y124" s="110" t="s">
        <v>4335</v>
      </c>
      <c r="AA124" s="113" t="e">
        <v>#N/A</v>
      </c>
      <c r="AB124" s="113" t="e">
        <v>#N/A</v>
      </c>
    </row>
    <row r="125" spans="1:28">
      <c r="A125" s="108">
        <v>124</v>
      </c>
      <c r="B125" s="108"/>
      <c r="C125" s="109">
        <v>46025</v>
      </c>
      <c r="D125" s="110" t="s">
        <v>28</v>
      </c>
      <c r="E125" s="110" t="s">
        <v>4254</v>
      </c>
      <c r="F125" s="110" t="s">
        <v>30</v>
      </c>
      <c r="G125" s="110">
        <v>15</v>
      </c>
      <c r="H125" s="110" t="s">
        <v>4693</v>
      </c>
      <c r="I125" s="110" t="s">
        <v>4694</v>
      </c>
      <c r="J125" s="110"/>
      <c r="K125" s="110" t="s">
        <v>4695</v>
      </c>
      <c r="L125" s="110" t="s">
        <v>4696</v>
      </c>
      <c r="M125" s="110">
        <v>5249.96</v>
      </c>
      <c r="N125" s="110">
        <v>5249.96</v>
      </c>
      <c r="O125" s="111"/>
      <c r="P125" s="112" t="s">
        <v>27</v>
      </c>
      <c r="Q125" s="110" t="s">
        <v>35</v>
      </c>
      <c r="R125" s="110" t="s">
        <v>27</v>
      </c>
      <c r="S125" s="110"/>
      <c r="T125" s="110">
        <f t="shared" si="1"/>
        <v>5249.96</v>
      </c>
      <c r="U125" s="110"/>
      <c r="V125" s="110"/>
      <c r="W125" s="110"/>
      <c r="X125" s="110" t="s">
        <v>37</v>
      </c>
      <c r="Y125" s="110" t="s">
        <v>37</v>
      </c>
      <c r="AA125" s="113" t="e">
        <v>#N/A</v>
      </c>
      <c r="AB125" s="113" t="e">
        <v>#N/A</v>
      </c>
    </row>
    <row r="126" spans="1:28">
      <c r="A126" s="108">
        <v>125</v>
      </c>
      <c r="B126" s="108"/>
      <c r="C126" s="109">
        <v>46025</v>
      </c>
      <c r="D126" s="110" t="s">
        <v>28</v>
      </c>
      <c r="E126" s="110" t="s">
        <v>4254</v>
      </c>
      <c r="F126" s="110" t="s">
        <v>30</v>
      </c>
      <c r="G126" s="110">
        <v>15</v>
      </c>
      <c r="H126" s="110" t="s">
        <v>4697</v>
      </c>
      <c r="I126" s="110" t="s">
        <v>4698</v>
      </c>
      <c r="J126" s="110"/>
      <c r="K126" s="110" t="s">
        <v>4699</v>
      </c>
      <c r="L126" s="110" t="s">
        <v>4700</v>
      </c>
      <c r="M126" s="110">
        <v>8417.06</v>
      </c>
      <c r="N126" s="110">
        <v>8417.06</v>
      </c>
      <c r="O126" s="111"/>
      <c r="P126" s="112" t="s">
        <v>27</v>
      </c>
      <c r="Q126" s="110" t="s">
        <v>35</v>
      </c>
      <c r="R126" s="110" t="s">
        <v>27</v>
      </c>
      <c r="S126" s="110"/>
      <c r="T126" s="110">
        <f t="shared" si="1"/>
        <v>8417.06</v>
      </c>
      <c r="U126" s="110"/>
      <c r="V126" s="110"/>
      <c r="W126" s="110"/>
      <c r="X126" s="110" t="s">
        <v>117</v>
      </c>
      <c r="Y126" s="110" t="s">
        <v>117</v>
      </c>
      <c r="AA126" s="113" t="e">
        <v>#N/A</v>
      </c>
      <c r="AB126" s="113" t="e">
        <v>#N/A</v>
      </c>
    </row>
    <row r="127" spans="1:28">
      <c r="A127" s="108">
        <v>126</v>
      </c>
      <c r="B127" s="108"/>
      <c r="C127" s="109">
        <v>46025</v>
      </c>
      <c r="D127" s="110" t="s">
        <v>28</v>
      </c>
      <c r="E127" s="110" t="s">
        <v>4254</v>
      </c>
      <c r="F127" s="110" t="s">
        <v>30</v>
      </c>
      <c r="G127" s="110">
        <v>15</v>
      </c>
      <c r="H127" s="110" t="s">
        <v>4701</v>
      </c>
      <c r="I127" s="110" t="s">
        <v>4702</v>
      </c>
      <c r="J127" s="110"/>
      <c r="K127" s="110" t="s">
        <v>4703</v>
      </c>
      <c r="L127" s="110"/>
      <c r="M127" s="110">
        <v>6928.71</v>
      </c>
      <c r="N127" s="110">
        <v>6928.71</v>
      </c>
      <c r="O127" s="111"/>
      <c r="P127" s="112" t="s">
        <v>27</v>
      </c>
      <c r="Q127" s="110" t="s">
        <v>35</v>
      </c>
      <c r="R127" s="110" t="s">
        <v>27</v>
      </c>
      <c r="S127" s="110"/>
      <c r="T127" s="110">
        <f t="shared" si="1"/>
        <v>6928.71</v>
      </c>
      <c r="U127" s="110"/>
      <c r="V127" s="110"/>
      <c r="W127" s="110"/>
      <c r="X127" s="110" t="s">
        <v>444</v>
      </c>
      <c r="Y127" s="110" t="s">
        <v>444</v>
      </c>
      <c r="AA127" s="113" t="e">
        <v>#N/A</v>
      </c>
      <c r="AB127" s="113" t="e">
        <v>#N/A</v>
      </c>
    </row>
    <row r="128" spans="1:28">
      <c r="A128" s="108">
        <v>127</v>
      </c>
      <c r="B128" s="108"/>
      <c r="C128" s="109">
        <v>46025</v>
      </c>
      <c r="D128" s="110" t="s">
        <v>28</v>
      </c>
      <c r="E128" s="110" t="s">
        <v>4254</v>
      </c>
      <c r="F128" s="110" t="s">
        <v>30</v>
      </c>
      <c r="G128" s="110">
        <v>15</v>
      </c>
      <c r="H128" s="110" t="s">
        <v>4704</v>
      </c>
      <c r="I128" s="110" t="s">
        <v>4705</v>
      </c>
      <c r="J128" s="110"/>
      <c r="K128" s="110" t="s">
        <v>4706</v>
      </c>
      <c r="L128" s="110" t="s">
        <v>4707</v>
      </c>
      <c r="M128" s="110">
        <v>7078.31</v>
      </c>
      <c r="N128" s="110">
        <v>7078.31</v>
      </c>
      <c r="O128" s="111"/>
      <c r="P128" s="112" t="s">
        <v>27</v>
      </c>
      <c r="Q128" s="110" t="s">
        <v>35</v>
      </c>
      <c r="R128" s="110" t="s">
        <v>27</v>
      </c>
      <c r="S128" s="110"/>
      <c r="T128" s="110">
        <f t="shared" si="1"/>
        <v>7078.31</v>
      </c>
      <c r="U128" s="110"/>
      <c r="V128" s="110"/>
      <c r="W128" s="110"/>
      <c r="X128" s="110" t="s">
        <v>124</v>
      </c>
      <c r="Y128" s="110" t="s">
        <v>124</v>
      </c>
      <c r="AA128" s="113" t="e">
        <v>#N/A</v>
      </c>
      <c r="AB128" s="113" t="e">
        <v>#N/A</v>
      </c>
    </row>
    <row r="129" spans="1:28">
      <c r="A129" s="108">
        <v>128</v>
      </c>
      <c r="B129" s="108"/>
      <c r="C129" s="109">
        <v>46025</v>
      </c>
      <c r="D129" s="110" t="s">
        <v>28</v>
      </c>
      <c r="E129" s="110" t="s">
        <v>4254</v>
      </c>
      <c r="F129" s="110" t="s">
        <v>30</v>
      </c>
      <c r="G129" s="110">
        <v>15</v>
      </c>
      <c r="H129" s="110" t="s">
        <v>4708</v>
      </c>
      <c r="I129" s="110" t="s">
        <v>4709</v>
      </c>
      <c r="J129" s="110"/>
      <c r="K129" s="110" t="s">
        <v>4710</v>
      </c>
      <c r="L129" s="110" t="s">
        <v>4711</v>
      </c>
      <c r="M129" s="110">
        <v>6600.23</v>
      </c>
      <c r="N129" s="110">
        <v>6600.23</v>
      </c>
      <c r="O129" s="111"/>
      <c r="P129" s="112" t="s">
        <v>27</v>
      </c>
      <c r="Q129" s="110" t="s">
        <v>35</v>
      </c>
      <c r="R129" s="110" t="s">
        <v>27</v>
      </c>
      <c r="S129" s="110"/>
      <c r="T129" s="110">
        <f t="shared" si="1"/>
        <v>6600.23</v>
      </c>
      <c r="U129" s="110"/>
      <c r="V129" s="110"/>
      <c r="W129" s="110"/>
      <c r="X129" s="110" t="s">
        <v>124</v>
      </c>
      <c r="Y129" s="110" t="s">
        <v>124</v>
      </c>
      <c r="AA129" s="113" t="e">
        <v>#N/A</v>
      </c>
      <c r="AB129" s="113" t="e">
        <v>#N/A</v>
      </c>
    </row>
    <row r="130" spans="1:28">
      <c r="A130" s="108">
        <v>129</v>
      </c>
      <c r="B130" s="108"/>
      <c r="C130" s="109">
        <v>46025</v>
      </c>
      <c r="D130" s="110" t="s">
        <v>28</v>
      </c>
      <c r="E130" s="110" t="s">
        <v>4254</v>
      </c>
      <c r="F130" s="110" t="s">
        <v>30</v>
      </c>
      <c r="G130" s="110">
        <v>15</v>
      </c>
      <c r="H130" s="110" t="s">
        <v>4712</v>
      </c>
      <c r="I130" s="110" t="s">
        <v>4713</v>
      </c>
      <c r="J130" s="110"/>
      <c r="K130" s="110" t="s">
        <v>4714</v>
      </c>
      <c r="L130" s="110"/>
      <c r="M130" s="110">
        <v>4778.8599999999997</v>
      </c>
      <c r="N130" s="110">
        <v>4778.8599999999997</v>
      </c>
      <c r="O130" s="111"/>
      <c r="P130" s="112" t="s">
        <v>27</v>
      </c>
      <c r="Q130" s="110" t="s">
        <v>35</v>
      </c>
      <c r="R130" s="110" t="s">
        <v>27</v>
      </c>
      <c r="S130" s="110"/>
      <c r="T130" s="110">
        <f t="shared" ref="T130:T193" si="2">N130-S130</f>
        <v>4778.8599999999997</v>
      </c>
      <c r="U130" s="110"/>
      <c r="V130" s="110"/>
      <c r="W130" s="110"/>
      <c r="X130" s="110" t="s">
        <v>444</v>
      </c>
      <c r="Y130" s="110" t="s">
        <v>444</v>
      </c>
      <c r="AA130" s="113" t="e">
        <v>#N/A</v>
      </c>
      <c r="AB130" s="113" t="e">
        <v>#N/A</v>
      </c>
    </row>
    <row r="131" spans="1:28">
      <c r="A131" s="108">
        <v>130</v>
      </c>
      <c r="B131" s="108"/>
      <c r="C131" s="109">
        <v>46025</v>
      </c>
      <c r="D131" s="110" t="s">
        <v>28</v>
      </c>
      <c r="E131" s="110" t="s">
        <v>4254</v>
      </c>
      <c r="F131" s="110" t="s">
        <v>30</v>
      </c>
      <c r="G131" s="110">
        <v>15</v>
      </c>
      <c r="H131" s="110" t="s">
        <v>4715</v>
      </c>
      <c r="I131" s="110" t="s">
        <v>4716</v>
      </c>
      <c r="J131" s="110"/>
      <c r="K131" s="110" t="s">
        <v>4717</v>
      </c>
      <c r="L131" s="110"/>
      <c r="M131" s="110">
        <v>8322.36</v>
      </c>
      <c r="N131" s="110">
        <v>8322.36</v>
      </c>
      <c r="O131" s="111"/>
      <c r="P131" s="112" t="s">
        <v>27</v>
      </c>
      <c r="Q131" s="110" t="s">
        <v>35</v>
      </c>
      <c r="R131" s="110" t="s">
        <v>27</v>
      </c>
      <c r="S131" s="110"/>
      <c r="T131" s="110">
        <f t="shared" si="2"/>
        <v>8322.36</v>
      </c>
      <c r="U131" s="110"/>
      <c r="V131" s="110"/>
      <c r="W131" s="110"/>
      <c r="X131" s="110" t="s">
        <v>37</v>
      </c>
      <c r="Y131" s="110" t="s">
        <v>37</v>
      </c>
      <c r="AA131" s="113" t="e">
        <v>#N/A</v>
      </c>
      <c r="AB131" s="113" t="e">
        <v>#N/A</v>
      </c>
    </row>
    <row r="132" spans="1:28">
      <c r="A132" s="108">
        <v>131</v>
      </c>
      <c r="B132" s="108"/>
      <c r="C132" s="109">
        <v>46025</v>
      </c>
      <c r="D132" s="110" t="s">
        <v>28</v>
      </c>
      <c r="E132" s="110" t="s">
        <v>4254</v>
      </c>
      <c r="F132" s="110" t="s">
        <v>30</v>
      </c>
      <c r="G132" s="110">
        <v>15</v>
      </c>
      <c r="H132" s="110" t="s">
        <v>4718</v>
      </c>
      <c r="I132" s="110" t="s">
        <v>4719</v>
      </c>
      <c r="J132" s="110"/>
      <c r="K132" s="110" t="s">
        <v>4720</v>
      </c>
      <c r="L132" s="110" t="s">
        <v>4721</v>
      </c>
      <c r="M132" s="110">
        <v>4256.1400000000003</v>
      </c>
      <c r="N132" s="110">
        <v>4256.1400000000003</v>
      </c>
      <c r="O132" s="111"/>
      <c r="P132" s="112" t="s">
        <v>27</v>
      </c>
      <c r="Q132" s="110" t="s">
        <v>35</v>
      </c>
      <c r="R132" s="110" t="s">
        <v>27</v>
      </c>
      <c r="S132" s="110"/>
      <c r="T132" s="110">
        <f t="shared" si="2"/>
        <v>4256.1400000000003</v>
      </c>
      <c r="U132" s="110"/>
      <c r="V132" s="110"/>
      <c r="W132" s="110"/>
      <c r="X132" s="110" t="s">
        <v>444</v>
      </c>
      <c r="Y132" s="110" t="s">
        <v>444</v>
      </c>
      <c r="AA132" s="113" t="e">
        <v>#N/A</v>
      </c>
      <c r="AB132" s="113" t="e">
        <v>#N/A</v>
      </c>
    </row>
    <row r="133" spans="1:28">
      <c r="A133" s="108">
        <v>132</v>
      </c>
      <c r="B133" s="108"/>
      <c r="C133" s="109">
        <v>46025</v>
      </c>
      <c r="D133" s="110" t="s">
        <v>28</v>
      </c>
      <c r="E133" s="110" t="s">
        <v>4254</v>
      </c>
      <c r="F133" s="110" t="s">
        <v>30</v>
      </c>
      <c r="G133" s="110">
        <v>15</v>
      </c>
      <c r="H133" s="110" t="s">
        <v>4722</v>
      </c>
      <c r="I133" s="110" t="s">
        <v>4723</v>
      </c>
      <c r="J133" s="110"/>
      <c r="K133" s="110" t="s">
        <v>4724</v>
      </c>
      <c r="L133" s="110" t="s">
        <v>4725</v>
      </c>
      <c r="M133" s="110">
        <v>4065.43</v>
      </c>
      <c r="N133" s="110">
        <v>4065.43</v>
      </c>
      <c r="O133" s="111"/>
      <c r="P133" s="112" t="s">
        <v>27</v>
      </c>
      <c r="Q133" s="110" t="s">
        <v>35</v>
      </c>
      <c r="R133" s="110" t="s">
        <v>27</v>
      </c>
      <c r="S133" s="110"/>
      <c r="T133" s="110">
        <f t="shared" si="2"/>
        <v>4065.43</v>
      </c>
      <c r="U133" s="110"/>
      <c r="V133" s="110"/>
      <c r="W133" s="110"/>
      <c r="X133" s="110" t="s">
        <v>117</v>
      </c>
      <c r="Y133" s="110" t="s">
        <v>117</v>
      </c>
      <c r="AA133" s="113" t="e">
        <v>#N/A</v>
      </c>
      <c r="AB133" s="113" t="e">
        <v>#N/A</v>
      </c>
    </row>
    <row r="134" spans="1:28">
      <c r="A134" s="108">
        <v>133</v>
      </c>
      <c r="B134" s="108"/>
      <c r="C134" s="109">
        <v>46025</v>
      </c>
      <c r="D134" s="110" t="s">
        <v>28</v>
      </c>
      <c r="E134" s="110" t="s">
        <v>4254</v>
      </c>
      <c r="F134" s="110" t="s">
        <v>30</v>
      </c>
      <c r="G134" s="110">
        <v>15</v>
      </c>
      <c r="H134" s="110" t="s">
        <v>4726</v>
      </c>
      <c r="I134" s="110" t="s">
        <v>4727</v>
      </c>
      <c r="J134" s="110"/>
      <c r="K134" s="110" t="s">
        <v>4728</v>
      </c>
      <c r="L134" s="110" t="s">
        <v>4729</v>
      </c>
      <c r="M134" s="110">
        <v>3393.85</v>
      </c>
      <c r="N134" s="110">
        <v>3393.85</v>
      </c>
      <c r="O134" s="111"/>
      <c r="P134" s="112" t="s">
        <v>27</v>
      </c>
      <c r="Q134" s="110" t="s">
        <v>35</v>
      </c>
      <c r="R134" s="110" t="s">
        <v>27</v>
      </c>
      <c r="S134" s="110"/>
      <c r="T134" s="110">
        <f t="shared" si="2"/>
        <v>3393.85</v>
      </c>
      <c r="U134" s="110"/>
      <c r="V134" s="110"/>
      <c r="W134" s="110"/>
      <c r="X134" s="110" t="s">
        <v>89</v>
      </c>
      <c r="Y134" s="110" t="s">
        <v>89</v>
      </c>
      <c r="AA134" s="113" t="e">
        <v>#N/A</v>
      </c>
      <c r="AB134" s="113" t="e">
        <v>#N/A</v>
      </c>
    </row>
    <row r="135" spans="1:28">
      <c r="A135" s="108">
        <v>134</v>
      </c>
      <c r="B135" s="108"/>
      <c r="C135" s="109">
        <v>46025</v>
      </c>
      <c r="D135" s="110" t="s">
        <v>28</v>
      </c>
      <c r="E135" s="110" t="s">
        <v>4254</v>
      </c>
      <c r="F135" s="110" t="s">
        <v>30</v>
      </c>
      <c r="G135" s="110">
        <v>15</v>
      </c>
      <c r="H135" s="110" t="s">
        <v>4730</v>
      </c>
      <c r="I135" s="110" t="s">
        <v>4731</v>
      </c>
      <c r="J135" s="110"/>
      <c r="K135" s="110" t="s">
        <v>4732</v>
      </c>
      <c r="L135" s="110" t="s">
        <v>4733</v>
      </c>
      <c r="M135" s="110">
        <v>4003.38</v>
      </c>
      <c r="N135" s="110">
        <v>4003.38</v>
      </c>
      <c r="O135" s="111"/>
      <c r="P135" s="112" t="s">
        <v>27</v>
      </c>
      <c r="Q135" s="110" t="s">
        <v>35</v>
      </c>
      <c r="R135" s="110" t="s">
        <v>27</v>
      </c>
      <c r="S135" s="110"/>
      <c r="T135" s="110">
        <f t="shared" si="2"/>
        <v>4003.38</v>
      </c>
      <c r="U135" s="110"/>
      <c r="V135" s="110"/>
      <c r="W135" s="110"/>
      <c r="X135" s="110" t="s">
        <v>76</v>
      </c>
      <c r="Y135" s="110" t="s">
        <v>76</v>
      </c>
      <c r="AA135" s="113" t="e">
        <v>#N/A</v>
      </c>
      <c r="AB135" s="113" t="e">
        <v>#N/A</v>
      </c>
    </row>
    <row r="136" spans="1:28">
      <c r="A136" s="108">
        <v>135</v>
      </c>
      <c r="B136" s="108"/>
      <c r="C136" s="109">
        <v>46025</v>
      </c>
      <c r="D136" s="110" t="s">
        <v>28</v>
      </c>
      <c r="E136" s="110" t="s">
        <v>4254</v>
      </c>
      <c r="F136" s="110" t="s">
        <v>30</v>
      </c>
      <c r="G136" s="110">
        <v>15</v>
      </c>
      <c r="H136" s="110" t="s">
        <v>4734</v>
      </c>
      <c r="I136" s="110" t="s">
        <v>4735</v>
      </c>
      <c r="J136" s="110"/>
      <c r="K136" s="110" t="s">
        <v>4736</v>
      </c>
      <c r="L136" s="110" t="s">
        <v>4737</v>
      </c>
      <c r="M136" s="110">
        <v>3125.36</v>
      </c>
      <c r="N136" s="110">
        <v>3125.36</v>
      </c>
      <c r="O136" s="111"/>
      <c r="P136" s="112" t="s">
        <v>27</v>
      </c>
      <c r="Q136" s="110" t="s">
        <v>35</v>
      </c>
      <c r="R136" s="110" t="s">
        <v>27</v>
      </c>
      <c r="S136" s="110"/>
      <c r="T136" s="110">
        <f t="shared" si="2"/>
        <v>3125.36</v>
      </c>
      <c r="U136" s="110"/>
      <c r="V136" s="110"/>
      <c r="W136" s="110"/>
      <c r="X136" s="110" t="s">
        <v>62</v>
      </c>
      <c r="Y136" s="110" t="s">
        <v>62</v>
      </c>
      <c r="AA136" s="113" t="e">
        <v>#N/A</v>
      </c>
      <c r="AB136" s="113" t="e">
        <v>#N/A</v>
      </c>
    </row>
    <row r="137" spans="1:28">
      <c r="A137" s="108">
        <v>136</v>
      </c>
      <c r="B137" s="108"/>
      <c r="C137" s="109">
        <v>46025</v>
      </c>
      <c r="D137" s="110" t="s">
        <v>28</v>
      </c>
      <c r="E137" s="110" t="s">
        <v>4254</v>
      </c>
      <c r="F137" s="110" t="s">
        <v>30</v>
      </c>
      <c r="G137" s="110">
        <v>15</v>
      </c>
      <c r="H137" s="110" t="s">
        <v>4738</v>
      </c>
      <c r="I137" s="110" t="s">
        <v>4739</v>
      </c>
      <c r="J137" s="110"/>
      <c r="K137" s="110" t="s">
        <v>4740</v>
      </c>
      <c r="L137" s="110" t="s">
        <v>4741</v>
      </c>
      <c r="M137" s="110">
        <v>1879.83</v>
      </c>
      <c r="N137" s="110">
        <v>1879.83</v>
      </c>
      <c r="O137" s="111"/>
      <c r="P137" s="112" t="s">
        <v>27</v>
      </c>
      <c r="Q137" s="110" t="s">
        <v>35</v>
      </c>
      <c r="R137" s="110" t="s">
        <v>27</v>
      </c>
      <c r="S137" s="110"/>
      <c r="T137" s="110">
        <f t="shared" si="2"/>
        <v>1879.83</v>
      </c>
      <c r="U137" s="110"/>
      <c r="V137" s="110"/>
      <c r="W137" s="110"/>
      <c r="X137" s="110" t="s">
        <v>444</v>
      </c>
      <c r="Y137" s="110" t="s">
        <v>444</v>
      </c>
      <c r="AA137" s="113" t="e">
        <v>#N/A</v>
      </c>
      <c r="AB137" s="113" t="e">
        <v>#N/A</v>
      </c>
    </row>
    <row r="138" spans="1:28">
      <c r="A138" s="108">
        <v>137</v>
      </c>
      <c r="B138" s="108"/>
      <c r="C138" s="109">
        <v>46025</v>
      </c>
      <c r="D138" s="110" t="s">
        <v>28</v>
      </c>
      <c r="E138" s="110" t="s">
        <v>4254</v>
      </c>
      <c r="F138" s="110" t="s">
        <v>30</v>
      </c>
      <c r="G138" s="110">
        <v>15</v>
      </c>
      <c r="H138" s="110" t="s">
        <v>4742</v>
      </c>
      <c r="I138" s="110" t="s">
        <v>4743</v>
      </c>
      <c r="J138" s="110"/>
      <c r="K138" s="110" t="s">
        <v>4744</v>
      </c>
      <c r="L138" s="110" t="s">
        <v>4745</v>
      </c>
      <c r="M138" s="110">
        <v>1844.03</v>
      </c>
      <c r="N138" s="110">
        <v>1844.03</v>
      </c>
      <c r="O138" s="111"/>
      <c r="P138" s="112" t="s">
        <v>27</v>
      </c>
      <c r="Q138" s="110" t="s">
        <v>35</v>
      </c>
      <c r="R138" s="110" t="s">
        <v>27</v>
      </c>
      <c r="S138" s="110"/>
      <c r="T138" s="110">
        <f t="shared" si="2"/>
        <v>1844.03</v>
      </c>
      <c r="U138" s="110"/>
      <c r="V138" s="110"/>
      <c r="W138" s="110"/>
      <c r="X138" s="110" t="s">
        <v>76</v>
      </c>
      <c r="Y138" s="110" t="s">
        <v>76</v>
      </c>
      <c r="AA138" s="113" t="e">
        <v>#N/A</v>
      </c>
      <c r="AB138" s="113" t="e">
        <v>#N/A</v>
      </c>
    </row>
    <row r="139" spans="1:28">
      <c r="A139" s="108">
        <v>138</v>
      </c>
      <c r="B139" s="108"/>
      <c r="C139" s="109">
        <v>46025</v>
      </c>
      <c r="D139" s="110" t="s">
        <v>28</v>
      </c>
      <c r="E139" s="110" t="s">
        <v>4254</v>
      </c>
      <c r="F139" s="110" t="s">
        <v>30</v>
      </c>
      <c r="G139" s="110">
        <v>15</v>
      </c>
      <c r="H139" s="110" t="s">
        <v>4746</v>
      </c>
      <c r="I139" s="110" t="s">
        <v>4747</v>
      </c>
      <c r="J139" s="110"/>
      <c r="K139" s="110" t="s">
        <v>4748</v>
      </c>
      <c r="L139" s="110"/>
      <c r="M139" s="110">
        <v>2797.85</v>
      </c>
      <c r="N139" s="110">
        <v>2797.85</v>
      </c>
      <c r="O139" s="111"/>
      <c r="P139" s="112" t="s">
        <v>27</v>
      </c>
      <c r="Q139" s="110" t="s">
        <v>35</v>
      </c>
      <c r="R139" s="110" t="s">
        <v>27</v>
      </c>
      <c r="S139" s="110"/>
      <c r="T139" s="110">
        <f t="shared" si="2"/>
        <v>2797.85</v>
      </c>
      <c r="U139" s="110"/>
      <c r="V139" s="110"/>
      <c r="W139" s="110"/>
      <c r="X139" s="110" t="s">
        <v>76</v>
      </c>
      <c r="Y139" s="110" t="s">
        <v>76</v>
      </c>
      <c r="AA139" s="113" t="e">
        <v>#N/A</v>
      </c>
      <c r="AB139" s="113" t="e">
        <v>#N/A</v>
      </c>
    </row>
    <row r="140" spans="1:28">
      <c r="A140" s="108">
        <v>139</v>
      </c>
      <c r="B140" s="108"/>
      <c r="C140" s="109">
        <v>46025</v>
      </c>
      <c r="D140" s="110" t="s">
        <v>28</v>
      </c>
      <c r="E140" s="110" t="s">
        <v>4254</v>
      </c>
      <c r="F140" s="110" t="s">
        <v>30</v>
      </c>
      <c r="G140" s="110">
        <v>15</v>
      </c>
      <c r="H140" s="110" t="s">
        <v>4749</v>
      </c>
      <c r="I140" s="110" t="s">
        <v>4750</v>
      </c>
      <c r="J140" s="110"/>
      <c r="K140" s="110" t="s">
        <v>4751</v>
      </c>
      <c r="L140" s="110" t="s">
        <v>4752</v>
      </c>
      <c r="M140" s="110">
        <v>1750.26</v>
      </c>
      <c r="N140" s="110">
        <v>1750.26</v>
      </c>
      <c r="O140" s="111"/>
      <c r="P140" s="112" t="s">
        <v>27</v>
      </c>
      <c r="Q140" s="110" t="s">
        <v>35</v>
      </c>
      <c r="R140" s="110" t="s">
        <v>27</v>
      </c>
      <c r="S140" s="110"/>
      <c r="T140" s="110">
        <f t="shared" si="2"/>
        <v>1750.26</v>
      </c>
      <c r="U140" s="110"/>
      <c r="V140" s="110"/>
      <c r="W140" s="110"/>
      <c r="X140" s="110" t="s">
        <v>82</v>
      </c>
      <c r="Y140" s="110" t="s">
        <v>82</v>
      </c>
      <c r="AA140" s="113" t="e">
        <v>#N/A</v>
      </c>
      <c r="AB140" s="113" t="e">
        <v>#N/A</v>
      </c>
    </row>
    <row r="141" spans="1:28">
      <c r="A141" s="108">
        <v>140</v>
      </c>
      <c r="B141" s="108"/>
      <c r="C141" s="109">
        <v>46025</v>
      </c>
      <c r="D141" s="110" t="s">
        <v>28</v>
      </c>
      <c r="E141" s="110" t="s">
        <v>4254</v>
      </c>
      <c r="F141" s="110" t="s">
        <v>30</v>
      </c>
      <c r="G141" s="110">
        <v>15</v>
      </c>
      <c r="H141" s="110" t="s">
        <v>4753</v>
      </c>
      <c r="I141" s="110" t="s">
        <v>4754</v>
      </c>
      <c r="J141" s="110"/>
      <c r="K141" s="110" t="s">
        <v>4755</v>
      </c>
      <c r="L141" s="110" t="s">
        <v>4756</v>
      </c>
      <c r="M141" s="110">
        <v>3056.63</v>
      </c>
      <c r="N141" s="110">
        <v>3056.63</v>
      </c>
      <c r="O141" s="111"/>
      <c r="P141" s="112" t="s">
        <v>27</v>
      </c>
      <c r="Q141" s="110" t="s">
        <v>35</v>
      </c>
      <c r="R141" s="110" t="s">
        <v>27</v>
      </c>
      <c r="S141" s="110"/>
      <c r="T141" s="110">
        <f t="shared" si="2"/>
        <v>3056.63</v>
      </c>
      <c r="U141" s="110"/>
      <c r="V141" s="110"/>
      <c r="W141" s="110"/>
      <c r="X141" s="110" t="s">
        <v>37</v>
      </c>
      <c r="Y141" s="110" t="s">
        <v>37</v>
      </c>
      <c r="AA141" s="113" t="e">
        <v>#N/A</v>
      </c>
      <c r="AB141" s="113" t="e">
        <v>#N/A</v>
      </c>
    </row>
    <row r="142" spans="1:28">
      <c r="A142" s="108">
        <v>141</v>
      </c>
      <c r="B142" s="108"/>
      <c r="C142" s="109">
        <v>46025</v>
      </c>
      <c r="D142" s="110" t="s">
        <v>28</v>
      </c>
      <c r="E142" s="110" t="s">
        <v>4254</v>
      </c>
      <c r="F142" s="110" t="s">
        <v>30</v>
      </c>
      <c r="G142" s="110">
        <v>15</v>
      </c>
      <c r="H142" s="110" t="s">
        <v>4757</v>
      </c>
      <c r="I142" s="110" t="s">
        <v>4758</v>
      </c>
      <c r="J142" s="110"/>
      <c r="K142" s="110" t="s">
        <v>4759</v>
      </c>
      <c r="L142" s="110"/>
      <c r="M142" s="110">
        <v>1959.1</v>
      </c>
      <c r="N142" s="110">
        <v>1959.1</v>
      </c>
      <c r="O142" s="111"/>
      <c r="P142" s="112" t="s">
        <v>27</v>
      </c>
      <c r="Q142" s="110" t="s">
        <v>35</v>
      </c>
      <c r="R142" s="110" t="s">
        <v>27</v>
      </c>
      <c r="S142" s="110"/>
      <c r="T142" s="110">
        <f t="shared" si="2"/>
        <v>1959.1</v>
      </c>
      <c r="U142" s="110"/>
      <c r="V142" s="110"/>
      <c r="W142" s="110"/>
      <c r="X142" s="110" t="s">
        <v>82</v>
      </c>
      <c r="Y142" s="110" t="s">
        <v>82</v>
      </c>
      <c r="AA142" s="113" t="e">
        <v>#N/A</v>
      </c>
      <c r="AB142" s="113" t="e">
        <v>#N/A</v>
      </c>
    </row>
    <row r="143" spans="1:28">
      <c r="A143" s="108">
        <v>142</v>
      </c>
      <c r="B143" s="108"/>
      <c r="C143" s="109">
        <v>46025</v>
      </c>
      <c r="D143" s="110" t="s">
        <v>28</v>
      </c>
      <c r="E143" s="110" t="s">
        <v>4254</v>
      </c>
      <c r="F143" s="110" t="s">
        <v>30</v>
      </c>
      <c r="G143" s="110">
        <v>15</v>
      </c>
      <c r="H143" s="110" t="s">
        <v>4760</v>
      </c>
      <c r="I143" s="110" t="s">
        <v>4761</v>
      </c>
      <c r="J143" s="110"/>
      <c r="K143" s="110" t="s">
        <v>4762</v>
      </c>
      <c r="L143" s="110" t="s">
        <v>4763</v>
      </c>
      <c r="M143" s="110">
        <v>1334.4</v>
      </c>
      <c r="N143" s="110">
        <v>1334.4</v>
      </c>
      <c r="O143" s="111"/>
      <c r="P143" s="112" t="s">
        <v>27</v>
      </c>
      <c r="Q143" s="110" t="s">
        <v>35</v>
      </c>
      <c r="R143" s="110" t="s">
        <v>27</v>
      </c>
      <c r="S143" s="110"/>
      <c r="T143" s="110">
        <f t="shared" si="2"/>
        <v>1334.4</v>
      </c>
      <c r="U143" s="110"/>
      <c r="V143" s="110"/>
      <c r="W143" s="110"/>
      <c r="X143" s="110" t="s">
        <v>62</v>
      </c>
      <c r="Y143" s="110" t="s">
        <v>62</v>
      </c>
      <c r="AA143" s="113" t="e">
        <v>#N/A</v>
      </c>
      <c r="AB143" s="113" t="e">
        <v>#N/A</v>
      </c>
    </row>
    <row r="144" spans="1:28">
      <c r="A144" s="108">
        <v>143</v>
      </c>
      <c r="B144" s="108"/>
      <c r="C144" s="109">
        <v>46025</v>
      </c>
      <c r="D144" s="110" t="s">
        <v>28</v>
      </c>
      <c r="E144" s="110" t="s">
        <v>4254</v>
      </c>
      <c r="F144" s="110" t="s">
        <v>30</v>
      </c>
      <c r="G144" s="110">
        <v>15</v>
      </c>
      <c r="H144" s="110" t="s">
        <v>4764</v>
      </c>
      <c r="I144" s="110" t="s">
        <v>4765</v>
      </c>
      <c r="J144" s="110"/>
      <c r="K144" s="110" t="s">
        <v>4766</v>
      </c>
      <c r="L144" s="110"/>
      <c r="M144" s="110">
        <v>1996.77</v>
      </c>
      <c r="N144" s="110">
        <v>1996.77</v>
      </c>
      <c r="O144" s="111"/>
      <c r="P144" s="112" t="s">
        <v>27</v>
      </c>
      <c r="Q144" s="110" t="s">
        <v>35</v>
      </c>
      <c r="R144" s="110" t="s">
        <v>27</v>
      </c>
      <c r="S144" s="110"/>
      <c r="T144" s="110">
        <f t="shared" si="2"/>
        <v>1996.77</v>
      </c>
      <c r="U144" s="110"/>
      <c r="V144" s="110"/>
      <c r="W144" s="110"/>
      <c r="X144" s="110" t="s">
        <v>89</v>
      </c>
      <c r="Y144" s="110" t="s">
        <v>89</v>
      </c>
      <c r="AA144" s="113" t="e">
        <v>#N/A</v>
      </c>
      <c r="AB144" s="113" t="e">
        <v>#N/A</v>
      </c>
    </row>
    <row r="145" spans="1:28">
      <c r="A145" s="108">
        <v>144</v>
      </c>
      <c r="B145" s="108"/>
      <c r="C145" s="109">
        <v>46025</v>
      </c>
      <c r="D145" s="110" t="s">
        <v>28</v>
      </c>
      <c r="E145" s="110" t="s">
        <v>4254</v>
      </c>
      <c r="F145" s="110" t="s">
        <v>30</v>
      </c>
      <c r="G145" s="110">
        <v>15</v>
      </c>
      <c r="H145" s="110" t="s">
        <v>4767</v>
      </c>
      <c r="I145" s="110" t="s">
        <v>4768</v>
      </c>
      <c r="J145" s="110"/>
      <c r="K145" s="110" t="s">
        <v>4769</v>
      </c>
      <c r="L145" s="110" t="s">
        <v>4770</v>
      </c>
      <c r="M145" s="110">
        <v>1424.79</v>
      </c>
      <c r="N145" s="110">
        <v>1424.79</v>
      </c>
      <c r="O145" s="111"/>
      <c r="P145" s="112" t="s">
        <v>27</v>
      </c>
      <c r="Q145" s="110" t="s">
        <v>35</v>
      </c>
      <c r="R145" s="110" t="s">
        <v>27</v>
      </c>
      <c r="S145" s="110"/>
      <c r="T145" s="110">
        <f t="shared" si="2"/>
        <v>1424.79</v>
      </c>
      <c r="U145" s="110"/>
      <c r="V145" s="110"/>
      <c r="W145" s="110"/>
      <c r="X145" s="110" t="s">
        <v>89</v>
      </c>
      <c r="Y145" s="110" t="s">
        <v>89</v>
      </c>
      <c r="AA145" s="113" t="e">
        <v>#N/A</v>
      </c>
      <c r="AB145" s="113" t="e">
        <v>#N/A</v>
      </c>
    </row>
    <row r="146" spans="1:28">
      <c r="A146" s="108">
        <v>145</v>
      </c>
      <c r="B146" s="108"/>
      <c r="C146" s="109">
        <v>46025</v>
      </c>
      <c r="D146" s="110" t="s">
        <v>28</v>
      </c>
      <c r="E146" s="110" t="s">
        <v>4254</v>
      </c>
      <c r="F146" s="110" t="s">
        <v>30</v>
      </c>
      <c r="G146" s="110">
        <v>15</v>
      </c>
      <c r="H146" s="110" t="s">
        <v>4771</v>
      </c>
      <c r="I146" s="110" t="s">
        <v>4772</v>
      </c>
      <c r="J146" s="110"/>
      <c r="K146" s="110" t="s">
        <v>4773</v>
      </c>
      <c r="L146" s="110" t="s">
        <v>4774</v>
      </c>
      <c r="M146" s="110">
        <v>182.73</v>
      </c>
      <c r="N146" s="110">
        <v>182.73</v>
      </c>
      <c r="O146" s="111"/>
      <c r="P146" s="112" t="s">
        <v>27</v>
      </c>
      <c r="Q146" s="110" t="s">
        <v>35</v>
      </c>
      <c r="R146" s="110" t="s">
        <v>27</v>
      </c>
      <c r="S146" s="110"/>
      <c r="T146" s="110">
        <f t="shared" si="2"/>
        <v>182.73</v>
      </c>
      <c r="U146" s="110"/>
      <c r="V146" s="110"/>
      <c r="W146" s="110"/>
      <c r="X146" s="110" t="s">
        <v>4335</v>
      </c>
      <c r="Y146" s="110" t="s">
        <v>4335</v>
      </c>
      <c r="AA146" s="113" t="e">
        <v>#N/A</v>
      </c>
      <c r="AB146" s="113" t="e">
        <v>#N/A</v>
      </c>
    </row>
    <row r="147" spans="1:28">
      <c r="A147" s="108">
        <v>146</v>
      </c>
      <c r="B147" s="108"/>
      <c r="C147" s="109">
        <v>46025</v>
      </c>
      <c r="D147" s="110" t="s">
        <v>28</v>
      </c>
      <c r="E147" s="110" t="s">
        <v>4254</v>
      </c>
      <c r="F147" s="110" t="s">
        <v>30</v>
      </c>
      <c r="G147" s="110">
        <v>15</v>
      </c>
      <c r="H147" s="110" t="s">
        <v>4775</v>
      </c>
      <c r="I147" s="110" t="s">
        <v>4776</v>
      </c>
      <c r="J147" s="110"/>
      <c r="K147" s="110" t="s">
        <v>4777</v>
      </c>
      <c r="L147" s="110" t="s">
        <v>4778</v>
      </c>
      <c r="M147" s="110">
        <v>993.77</v>
      </c>
      <c r="N147" s="110">
        <v>993.77</v>
      </c>
      <c r="O147" s="111"/>
      <c r="P147" s="112" t="s">
        <v>27</v>
      </c>
      <c r="Q147" s="110" t="s">
        <v>35</v>
      </c>
      <c r="R147" s="110" t="s">
        <v>27</v>
      </c>
      <c r="S147" s="110"/>
      <c r="T147" s="110">
        <f t="shared" si="2"/>
        <v>993.77</v>
      </c>
      <c r="U147" s="110"/>
      <c r="V147" s="110"/>
      <c r="W147" s="110"/>
      <c r="X147" s="110" t="s">
        <v>124</v>
      </c>
      <c r="Y147" s="110" t="s">
        <v>124</v>
      </c>
      <c r="AA147" s="113" t="e">
        <v>#N/A</v>
      </c>
      <c r="AB147" s="113" t="e">
        <v>#N/A</v>
      </c>
    </row>
    <row r="148" spans="1:28">
      <c r="A148" s="108">
        <v>147</v>
      </c>
      <c r="B148" s="108"/>
      <c r="C148" s="109">
        <v>46025</v>
      </c>
      <c r="D148" s="110" t="s">
        <v>28</v>
      </c>
      <c r="E148" s="110" t="s">
        <v>4254</v>
      </c>
      <c r="F148" s="110" t="s">
        <v>30</v>
      </c>
      <c r="G148" s="110">
        <v>15</v>
      </c>
      <c r="H148" s="110" t="s">
        <v>4779</v>
      </c>
      <c r="I148" s="110" t="s">
        <v>4780</v>
      </c>
      <c r="J148" s="110"/>
      <c r="K148" s="110" t="s">
        <v>4781</v>
      </c>
      <c r="L148" s="110"/>
      <c r="M148" s="110">
        <v>1054.9000000000001</v>
      </c>
      <c r="N148" s="110">
        <v>1054.9000000000001</v>
      </c>
      <c r="O148" s="111">
        <v>46030</v>
      </c>
      <c r="P148" s="112" t="s">
        <v>76</v>
      </c>
      <c r="Q148" s="110" t="s">
        <v>52</v>
      </c>
      <c r="R148" s="110" t="s">
        <v>27</v>
      </c>
      <c r="S148" s="110">
        <v>1000</v>
      </c>
      <c r="T148" s="110">
        <f t="shared" si="2"/>
        <v>54.900000000000091</v>
      </c>
      <c r="U148" s="111">
        <v>46030</v>
      </c>
      <c r="V148" s="110" t="s">
        <v>4782</v>
      </c>
      <c r="W148" s="110" t="s">
        <v>54</v>
      </c>
      <c r="X148" s="110" t="s">
        <v>76</v>
      </c>
      <c r="Y148" s="110" t="s">
        <v>76</v>
      </c>
      <c r="AA148" s="113" t="e">
        <v>#N/A</v>
      </c>
      <c r="AB148" s="113" t="e">
        <v>#N/A</v>
      </c>
    </row>
    <row r="149" spans="1:28">
      <c r="A149" s="108">
        <v>148</v>
      </c>
      <c r="B149" s="108"/>
      <c r="C149" s="109">
        <v>46025</v>
      </c>
      <c r="D149" s="110" t="s">
        <v>28</v>
      </c>
      <c r="E149" s="110" t="s">
        <v>4254</v>
      </c>
      <c r="F149" s="110" t="s">
        <v>30</v>
      </c>
      <c r="G149" s="110">
        <v>15</v>
      </c>
      <c r="H149" s="110" t="s">
        <v>4730</v>
      </c>
      <c r="I149" s="110" t="s">
        <v>4731</v>
      </c>
      <c r="J149" s="110"/>
      <c r="K149" s="110" t="s">
        <v>4783</v>
      </c>
      <c r="L149" s="110" t="s">
        <v>4784</v>
      </c>
      <c r="M149" s="110">
        <v>265.60000000000002</v>
      </c>
      <c r="N149" s="110">
        <v>265.60000000000002</v>
      </c>
      <c r="O149" s="111"/>
      <c r="P149" s="112" t="s">
        <v>27</v>
      </c>
      <c r="Q149" s="110" t="s">
        <v>35</v>
      </c>
      <c r="R149" s="110" t="s">
        <v>27</v>
      </c>
      <c r="S149" s="110"/>
      <c r="T149" s="110">
        <f t="shared" si="2"/>
        <v>265.60000000000002</v>
      </c>
      <c r="U149" s="110"/>
      <c r="V149" s="110"/>
      <c r="W149" s="110"/>
      <c r="X149" s="110" t="s">
        <v>69</v>
      </c>
      <c r="Y149" s="110" t="s">
        <v>69</v>
      </c>
      <c r="AA149" s="113" t="e">
        <v>#N/A</v>
      </c>
      <c r="AB149" s="113" t="e">
        <v>#N/A</v>
      </c>
    </row>
    <row r="150" spans="1:28">
      <c r="A150" s="108">
        <v>149</v>
      </c>
      <c r="B150" s="108"/>
      <c r="C150" s="109">
        <v>46027</v>
      </c>
      <c r="D150" s="110" t="s">
        <v>28</v>
      </c>
      <c r="E150" s="110" t="s">
        <v>4254</v>
      </c>
      <c r="F150" s="110" t="s">
        <v>30</v>
      </c>
      <c r="G150" s="110">
        <v>17</v>
      </c>
      <c r="H150" s="110" t="s">
        <v>4785</v>
      </c>
      <c r="I150" s="110" t="s">
        <v>4786</v>
      </c>
      <c r="J150" s="110"/>
      <c r="K150" s="110" t="s">
        <v>4787</v>
      </c>
      <c r="L150" s="110" t="s">
        <v>4788</v>
      </c>
      <c r="M150" s="110">
        <v>1749.85</v>
      </c>
      <c r="N150" s="110">
        <v>1749.85</v>
      </c>
      <c r="O150" s="111"/>
      <c r="P150" s="112" t="s">
        <v>27</v>
      </c>
      <c r="Q150" s="110" t="s">
        <v>35</v>
      </c>
      <c r="R150" s="110" t="s">
        <v>27</v>
      </c>
      <c r="S150" s="110"/>
      <c r="T150" s="110">
        <f t="shared" si="2"/>
        <v>1749.85</v>
      </c>
      <c r="U150" s="110"/>
      <c r="V150" s="110"/>
      <c r="W150" s="110"/>
      <c r="X150" s="110" t="s">
        <v>117</v>
      </c>
      <c r="Y150" s="110" t="s">
        <v>117</v>
      </c>
      <c r="AA150" s="113" t="e">
        <v>#N/A</v>
      </c>
      <c r="AB150" s="113" t="e">
        <v>#N/A</v>
      </c>
    </row>
    <row r="151" spans="1:28">
      <c r="A151" s="108">
        <v>150</v>
      </c>
      <c r="B151" s="108"/>
      <c r="C151" s="109">
        <v>46027</v>
      </c>
      <c r="D151" s="110" t="s">
        <v>28</v>
      </c>
      <c r="E151" s="110" t="s">
        <v>4254</v>
      </c>
      <c r="F151" s="110" t="s">
        <v>30</v>
      </c>
      <c r="G151" s="110">
        <v>17</v>
      </c>
      <c r="H151" s="110" t="s">
        <v>4789</v>
      </c>
      <c r="I151" s="110" t="s">
        <v>4790</v>
      </c>
      <c r="J151" s="110"/>
      <c r="K151" s="110" t="s">
        <v>4791</v>
      </c>
      <c r="L151" s="110" t="s">
        <v>4792</v>
      </c>
      <c r="M151" s="110">
        <v>1839.81</v>
      </c>
      <c r="N151" s="110">
        <v>1839.81</v>
      </c>
      <c r="O151" s="111"/>
      <c r="P151" s="112" t="s">
        <v>27</v>
      </c>
      <c r="Q151" s="110" t="s">
        <v>35</v>
      </c>
      <c r="R151" s="110" t="s">
        <v>27</v>
      </c>
      <c r="S151" s="110"/>
      <c r="T151" s="110">
        <f t="shared" si="2"/>
        <v>1839.81</v>
      </c>
      <c r="U151" s="110"/>
      <c r="V151" s="110"/>
      <c r="W151" s="110"/>
      <c r="X151" s="110" t="s">
        <v>62</v>
      </c>
      <c r="Y151" s="110" t="s">
        <v>62</v>
      </c>
      <c r="AA151" s="113" t="e">
        <v>#N/A</v>
      </c>
      <c r="AB151" s="113" t="e">
        <v>#N/A</v>
      </c>
    </row>
    <row r="152" spans="1:28">
      <c r="A152" s="108">
        <v>151</v>
      </c>
      <c r="B152" s="108"/>
      <c r="C152" s="109">
        <v>46027</v>
      </c>
      <c r="D152" s="110" t="s">
        <v>28</v>
      </c>
      <c r="E152" s="110" t="s">
        <v>4254</v>
      </c>
      <c r="F152" s="110" t="s">
        <v>30</v>
      </c>
      <c r="G152" s="110">
        <v>17</v>
      </c>
      <c r="H152" s="110" t="s">
        <v>4793</v>
      </c>
      <c r="I152" s="110" t="s">
        <v>4794</v>
      </c>
      <c r="J152" s="110"/>
      <c r="K152" s="110" t="s">
        <v>4795</v>
      </c>
      <c r="L152" s="110" t="s">
        <v>4796</v>
      </c>
      <c r="M152" s="110">
        <v>1954.53</v>
      </c>
      <c r="N152" s="110">
        <v>1954.53</v>
      </c>
      <c r="O152" s="111"/>
      <c r="P152" s="112" t="s">
        <v>27</v>
      </c>
      <c r="Q152" s="110" t="s">
        <v>35</v>
      </c>
      <c r="R152" s="110" t="s">
        <v>27</v>
      </c>
      <c r="S152" s="110"/>
      <c r="T152" s="110">
        <f t="shared" si="2"/>
        <v>1954.53</v>
      </c>
      <c r="U152" s="110"/>
      <c r="V152" s="110"/>
      <c r="W152" s="110"/>
      <c r="X152" s="110" t="s">
        <v>444</v>
      </c>
      <c r="Y152" s="110" t="s">
        <v>444</v>
      </c>
      <c r="AA152" s="113" t="e">
        <v>#N/A</v>
      </c>
      <c r="AB152" s="113" t="e">
        <v>#N/A</v>
      </c>
    </row>
    <row r="153" spans="1:28">
      <c r="A153" s="108">
        <v>152</v>
      </c>
      <c r="B153" s="108"/>
      <c r="C153" s="109">
        <v>46027</v>
      </c>
      <c r="D153" s="110" t="s">
        <v>28</v>
      </c>
      <c r="E153" s="110" t="s">
        <v>4254</v>
      </c>
      <c r="F153" s="110" t="s">
        <v>30</v>
      </c>
      <c r="G153" s="110">
        <v>17</v>
      </c>
      <c r="H153" s="110" t="s">
        <v>4797</v>
      </c>
      <c r="I153" s="110" t="s">
        <v>4798</v>
      </c>
      <c r="J153" s="110"/>
      <c r="K153" s="110" t="s">
        <v>4799</v>
      </c>
      <c r="L153" s="110" t="s">
        <v>4800</v>
      </c>
      <c r="M153" s="110">
        <v>2524.37</v>
      </c>
      <c r="N153" s="110">
        <v>2524.37</v>
      </c>
      <c r="O153" s="111"/>
      <c r="P153" s="112" t="s">
        <v>27</v>
      </c>
      <c r="Q153" s="110" t="s">
        <v>35</v>
      </c>
      <c r="R153" s="110" t="s">
        <v>27</v>
      </c>
      <c r="S153" s="110"/>
      <c r="T153" s="110">
        <f t="shared" si="2"/>
        <v>2524.37</v>
      </c>
      <c r="U153" s="110"/>
      <c r="V153" s="110"/>
      <c r="W153" s="110"/>
      <c r="X153" s="110" t="s">
        <v>4335</v>
      </c>
      <c r="Y153" s="110" t="s">
        <v>4335</v>
      </c>
      <c r="AA153" s="113" t="e">
        <v>#N/A</v>
      </c>
      <c r="AB153" s="113" t="e">
        <v>#N/A</v>
      </c>
    </row>
    <row r="154" spans="1:28">
      <c r="A154" s="108">
        <v>153</v>
      </c>
      <c r="B154" s="108"/>
      <c r="C154" s="109">
        <v>46027</v>
      </c>
      <c r="D154" s="110" t="s">
        <v>28</v>
      </c>
      <c r="E154" s="110" t="s">
        <v>4254</v>
      </c>
      <c r="F154" s="110" t="s">
        <v>30</v>
      </c>
      <c r="G154" s="110">
        <v>17</v>
      </c>
      <c r="H154" s="110" t="s">
        <v>4801</v>
      </c>
      <c r="I154" s="110" t="s">
        <v>4802</v>
      </c>
      <c r="J154" s="110"/>
      <c r="K154" s="110" t="s">
        <v>4803</v>
      </c>
      <c r="L154" s="110" t="s">
        <v>4804</v>
      </c>
      <c r="M154" s="110">
        <v>2580.6</v>
      </c>
      <c r="N154" s="110">
        <v>2580.6</v>
      </c>
      <c r="O154" s="111"/>
      <c r="P154" s="112" t="s">
        <v>27</v>
      </c>
      <c r="Q154" s="110" t="s">
        <v>35</v>
      </c>
      <c r="R154" s="110" t="s">
        <v>27</v>
      </c>
      <c r="S154" s="110"/>
      <c r="T154" s="110">
        <f t="shared" si="2"/>
        <v>2580.6</v>
      </c>
      <c r="U154" s="110"/>
      <c r="V154" s="110"/>
      <c r="W154" s="110"/>
      <c r="X154" s="110" t="s">
        <v>4335</v>
      </c>
      <c r="Y154" s="110" t="s">
        <v>4335</v>
      </c>
      <c r="AA154" s="113" t="e">
        <v>#N/A</v>
      </c>
      <c r="AB154" s="113" t="e">
        <v>#N/A</v>
      </c>
    </row>
    <row r="155" spans="1:28">
      <c r="A155" s="108">
        <v>154</v>
      </c>
      <c r="B155" s="108"/>
      <c r="C155" s="109">
        <v>46027</v>
      </c>
      <c r="D155" s="110" t="s">
        <v>28</v>
      </c>
      <c r="E155" s="110" t="s">
        <v>4254</v>
      </c>
      <c r="F155" s="110" t="s">
        <v>30</v>
      </c>
      <c r="G155" s="110">
        <v>17</v>
      </c>
      <c r="H155" s="110" t="s">
        <v>4805</v>
      </c>
      <c r="I155" s="110" t="s">
        <v>4806</v>
      </c>
      <c r="J155" s="110"/>
      <c r="K155" s="110" t="s">
        <v>4807</v>
      </c>
      <c r="L155" s="110"/>
      <c r="M155" s="110">
        <v>2746.62</v>
      </c>
      <c r="N155" s="110">
        <v>2746.62</v>
      </c>
      <c r="O155" s="111"/>
      <c r="P155" s="112" t="s">
        <v>27</v>
      </c>
      <c r="Q155" s="110" t="s">
        <v>35</v>
      </c>
      <c r="R155" s="110" t="s">
        <v>27</v>
      </c>
      <c r="S155" s="110"/>
      <c r="T155" s="110">
        <f t="shared" si="2"/>
        <v>2746.62</v>
      </c>
      <c r="U155" s="110"/>
      <c r="V155" s="110"/>
      <c r="W155" s="110"/>
      <c r="X155" s="110" t="s">
        <v>69</v>
      </c>
      <c r="Y155" s="110" t="s">
        <v>69</v>
      </c>
      <c r="AA155" s="113" t="e">
        <v>#N/A</v>
      </c>
      <c r="AB155" s="113" t="e">
        <v>#N/A</v>
      </c>
    </row>
    <row r="156" spans="1:28">
      <c r="A156" s="108">
        <v>155</v>
      </c>
      <c r="B156" s="108"/>
      <c r="C156" s="109">
        <v>46027</v>
      </c>
      <c r="D156" s="110" t="s">
        <v>28</v>
      </c>
      <c r="E156" s="110" t="s">
        <v>4254</v>
      </c>
      <c r="F156" s="110" t="s">
        <v>30</v>
      </c>
      <c r="G156" s="110">
        <v>17</v>
      </c>
      <c r="H156" s="110" t="s">
        <v>4808</v>
      </c>
      <c r="I156" s="110" t="s">
        <v>4809</v>
      </c>
      <c r="J156" s="110"/>
      <c r="K156" s="110" t="s">
        <v>4810</v>
      </c>
      <c r="L156" s="110" t="s">
        <v>4189</v>
      </c>
      <c r="M156" s="110">
        <v>2798.31</v>
      </c>
      <c r="N156" s="110">
        <v>2798.31</v>
      </c>
      <c r="O156" s="111"/>
      <c r="P156" s="112" t="s">
        <v>27</v>
      </c>
      <c r="Q156" s="110" t="s">
        <v>35</v>
      </c>
      <c r="R156" s="110" t="s">
        <v>27</v>
      </c>
      <c r="S156" s="110"/>
      <c r="T156" s="110">
        <f t="shared" si="2"/>
        <v>2798.31</v>
      </c>
      <c r="U156" s="110"/>
      <c r="V156" s="110"/>
      <c r="W156" s="110"/>
      <c r="X156" s="110" t="s">
        <v>124</v>
      </c>
      <c r="Y156" s="110" t="s">
        <v>124</v>
      </c>
      <c r="AA156" s="113" t="e">
        <v>#N/A</v>
      </c>
      <c r="AB156" s="113" t="e">
        <v>#N/A</v>
      </c>
    </row>
    <row r="157" spans="1:28">
      <c r="A157" s="108">
        <v>156</v>
      </c>
      <c r="B157" s="108"/>
      <c r="C157" s="109">
        <v>46027</v>
      </c>
      <c r="D157" s="110" t="s">
        <v>28</v>
      </c>
      <c r="E157" s="110" t="s">
        <v>4254</v>
      </c>
      <c r="F157" s="110" t="s">
        <v>30</v>
      </c>
      <c r="G157" s="110">
        <v>17</v>
      </c>
      <c r="H157" s="110" t="s">
        <v>4811</v>
      </c>
      <c r="I157" s="110" t="s">
        <v>4812</v>
      </c>
      <c r="J157" s="110"/>
      <c r="K157" s="110" t="s">
        <v>4813</v>
      </c>
      <c r="L157" s="110" t="s">
        <v>4814</v>
      </c>
      <c r="M157" s="110">
        <v>2869.81</v>
      </c>
      <c r="N157" s="110">
        <v>2869.81</v>
      </c>
      <c r="O157" s="111"/>
      <c r="P157" s="112" t="s">
        <v>27</v>
      </c>
      <c r="Q157" s="110" t="s">
        <v>35</v>
      </c>
      <c r="R157" s="110" t="s">
        <v>27</v>
      </c>
      <c r="S157" s="110"/>
      <c r="T157" s="110">
        <f t="shared" si="2"/>
        <v>2869.81</v>
      </c>
      <c r="U157" s="110"/>
      <c r="V157" s="110"/>
      <c r="W157" s="110"/>
      <c r="X157" s="110" t="s">
        <v>117</v>
      </c>
      <c r="Y157" s="110" t="s">
        <v>117</v>
      </c>
      <c r="AA157" s="113" t="e">
        <v>#N/A</v>
      </c>
      <c r="AB157" s="113" t="e">
        <v>#N/A</v>
      </c>
    </row>
    <row r="158" spans="1:28">
      <c r="A158" s="108">
        <v>157</v>
      </c>
      <c r="B158" s="108"/>
      <c r="C158" s="109">
        <v>46027</v>
      </c>
      <c r="D158" s="110" t="s">
        <v>28</v>
      </c>
      <c r="E158" s="110" t="s">
        <v>4254</v>
      </c>
      <c r="F158" s="110" t="s">
        <v>30</v>
      </c>
      <c r="G158" s="110">
        <v>17</v>
      </c>
      <c r="H158" s="110" t="s">
        <v>4805</v>
      </c>
      <c r="I158" s="110" t="s">
        <v>4806</v>
      </c>
      <c r="J158" s="110"/>
      <c r="K158" s="110" t="s">
        <v>4815</v>
      </c>
      <c r="L158" s="110" t="s">
        <v>4816</v>
      </c>
      <c r="M158" s="110">
        <v>3701.21</v>
      </c>
      <c r="N158" s="110">
        <v>3701.21</v>
      </c>
      <c r="O158" s="111"/>
      <c r="P158" s="112" t="s">
        <v>27</v>
      </c>
      <c r="Q158" s="110" t="s">
        <v>35</v>
      </c>
      <c r="R158" s="110" t="s">
        <v>27</v>
      </c>
      <c r="S158" s="110"/>
      <c r="T158" s="110">
        <f t="shared" si="2"/>
        <v>3701.21</v>
      </c>
      <c r="U158" s="110"/>
      <c r="V158" s="110"/>
      <c r="W158" s="110"/>
      <c r="X158" s="110" t="s">
        <v>76</v>
      </c>
      <c r="Y158" s="110" t="s">
        <v>76</v>
      </c>
      <c r="AA158" s="113" t="e">
        <v>#N/A</v>
      </c>
      <c r="AB158" s="113" t="e">
        <v>#N/A</v>
      </c>
    </row>
    <row r="159" spans="1:28">
      <c r="A159" s="108">
        <v>158</v>
      </c>
      <c r="B159" s="108"/>
      <c r="C159" s="109">
        <v>46027</v>
      </c>
      <c r="D159" s="110" t="s">
        <v>28</v>
      </c>
      <c r="E159" s="110" t="s">
        <v>4254</v>
      </c>
      <c r="F159" s="110" t="s">
        <v>30</v>
      </c>
      <c r="G159" s="110">
        <v>17</v>
      </c>
      <c r="H159" s="110" t="s">
        <v>4817</v>
      </c>
      <c r="I159" s="110" t="s">
        <v>4818</v>
      </c>
      <c r="J159" s="110"/>
      <c r="K159" s="110" t="s">
        <v>4819</v>
      </c>
      <c r="L159" s="110" t="s">
        <v>4820</v>
      </c>
      <c r="M159" s="110">
        <v>4465.3599999999997</v>
      </c>
      <c r="N159" s="110">
        <v>4465.3599999999997</v>
      </c>
      <c r="O159" s="111"/>
      <c r="P159" s="112" t="s">
        <v>27</v>
      </c>
      <c r="Q159" s="110" t="s">
        <v>35</v>
      </c>
      <c r="R159" s="110" t="s">
        <v>27</v>
      </c>
      <c r="S159" s="110"/>
      <c r="T159" s="110">
        <f t="shared" si="2"/>
        <v>4465.3599999999997</v>
      </c>
      <c r="U159" s="110"/>
      <c r="V159" s="110"/>
      <c r="W159" s="110"/>
      <c r="X159" s="110" t="s">
        <v>89</v>
      </c>
      <c r="Y159" s="110" t="s">
        <v>89</v>
      </c>
      <c r="AA159" s="113" t="e">
        <v>#N/A</v>
      </c>
      <c r="AB159" s="113" t="e">
        <v>#N/A</v>
      </c>
    </row>
    <row r="160" spans="1:28">
      <c r="A160" s="108">
        <v>159</v>
      </c>
      <c r="B160" s="108"/>
      <c r="C160" s="109">
        <v>46027</v>
      </c>
      <c r="D160" s="110" t="s">
        <v>28</v>
      </c>
      <c r="E160" s="110" t="s">
        <v>4254</v>
      </c>
      <c r="F160" s="110" t="s">
        <v>30</v>
      </c>
      <c r="G160" s="110">
        <v>17</v>
      </c>
      <c r="H160" s="110" t="s">
        <v>4821</v>
      </c>
      <c r="I160" s="110" t="s">
        <v>4822</v>
      </c>
      <c r="J160" s="110"/>
      <c r="K160" s="110" t="s">
        <v>4823</v>
      </c>
      <c r="L160" s="110" t="s">
        <v>4824</v>
      </c>
      <c r="M160" s="110">
        <v>5571.09</v>
      </c>
      <c r="N160" s="110">
        <v>5571.09</v>
      </c>
      <c r="O160" s="111"/>
      <c r="P160" s="112" t="s">
        <v>27</v>
      </c>
      <c r="Q160" s="110" t="s">
        <v>35</v>
      </c>
      <c r="R160" s="110" t="s">
        <v>27</v>
      </c>
      <c r="S160" s="110"/>
      <c r="T160" s="110">
        <f t="shared" si="2"/>
        <v>5571.09</v>
      </c>
      <c r="U160" s="110"/>
      <c r="V160" s="110"/>
      <c r="W160" s="110"/>
      <c r="X160" s="110" t="s">
        <v>62</v>
      </c>
      <c r="Y160" s="110" t="s">
        <v>62</v>
      </c>
      <c r="AA160" s="113" t="e">
        <v>#N/A</v>
      </c>
      <c r="AB160" s="113" t="e">
        <v>#N/A</v>
      </c>
    </row>
    <row r="161" spans="1:28">
      <c r="A161" s="108">
        <v>160</v>
      </c>
      <c r="B161" s="108"/>
      <c r="C161" s="109">
        <v>46027</v>
      </c>
      <c r="D161" s="110" t="s">
        <v>28</v>
      </c>
      <c r="E161" s="110" t="s">
        <v>4254</v>
      </c>
      <c r="F161" s="110" t="s">
        <v>30</v>
      </c>
      <c r="G161" s="110">
        <v>17</v>
      </c>
      <c r="H161" s="110" t="s">
        <v>4825</v>
      </c>
      <c r="I161" s="110" t="s">
        <v>4826</v>
      </c>
      <c r="J161" s="110"/>
      <c r="K161" s="110" t="s">
        <v>4827</v>
      </c>
      <c r="L161" s="110" t="s">
        <v>4828</v>
      </c>
      <c r="M161" s="110">
        <v>6071.28</v>
      </c>
      <c r="N161" s="110">
        <v>6071.28</v>
      </c>
      <c r="O161" s="111"/>
      <c r="P161" s="112" t="s">
        <v>27</v>
      </c>
      <c r="Q161" s="110" t="s">
        <v>35</v>
      </c>
      <c r="R161" s="110" t="s">
        <v>27</v>
      </c>
      <c r="S161" s="110"/>
      <c r="T161" s="110">
        <f t="shared" si="2"/>
        <v>6071.28</v>
      </c>
      <c r="U161" s="110"/>
      <c r="V161" s="110"/>
      <c r="W161" s="110"/>
      <c r="X161" s="110" t="s">
        <v>62</v>
      </c>
      <c r="Y161" s="110" t="s">
        <v>62</v>
      </c>
      <c r="AA161" s="113" t="e">
        <v>#N/A</v>
      </c>
      <c r="AB161" s="113" t="e">
        <v>#N/A</v>
      </c>
    </row>
    <row r="162" spans="1:28">
      <c r="A162" s="108">
        <v>161</v>
      </c>
      <c r="B162" s="108"/>
      <c r="C162" s="109">
        <v>46027</v>
      </c>
      <c r="D162" s="110" t="s">
        <v>28</v>
      </c>
      <c r="E162" s="110" t="s">
        <v>4254</v>
      </c>
      <c r="F162" s="110" t="s">
        <v>30</v>
      </c>
      <c r="G162" s="110">
        <v>17</v>
      </c>
      <c r="H162" s="110" t="s">
        <v>4829</v>
      </c>
      <c r="I162" s="110" t="s">
        <v>4830</v>
      </c>
      <c r="J162" s="110"/>
      <c r="K162" s="110" t="s">
        <v>4831</v>
      </c>
      <c r="L162" s="110" t="s">
        <v>4832</v>
      </c>
      <c r="M162" s="110">
        <v>10883.42</v>
      </c>
      <c r="N162" s="110">
        <v>10883.42</v>
      </c>
      <c r="O162" s="111"/>
      <c r="P162" s="112" t="s">
        <v>27</v>
      </c>
      <c r="Q162" s="110" t="s">
        <v>35</v>
      </c>
      <c r="R162" s="110" t="s">
        <v>27</v>
      </c>
      <c r="S162" s="110"/>
      <c r="T162" s="110">
        <f t="shared" si="2"/>
        <v>10883.42</v>
      </c>
      <c r="U162" s="110"/>
      <c r="V162" s="110"/>
      <c r="W162" s="110"/>
      <c r="X162" s="110" t="s">
        <v>124</v>
      </c>
      <c r="Y162" s="110" t="s">
        <v>124</v>
      </c>
      <c r="AA162" s="113" t="e">
        <v>#N/A</v>
      </c>
      <c r="AB162" s="113" t="e">
        <v>#N/A</v>
      </c>
    </row>
    <row r="163" spans="1:28">
      <c r="A163" s="108">
        <v>162</v>
      </c>
      <c r="B163" s="108"/>
      <c r="C163" s="109">
        <v>46027</v>
      </c>
      <c r="D163" s="110" t="s">
        <v>28</v>
      </c>
      <c r="E163" s="110" t="s">
        <v>4254</v>
      </c>
      <c r="F163" s="110" t="s">
        <v>30</v>
      </c>
      <c r="G163" s="110">
        <v>17</v>
      </c>
      <c r="H163" s="110" t="s">
        <v>4833</v>
      </c>
      <c r="I163" s="110" t="s">
        <v>4834</v>
      </c>
      <c r="J163" s="110"/>
      <c r="K163" s="110" t="s">
        <v>4835</v>
      </c>
      <c r="L163" s="110" t="s">
        <v>4836</v>
      </c>
      <c r="M163" s="110">
        <v>13597.11</v>
      </c>
      <c r="N163" s="110">
        <v>13597.11</v>
      </c>
      <c r="O163" s="111"/>
      <c r="P163" s="112" t="s">
        <v>27</v>
      </c>
      <c r="Q163" s="110" t="s">
        <v>35</v>
      </c>
      <c r="R163" s="110" t="s">
        <v>27</v>
      </c>
      <c r="S163" s="110"/>
      <c r="T163" s="110">
        <f t="shared" si="2"/>
        <v>13597.11</v>
      </c>
      <c r="U163" s="110"/>
      <c r="V163" s="110"/>
      <c r="W163" s="110"/>
      <c r="X163" s="110" t="s">
        <v>62</v>
      </c>
      <c r="Y163" s="110" t="s">
        <v>62</v>
      </c>
      <c r="AA163" s="113" t="e">
        <v>#N/A</v>
      </c>
      <c r="AB163" s="113" t="e">
        <v>#N/A</v>
      </c>
    </row>
    <row r="164" spans="1:28">
      <c r="A164" s="108">
        <v>163</v>
      </c>
      <c r="B164" s="108"/>
      <c r="C164" s="109">
        <v>46028</v>
      </c>
      <c r="D164" s="110" t="s">
        <v>28</v>
      </c>
      <c r="E164" s="110" t="s">
        <v>4254</v>
      </c>
      <c r="F164" s="110" t="s">
        <v>30</v>
      </c>
      <c r="G164" s="110">
        <v>18</v>
      </c>
      <c r="H164" s="110" t="s">
        <v>4837</v>
      </c>
      <c r="I164" s="110" t="s">
        <v>4838</v>
      </c>
      <c r="J164" s="110"/>
      <c r="K164" s="110" t="s">
        <v>4839</v>
      </c>
      <c r="L164" s="110"/>
      <c r="M164" s="110">
        <v>5651.25</v>
      </c>
      <c r="N164" s="110">
        <v>5651.25</v>
      </c>
      <c r="O164" s="111"/>
      <c r="P164" s="112" t="s">
        <v>27</v>
      </c>
      <c r="Q164" s="110" t="s">
        <v>35</v>
      </c>
      <c r="R164" s="110" t="s">
        <v>27</v>
      </c>
      <c r="S164" s="110"/>
      <c r="T164" s="110">
        <f t="shared" si="2"/>
        <v>5651.25</v>
      </c>
      <c r="U164" s="110"/>
      <c r="V164" s="110"/>
      <c r="W164" s="110"/>
      <c r="X164" s="110" t="s">
        <v>89</v>
      </c>
      <c r="Y164" s="110" t="s">
        <v>89</v>
      </c>
      <c r="AA164" s="113" t="e">
        <v>#N/A</v>
      </c>
      <c r="AB164" s="113" t="e">
        <v>#N/A</v>
      </c>
    </row>
    <row r="165" spans="1:28">
      <c r="A165" s="108">
        <v>164</v>
      </c>
      <c r="B165" s="108"/>
      <c r="C165" s="109">
        <v>46028</v>
      </c>
      <c r="D165" s="110" t="s">
        <v>28</v>
      </c>
      <c r="E165" s="110" t="s">
        <v>4254</v>
      </c>
      <c r="F165" s="110" t="s">
        <v>30</v>
      </c>
      <c r="G165" s="110">
        <v>18</v>
      </c>
      <c r="H165" s="110" t="s">
        <v>4840</v>
      </c>
      <c r="I165" s="110" t="s">
        <v>4841</v>
      </c>
      <c r="J165" s="110"/>
      <c r="K165" s="110" t="s">
        <v>4842</v>
      </c>
      <c r="L165" s="110" t="s">
        <v>4843</v>
      </c>
      <c r="M165" s="110">
        <v>3011.94</v>
      </c>
      <c r="N165" s="110">
        <v>3011.94</v>
      </c>
      <c r="O165" s="111"/>
      <c r="P165" s="112" t="s">
        <v>27</v>
      </c>
      <c r="Q165" s="110" t="s">
        <v>35</v>
      </c>
      <c r="R165" s="110" t="s">
        <v>27</v>
      </c>
      <c r="S165" s="110"/>
      <c r="T165" s="110">
        <f t="shared" si="2"/>
        <v>3011.94</v>
      </c>
      <c r="U165" s="110"/>
      <c r="V165" s="110"/>
      <c r="W165" s="110"/>
      <c r="X165" s="110" t="s">
        <v>89</v>
      </c>
      <c r="Y165" s="110" t="s">
        <v>89</v>
      </c>
      <c r="AA165" s="113" t="e">
        <v>#N/A</v>
      </c>
      <c r="AB165" s="113" t="e">
        <v>#N/A</v>
      </c>
    </row>
    <row r="166" spans="1:28">
      <c r="A166" s="108">
        <v>165</v>
      </c>
      <c r="B166" s="108"/>
      <c r="C166" s="109">
        <v>46028</v>
      </c>
      <c r="D166" s="110" t="s">
        <v>28</v>
      </c>
      <c r="E166" s="110" t="s">
        <v>4254</v>
      </c>
      <c r="F166" s="110" t="s">
        <v>30</v>
      </c>
      <c r="G166" s="110">
        <v>18</v>
      </c>
      <c r="H166" s="110" t="s">
        <v>4844</v>
      </c>
      <c r="I166" s="110" t="s">
        <v>4845</v>
      </c>
      <c r="J166" s="110"/>
      <c r="K166" s="110" t="s">
        <v>4846</v>
      </c>
      <c r="L166" s="110"/>
      <c r="M166" s="110">
        <v>3682.63</v>
      </c>
      <c r="N166" s="110">
        <v>3682.63</v>
      </c>
      <c r="O166" s="111"/>
      <c r="P166" s="112" t="s">
        <v>27</v>
      </c>
      <c r="Q166" s="110" t="s">
        <v>35</v>
      </c>
      <c r="R166" s="110" t="s">
        <v>27</v>
      </c>
      <c r="S166" s="110"/>
      <c r="T166" s="110">
        <f t="shared" si="2"/>
        <v>3682.63</v>
      </c>
      <c r="U166" s="110"/>
      <c r="V166" s="110"/>
      <c r="W166" s="110"/>
      <c r="X166" s="110" t="s">
        <v>62</v>
      </c>
      <c r="Y166" s="110" t="s">
        <v>62</v>
      </c>
      <c r="AA166" s="113" t="e">
        <v>#N/A</v>
      </c>
      <c r="AB166" s="113" t="e">
        <v>#N/A</v>
      </c>
    </row>
    <row r="167" spans="1:28">
      <c r="A167" s="108">
        <v>166</v>
      </c>
      <c r="B167" s="108"/>
      <c r="C167" s="109">
        <v>46028</v>
      </c>
      <c r="D167" s="110" t="s">
        <v>28</v>
      </c>
      <c r="E167" s="110" t="s">
        <v>4254</v>
      </c>
      <c r="F167" s="110" t="s">
        <v>30</v>
      </c>
      <c r="G167" s="110">
        <v>18</v>
      </c>
      <c r="H167" s="110" t="s">
        <v>4847</v>
      </c>
      <c r="I167" s="110" t="s">
        <v>4848</v>
      </c>
      <c r="J167" s="110"/>
      <c r="K167" s="110" t="s">
        <v>4849</v>
      </c>
      <c r="L167" s="110"/>
      <c r="M167" s="110">
        <v>3514</v>
      </c>
      <c r="N167" s="110">
        <v>3514</v>
      </c>
      <c r="O167" s="111"/>
      <c r="P167" s="112" t="s">
        <v>27</v>
      </c>
      <c r="Q167" s="110" t="s">
        <v>35</v>
      </c>
      <c r="R167" s="110" t="s">
        <v>27</v>
      </c>
      <c r="S167" s="110"/>
      <c r="T167" s="110">
        <f t="shared" si="2"/>
        <v>3514</v>
      </c>
      <c r="U167" s="110"/>
      <c r="V167" s="110"/>
      <c r="W167" s="110"/>
      <c r="X167" s="110" t="s">
        <v>37</v>
      </c>
      <c r="Y167" s="110" t="s">
        <v>37</v>
      </c>
      <c r="AA167" s="113" t="e">
        <v>#N/A</v>
      </c>
      <c r="AB167" s="113" t="e">
        <v>#N/A</v>
      </c>
    </row>
    <row r="168" spans="1:28">
      <c r="A168" s="108">
        <v>167</v>
      </c>
      <c r="B168" s="108"/>
      <c r="C168" s="109">
        <v>46028</v>
      </c>
      <c r="D168" s="110" t="s">
        <v>28</v>
      </c>
      <c r="E168" s="110" t="s">
        <v>4254</v>
      </c>
      <c r="F168" s="110" t="s">
        <v>30</v>
      </c>
      <c r="G168" s="110">
        <v>18</v>
      </c>
      <c r="H168" s="110" t="s">
        <v>4850</v>
      </c>
      <c r="I168" s="110" t="s">
        <v>4851</v>
      </c>
      <c r="J168" s="110"/>
      <c r="K168" s="110" t="s">
        <v>4852</v>
      </c>
      <c r="L168" s="110" t="s">
        <v>4853</v>
      </c>
      <c r="M168" s="110">
        <v>3444.91</v>
      </c>
      <c r="N168" s="110">
        <v>3444.91</v>
      </c>
      <c r="O168" s="111"/>
      <c r="P168" s="112" t="s">
        <v>27</v>
      </c>
      <c r="Q168" s="110" t="s">
        <v>35</v>
      </c>
      <c r="R168" s="110" t="s">
        <v>27</v>
      </c>
      <c r="S168" s="110"/>
      <c r="T168" s="110">
        <f t="shared" si="2"/>
        <v>3444.91</v>
      </c>
      <c r="U168" s="110"/>
      <c r="V168" s="110"/>
      <c r="W168" s="110"/>
      <c r="X168" s="110" t="s">
        <v>62</v>
      </c>
      <c r="Y168" s="110" t="s">
        <v>62</v>
      </c>
      <c r="AA168" s="113" t="e">
        <v>#N/A</v>
      </c>
      <c r="AB168" s="113" t="e">
        <v>#N/A</v>
      </c>
    </row>
    <row r="169" spans="1:28">
      <c r="A169" s="108">
        <v>168</v>
      </c>
      <c r="B169" s="108"/>
      <c r="C169" s="109">
        <v>46028</v>
      </c>
      <c r="D169" s="110" t="s">
        <v>28</v>
      </c>
      <c r="E169" s="110" t="s">
        <v>4254</v>
      </c>
      <c r="F169" s="110" t="s">
        <v>30</v>
      </c>
      <c r="G169" s="110">
        <v>18</v>
      </c>
      <c r="H169" s="110" t="s">
        <v>4854</v>
      </c>
      <c r="I169" s="110" t="s">
        <v>4855</v>
      </c>
      <c r="J169" s="110"/>
      <c r="K169" s="110" t="s">
        <v>4856</v>
      </c>
      <c r="L169" s="110" t="s">
        <v>4857</v>
      </c>
      <c r="M169" s="110">
        <v>2425.9</v>
      </c>
      <c r="N169" s="110">
        <v>2425.9</v>
      </c>
      <c r="O169" s="111"/>
      <c r="P169" s="112" t="s">
        <v>27</v>
      </c>
      <c r="Q169" s="110" t="s">
        <v>35</v>
      </c>
      <c r="R169" s="110" t="s">
        <v>27</v>
      </c>
      <c r="S169" s="110"/>
      <c r="T169" s="110">
        <f t="shared" si="2"/>
        <v>2425.9</v>
      </c>
      <c r="U169" s="110"/>
      <c r="V169" s="110"/>
      <c r="W169" s="110"/>
      <c r="X169" s="110" t="s">
        <v>117</v>
      </c>
      <c r="Y169" s="110" t="s">
        <v>117</v>
      </c>
      <c r="AA169" s="113" t="e">
        <v>#N/A</v>
      </c>
      <c r="AB169" s="113" t="e">
        <v>#N/A</v>
      </c>
    </row>
    <row r="170" spans="1:28">
      <c r="A170" s="108">
        <v>169</v>
      </c>
      <c r="B170" s="108"/>
      <c r="C170" s="109">
        <v>46028</v>
      </c>
      <c r="D170" s="110" t="s">
        <v>28</v>
      </c>
      <c r="E170" s="110" t="s">
        <v>4254</v>
      </c>
      <c r="F170" s="110" t="s">
        <v>30</v>
      </c>
      <c r="G170" s="110">
        <v>18</v>
      </c>
      <c r="H170" s="110" t="s">
        <v>4858</v>
      </c>
      <c r="I170" s="110" t="s">
        <v>4859</v>
      </c>
      <c r="J170" s="110"/>
      <c r="K170" s="110" t="s">
        <v>4860</v>
      </c>
      <c r="L170" s="110" t="s">
        <v>4861</v>
      </c>
      <c r="M170" s="110">
        <v>2790.46</v>
      </c>
      <c r="N170" s="110">
        <v>2790.46</v>
      </c>
      <c r="O170" s="111"/>
      <c r="P170" s="112" t="s">
        <v>27</v>
      </c>
      <c r="Q170" s="110" t="s">
        <v>35</v>
      </c>
      <c r="R170" s="110" t="s">
        <v>27</v>
      </c>
      <c r="S170" s="110"/>
      <c r="T170" s="110">
        <f t="shared" si="2"/>
        <v>2790.46</v>
      </c>
      <c r="U170" s="110"/>
      <c r="V170" s="110"/>
      <c r="W170" s="110"/>
      <c r="X170" s="110" t="s">
        <v>76</v>
      </c>
      <c r="Y170" s="110" t="s">
        <v>76</v>
      </c>
      <c r="AA170" s="113" t="e">
        <v>#N/A</v>
      </c>
      <c r="AB170" s="113" t="e">
        <v>#N/A</v>
      </c>
    </row>
    <row r="171" spans="1:28">
      <c r="A171" s="108">
        <v>170</v>
      </c>
      <c r="B171" s="108"/>
      <c r="C171" s="109">
        <v>46028</v>
      </c>
      <c r="D171" s="110" t="s">
        <v>28</v>
      </c>
      <c r="E171" s="110" t="s">
        <v>4254</v>
      </c>
      <c r="F171" s="110" t="s">
        <v>30</v>
      </c>
      <c r="G171" s="110">
        <v>18</v>
      </c>
      <c r="H171" s="110" t="s">
        <v>4862</v>
      </c>
      <c r="I171" s="110" t="s">
        <v>4863</v>
      </c>
      <c r="J171" s="110"/>
      <c r="K171" s="110" t="s">
        <v>4864</v>
      </c>
      <c r="L171" s="110" t="s">
        <v>4865</v>
      </c>
      <c r="M171" s="110">
        <v>1959.05</v>
      </c>
      <c r="N171" s="110">
        <v>1959.05</v>
      </c>
      <c r="O171" s="111"/>
      <c r="P171" s="112" t="s">
        <v>27</v>
      </c>
      <c r="Q171" s="110" t="s">
        <v>35</v>
      </c>
      <c r="R171" s="110" t="s">
        <v>27</v>
      </c>
      <c r="S171" s="110"/>
      <c r="T171" s="110">
        <f t="shared" si="2"/>
        <v>1959.05</v>
      </c>
      <c r="U171" s="110"/>
      <c r="V171" s="110"/>
      <c r="W171" s="110"/>
      <c r="X171" s="110" t="s">
        <v>36</v>
      </c>
      <c r="Y171" s="110" t="s">
        <v>36</v>
      </c>
      <c r="AA171" s="113" t="e">
        <v>#N/A</v>
      </c>
      <c r="AB171" s="113" t="e">
        <v>#N/A</v>
      </c>
    </row>
    <row r="172" spans="1:28">
      <c r="A172" s="108">
        <v>171</v>
      </c>
      <c r="B172" s="108"/>
      <c r="C172" s="109">
        <v>46028</v>
      </c>
      <c r="D172" s="110" t="s">
        <v>28</v>
      </c>
      <c r="E172" s="110" t="s">
        <v>4254</v>
      </c>
      <c r="F172" s="110" t="s">
        <v>30</v>
      </c>
      <c r="G172" s="110">
        <v>18</v>
      </c>
      <c r="H172" s="110" t="s">
        <v>4866</v>
      </c>
      <c r="I172" s="110" t="s">
        <v>4867</v>
      </c>
      <c r="J172" s="110"/>
      <c r="K172" s="110" t="s">
        <v>4868</v>
      </c>
      <c r="L172" s="110" t="s">
        <v>4869</v>
      </c>
      <c r="M172" s="110">
        <v>2116.98</v>
      </c>
      <c r="N172" s="110">
        <v>2116.98</v>
      </c>
      <c r="O172" s="111"/>
      <c r="P172" s="112" t="s">
        <v>27</v>
      </c>
      <c r="Q172" s="110" t="s">
        <v>35</v>
      </c>
      <c r="R172" s="110" t="s">
        <v>27</v>
      </c>
      <c r="S172" s="110"/>
      <c r="T172" s="110">
        <f t="shared" si="2"/>
        <v>2116.98</v>
      </c>
      <c r="U172" s="110"/>
      <c r="V172" s="110"/>
      <c r="W172" s="110"/>
      <c r="X172" s="110" t="s">
        <v>62</v>
      </c>
      <c r="Y172" s="110" t="s">
        <v>62</v>
      </c>
      <c r="AA172" s="113" t="e">
        <v>#N/A</v>
      </c>
      <c r="AB172" s="113" t="e">
        <v>#N/A</v>
      </c>
    </row>
    <row r="173" spans="1:28">
      <c r="A173" s="108">
        <v>172</v>
      </c>
      <c r="B173" s="108"/>
      <c r="C173" s="109">
        <v>46028</v>
      </c>
      <c r="D173" s="110" t="s">
        <v>28</v>
      </c>
      <c r="E173" s="110" t="s">
        <v>4254</v>
      </c>
      <c r="F173" s="110" t="s">
        <v>30</v>
      </c>
      <c r="G173" s="110">
        <v>18</v>
      </c>
      <c r="H173" s="110" t="s">
        <v>4870</v>
      </c>
      <c r="I173" s="110" t="s">
        <v>4871</v>
      </c>
      <c r="J173" s="110"/>
      <c r="K173" s="110" t="s">
        <v>4872</v>
      </c>
      <c r="L173" s="110" t="s">
        <v>4873</v>
      </c>
      <c r="M173" s="110">
        <v>14169.16</v>
      </c>
      <c r="N173" s="110">
        <v>14169.16</v>
      </c>
      <c r="O173" s="111"/>
      <c r="P173" s="112" t="s">
        <v>27</v>
      </c>
      <c r="Q173" s="110" t="s">
        <v>35</v>
      </c>
      <c r="R173" s="110" t="s">
        <v>27</v>
      </c>
      <c r="S173" s="110"/>
      <c r="T173" s="110">
        <f t="shared" si="2"/>
        <v>14169.16</v>
      </c>
      <c r="U173" s="110"/>
      <c r="V173" s="110"/>
      <c r="W173" s="110"/>
      <c r="X173" s="110" t="s">
        <v>82</v>
      </c>
      <c r="Y173" s="110" t="s">
        <v>82</v>
      </c>
      <c r="AA173" s="113" t="e">
        <v>#N/A</v>
      </c>
      <c r="AB173" s="113" t="e">
        <v>#N/A</v>
      </c>
    </row>
    <row r="174" spans="1:28">
      <c r="A174" s="108">
        <v>173</v>
      </c>
      <c r="B174" s="108"/>
      <c r="C174" s="109">
        <v>46028</v>
      </c>
      <c r="D174" s="110" t="s">
        <v>28</v>
      </c>
      <c r="E174" s="110" t="s">
        <v>4254</v>
      </c>
      <c r="F174" s="110" t="s">
        <v>30</v>
      </c>
      <c r="G174" s="110">
        <v>18</v>
      </c>
      <c r="H174" s="110" t="s">
        <v>4874</v>
      </c>
      <c r="I174" s="110" t="s">
        <v>4875</v>
      </c>
      <c r="J174" s="110"/>
      <c r="K174" s="110" t="s">
        <v>4876</v>
      </c>
      <c r="L174" s="110" t="s">
        <v>4877</v>
      </c>
      <c r="M174" s="110">
        <v>483.28</v>
      </c>
      <c r="N174" s="110">
        <v>483.28</v>
      </c>
      <c r="O174" s="111"/>
      <c r="P174" s="112" t="s">
        <v>27</v>
      </c>
      <c r="Q174" s="110" t="s">
        <v>35</v>
      </c>
      <c r="R174" s="110" t="s">
        <v>27</v>
      </c>
      <c r="S174" s="110"/>
      <c r="T174" s="110">
        <f t="shared" si="2"/>
        <v>483.28</v>
      </c>
      <c r="U174" s="110"/>
      <c r="V174" s="110"/>
      <c r="W174" s="110"/>
      <c r="X174" s="110" t="s">
        <v>36</v>
      </c>
      <c r="Y174" s="110" t="s">
        <v>36</v>
      </c>
      <c r="AA174" s="113" t="e">
        <v>#N/A</v>
      </c>
      <c r="AB174" s="113" t="e">
        <v>#N/A</v>
      </c>
    </row>
    <row r="175" spans="1:28">
      <c r="A175" s="108">
        <v>174</v>
      </c>
      <c r="B175" s="108"/>
      <c r="C175" s="109">
        <v>46028</v>
      </c>
      <c r="D175" s="110" t="s">
        <v>28</v>
      </c>
      <c r="E175" s="110" t="s">
        <v>4254</v>
      </c>
      <c r="F175" s="110" t="s">
        <v>30</v>
      </c>
      <c r="G175" s="110">
        <v>18</v>
      </c>
      <c r="H175" s="110" t="s">
        <v>4878</v>
      </c>
      <c r="I175" s="110" t="s">
        <v>4879</v>
      </c>
      <c r="J175" s="110"/>
      <c r="K175" s="110" t="s">
        <v>4880</v>
      </c>
      <c r="L175" s="110" t="s">
        <v>4881</v>
      </c>
      <c r="M175" s="110">
        <v>782.35</v>
      </c>
      <c r="N175" s="110">
        <v>782.35</v>
      </c>
      <c r="O175" s="111"/>
      <c r="P175" s="112" t="s">
        <v>27</v>
      </c>
      <c r="Q175" s="110" t="s">
        <v>35</v>
      </c>
      <c r="R175" s="110" t="s">
        <v>27</v>
      </c>
      <c r="S175" s="110"/>
      <c r="T175" s="110">
        <f t="shared" si="2"/>
        <v>782.35</v>
      </c>
      <c r="U175" s="110"/>
      <c r="V175" s="110"/>
      <c r="W175" s="110"/>
      <c r="X175" s="110" t="s">
        <v>89</v>
      </c>
      <c r="Y175" s="110" t="s">
        <v>89</v>
      </c>
      <c r="AA175" s="113" t="e">
        <v>#N/A</v>
      </c>
      <c r="AB175" s="113" t="e">
        <v>#N/A</v>
      </c>
    </row>
    <row r="176" spans="1:28">
      <c r="A176" s="108">
        <v>175</v>
      </c>
      <c r="B176" s="108"/>
      <c r="C176" s="109">
        <v>46028</v>
      </c>
      <c r="D176" s="110" t="s">
        <v>28</v>
      </c>
      <c r="E176" s="110" t="s">
        <v>4254</v>
      </c>
      <c r="F176" s="110" t="s">
        <v>30</v>
      </c>
      <c r="G176" s="110">
        <v>18</v>
      </c>
      <c r="H176" s="110" t="s">
        <v>4882</v>
      </c>
      <c r="I176" s="110" t="s">
        <v>4883</v>
      </c>
      <c r="J176" s="110"/>
      <c r="K176" s="110" t="s">
        <v>4884</v>
      </c>
      <c r="L176" s="110" t="s">
        <v>4885</v>
      </c>
      <c r="M176" s="110">
        <v>485.47</v>
      </c>
      <c r="N176" s="110">
        <v>485.47</v>
      </c>
      <c r="O176" s="111"/>
      <c r="P176" s="112" t="s">
        <v>27</v>
      </c>
      <c r="Q176" s="110" t="s">
        <v>35</v>
      </c>
      <c r="R176" s="110" t="s">
        <v>27</v>
      </c>
      <c r="S176" s="110"/>
      <c r="T176" s="110">
        <f t="shared" si="2"/>
        <v>485.47</v>
      </c>
      <c r="U176" s="110"/>
      <c r="V176" s="110"/>
      <c r="W176" s="110"/>
      <c r="X176" s="110" t="s">
        <v>4335</v>
      </c>
      <c r="Y176" s="110" t="s">
        <v>4335</v>
      </c>
      <c r="AA176" s="113" t="e">
        <v>#N/A</v>
      </c>
      <c r="AB176" s="113" t="e">
        <v>#N/A</v>
      </c>
    </row>
    <row r="177" spans="1:28">
      <c r="A177" s="108">
        <v>176</v>
      </c>
      <c r="B177" s="108"/>
      <c r="C177" s="109">
        <v>46028</v>
      </c>
      <c r="D177" s="110" t="s">
        <v>28</v>
      </c>
      <c r="E177" s="110" t="s">
        <v>4254</v>
      </c>
      <c r="F177" s="110" t="s">
        <v>30</v>
      </c>
      <c r="G177" s="110">
        <v>18</v>
      </c>
      <c r="H177" s="110" t="s">
        <v>4886</v>
      </c>
      <c r="I177" s="110" t="s">
        <v>4887</v>
      </c>
      <c r="J177" s="110"/>
      <c r="K177" s="110" t="s">
        <v>4888</v>
      </c>
      <c r="L177" s="110" t="s">
        <v>4889</v>
      </c>
      <c r="M177" s="110">
        <v>7157.56</v>
      </c>
      <c r="N177" s="110">
        <v>7157.56</v>
      </c>
      <c r="O177" s="111"/>
      <c r="P177" s="112" t="s">
        <v>27</v>
      </c>
      <c r="Q177" s="110" t="s">
        <v>35</v>
      </c>
      <c r="R177" s="110" t="s">
        <v>27</v>
      </c>
      <c r="S177" s="110"/>
      <c r="T177" s="110">
        <f t="shared" si="2"/>
        <v>7157.56</v>
      </c>
      <c r="U177" s="110"/>
      <c r="V177" s="110"/>
      <c r="W177" s="110"/>
      <c r="X177" s="110" t="s">
        <v>4335</v>
      </c>
      <c r="Y177" s="110" t="s">
        <v>4335</v>
      </c>
      <c r="AA177" s="113" t="e">
        <v>#N/A</v>
      </c>
      <c r="AB177" s="113" t="e">
        <v>#N/A</v>
      </c>
    </row>
    <row r="178" spans="1:28">
      <c r="A178" s="108">
        <v>177</v>
      </c>
      <c r="B178" s="108"/>
      <c r="C178" s="109">
        <v>46028</v>
      </c>
      <c r="D178" s="110" t="s">
        <v>28</v>
      </c>
      <c r="E178" s="110" t="s">
        <v>4254</v>
      </c>
      <c r="F178" s="110" t="s">
        <v>30</v>
      </c>
      <c r="G178" s="110">
        <v>18</v>
      </c>
      <c r="H178" s="110" t="s">
        <v>4890</v>
      </c>
      <c r="I178" s="110" t="s">
        <v>4891</v>
      </c>
      <c r="J178" s="110"/>
      <c r="K178" s="110" t="s">
        <v>4892</v>
      </c>
      <c r="L178" s="110" t="s">
        <v>4893</v>
      </c>
      <c r="M178" s="110">
        <v>749.94</v>
      </c>
      <c r="N178" s="110">
        <v>749.94</v>
      </c>
      <c r="O178" s="111"/>
      <c r="P178" s="112" t="s">
        <v>27</v>
      </c>
      <c r="Q178" s="110" t="s">
        <v>35</v>
      </c>
      <c r="R178" s="110" t="s">
        <v>27</v>
      </c>
      <c r="S178" s="110"/>
      <c r="T178" s="110">
        <f t="shared" si="2"/>
        <v>749.94</v>
      </c>
      <c r="U178" s="110"/>
      <c r="V178" s="110"/>
      <c r="W178" s="110"/>
      <c r="X178" s="110" t="s">
        <v>37</v>
      </c>
      <c r="Y178" s="110" t="s">
        <v>37</v>
      </c>
      <c r="AA178" s="113" t="e">
        <v>#N/A</v>
      </c>
      <c r="AB178" s="113" t="e">
        <v>#N/A</v>
      </c>
    </row>
    <row r="179" spans="1:28">
      <c r="A179" s="108">
        <v>178</v>
      </c>
      <c r="B179" s="108"/>
      <c r="C179" s="109">
        <v>46028</v>
      </c>
      <c r="D179" s="110" t="s">
        <v>28</v>
      </c>
      <c r="E179" s="110" t="s">
        <v>4254</v>
      </c>
      <c r="F179" s="110" t="s">
        <v>30</v>
      </c>
      <c r="G179" s="110">
        <v>18</v>
      </c>
      <c r="H179" s="110" t="s">
        <v>4894</v>
      </c>
      <c r="I179" s="110" t="s">
        <v>4895</v>
      </c>
      <c r="J179" s="110"/>
      <c r="K179" s="110" t="s">
        <v>4896</v>
      </c>
      <c r="L179" s="110" t="s">
        <v>4897</v>
      </c>
      <c r="M179" s="110">
        <v>871.78</v>
      </c>
      <c r="N179" s="110">
        <v>871.78</v>
      </c>
      <c r="O179" s="111"/>
      <c r="P179" s="112" t="s">
        <v>27</v>
      </c>
      <c r="Q179" s="110" t="s">
        <v>35</v>
      </c>
      <c r="R179" s="110" t="s">
        <v>27</v>
      </c>
      <c r="S179" s="110"/>
      <c r="T179" s="110">
        <f t="shared" si="2"/>
        <v>871.78</v>
      </c>
      <c r="U179" s="110"/>
      <c r="V179" s="110"/>
      <c r="W179" s="110"/>
      <c r="X179" s="110" t="s">
        <v>62</v>
      </c>
      <c r="Y179" s="110" t="s">
        <v>62</v>
      </c>
      <c r="AA179" s="113" t="e">
        <v>#N/A</v>
      </c>
      <c r="AB179" s="113" t="e">
        <v>#N/A</v>
      </c>
    </row>
    <row r="180" spans="1:28">
      <c r="A180" s="108">
        <v>179</v>
      </c>
      <c r="B180" s="108"/>
      <c r="C180" s="109">
        <v>46028</v>
      </c>
      <c r="D180" s="110" t="s">
        <v>28</v>
      </c>
      <c r="E180" s="110" t="s">
        <v>4254</v>
      </c>
      <c r="F180" s="110" t="s">
        <v>30</v>
      </c>
      <c r="G180" s="110">
        <v>18</v>
      </c>
      <c r="H180" s="110" t="s">
        <v>4898</v>
      </c>
      <c r="I180" s="110" t="s">
        <v>4899</v>
      </c>
      <c r="J180" s="110"/>
      <c r="K180" s="110" t="s">
        <v>4900</v>
      </c>
      <c r="L180" s="110" t="s">
        <v>4901</v>
      </c>
      <c r="M180" s="110">
        <v>883.92</v>
      </c>
      <c r="N180" s="110">
        <v>883.92</v>
      </c>
      <c r="O180" s="111">
        <v>46030</v>
      </c>
      <c r="P180" s="112" t="s">
        <v>69</v>
      </c>
      <c r="Q180" s="110" t="s">
        <v>52</v>
      </c>
      <c r="R180" s="110" t="s">
        <v>27</v>
      </c>
      <c r="S180" s="110">
        <v>880</v>
      </c>
      <c r="T180" s="110">
        <f t="shared" si="2"/>
        <v>3.9199999999999591</v>
      </c>
      <c r="U180" s="111">
        <v>46030</v>
      </c>
      <c r="V180" s="110" t="s">
        <v>4902</v>
      </c>
      <c r="W180" s="110" t="s">
        <v>54</v>
      </c>
      <c r="X180" s="110" t="s">
        <v>69</v>
      </c>
      <c r="Y180" s="110" t="s">
        <v>69</v>
      </c>
      <c r="AA180" s="113" t="e">
        <v>#N/A</v>
      </c>
      <c r="AB180" s="113" t="e">
        <v>#N/A</v>
      </c>
    </row>
    <row r="181" spans="1:28">
      <c r="A181" s="108">
        <v>180</v>
      </c>
      <c r="B181" s="108"/>
      <c r="C181" s="109">
        <v>46028</v>
      </c>
      <c r="D181" s="110" t="s">
        <v>28</v>
      </c>
      <c r="E181" s="110" t="s">
        <v>4254</v>
      </c>
      <c r="F181" s="110" t="s">
        <v>30</v>
      </c>
      <c r="G181" s="110">
        <v>18</v>
      </c>
      <c r="H181" s="110" t="s">
        <v>4903</v>
      </c>
      <c r="I181" s="110" t="s">
        <v>4904</v>
      </c>
      <c r="J181" s="110"/>
      <c r="K181" s="110" t="s">
        <v>4905</v>
      </c>
      <c r="L181" s="110" t="s">
        <v>4906</v>
      </c>
      <c r="M181" s="110">
        <v>586.27</v>
      </c>
      <c r="N181" s="110">
        <v>586.27</v>
      </c>
      <c r="O181" s="111"/>
      <c r="P181" s="112" t="s">
        <v>27</v>
      </c>
      <c r="Q181" s="110" t="s">
        <v>35</v>
      </c>
      <c r="R181" s="110" t="s">
        <v>27</v>
      </c>
      <c r="S181" s="110"/>
      <c r="T181" s="110">
        <f t="shared" si="2"/>
        <v>586.27</v>
      </c>
      <c r="U181" s="110"/>
      <c r="V181" s="110"/>
      <c r="W181" s="110"/>
      <c r="X181" s="110" t="s">
        <v>82</v>
      </c>
      <c r="Y181" s="110" t="s">
        <v>82</v>
      </c>
      <c r="AA181" s="113" t="e">
        <v>#N/A</v>
      </c>
      <c r="AB181" s="113" t="e">
        <v>#N/A</v>
      </c>
    </row>
    <row r="182" spans="1:28">
      <c r="A182" s="108">
        <v>181</v>
      </c>
      <c r="B182" s="108"/>
      <c r="C182" s="109">
        <v>46027</v>
      </c>
      <c r="D182" s="110" t="s">
        <v>226</v>
      </c>
      <c r="E182" s="110" t="s">
        <v>4254</v>
      </c>
      <c r="F182" s="110" t="s">
        <v>767</v>
      </c>
      <c r="G182" s="110">
        <v>5</v>
      </c>
      <c r="H182" s="110" t="s">
        <v>4907</v>
      </c>
      <c r="I182" s="110" t="s">
        <v>4908</v>
      </c>
      <c r="J182" s="110"/>
      <c r="K182" s="110" t="s">
        <v>4909</v>
      </c>
      <c r="L182" s="110" t="s">
        <v>4909</v>
      </c>
      <c r="M182" s="110">
        <v>7450</v>
      </c>
      <c r="N182" s="110">
        <v>7450</v>
      </c>
      <c r="O182" s="111"/>
      <c r="P182" s="112" t="s">
        <v>772</v>
      </c>
      <c r="Q182" s="110"/>
      <c r="R182" s="110" t="s">
        <v>772</v>
      </c>
      <c r="S182" s="110"/>
      <c r="T182" s="110">
        <f t="shared" si="2"/>
        <v>7450</v>
      </c>
      <c r="U182" s="110"/>
      <c r="V182" s="110"/>
      <c r="W182" s="110"/>
      <c r="X182" s="110" t="s">
        <v>340</v>
      </c>
      <c r="Y182" s="110" t="s">
        <v>4910</v>
      </c>
      <c r="AA182" s="113" t="s">
        <v>11</v>
      </c>
      <c r="AB182" s="113" t="s">
        <v>4254</v>
      </c>
    </row>
    <row r="183" spans="1:28">
      <c r="A183" s="108">
        <v>182</v>
      </c>
      <c r="B183" s="108"/>
      <c r="C183" s="109">
        <v>46027</v>
      </c>
      <c r="D183" s="110" t="s">
        <v>226</v>
      </c>
      <c r="E183" s="110" t="s">
        <v>4254</v>
      </c>
      <c r="F183" s="110" t="s">
        <v>767</v>
      </c>
      <c r="G183" s="110">
        <v>5</v>
      </c>
      <c r="H183" s="110" t="s">
        <v>4911</v>
      </c>
      <c r="I183" s="110" t="s">
        <v>4912</v>
      </c>
      <c r="J183" s="110"/>
      <c r="K183" s="110" t="s">
        <v>4913</v>
      </c>
      <c r="L183" s="110" t="s">
        <v>4913</v>
      </c>
      <c r="M183" s="110">
        <v>22390</v>
      </c>
      <c r="N183" s="110">
        <v>8000</v>
      </c>
      <c r="O183" s="111">
        <v>46030</v>
      </c>
      <c r="P183" s="112" t="s">
        <v>774</v>
      </c>
      <c r="Q183" s="110" t="s">
        <v>52</v>
      </c>
      <c r="R183" s="110" t="s">
        <v>772</v>
      </c>
      <c r="S183" s="110">
        <v>8000</v>
      </c>
      <c r="T183" s="110">
        <f t="shared" si="2"/>
        <v>0</v>
      </c>
      <c r="U183" s="111">
        <v>46030</v>
      </c>
      <c r="V183" s="110" t="s">
        <v>4914</v>
      </c>
      <c r="W183" s="110" t="s">
        <v>54</v>
      </c>
      <c r="X183" s="110" t="s">
        <v>774</v>
      </c>
      <c r="Y183" s="110" t="s">
        <v>4915</v>
      </c>
      <c r="AA183" s="113" t="s">
        <v>4472</v>
      </c>
      <c r="AB183" s="113" t="s">
        <v>4916</v>
      </c>
    </row>
    <row r="184" spans="1:28">
      <c r="A184" s="108">
        <v>183</v>
      </c>
      <c r="B184" s="108"/>
      <c r="C184" s="109">
        <v>46030</v>
      </c>
      <c r="D184" s="110" t="s">
        <v>226</v>
      </c>
      <c r="E184" s="110" t="s">
        <v>4254</v>
      </c>
      <c r="F184" s="110" t="s">
        <v>310</v>
      </c>
      <c r="G184" s="110">
        <v>8</v>
      </c>
      <c r="H184" s="110" t="s">
        <v>4917</v>
      </c>
      <c r="I184" s="110" t="s">
        <v>4918</v>
      </c>
      <c r="J184" s="110"/>
      <c r="K184" s="110" t="s">
        <v>4919</v>
      </c>
      <c r="L184" s="110" t="s">
        <v>4919</v>
      </c>
      <c r="M184" s="110">
        <v>36790</v>
      </c>
      <c r="N184" s="110">
        <v>36790</v>
      </c>
      <c r="O184" s="111"/>
      <c r="P184" s="112" t="s">
        <v>315</v>
      </c>
      <c r="Q184" s="110" t="s">
        <v>52</v>
      </c>
      <c r="R184" s="110" t="s">
        <v>3580</v>
      </c>
      <c r="S184" s="110">
        <v>18000</v>
      </c>
      <c r="T184" s="110">
        <f t="shared" si="2"/>
        <v>18790</v>
      </c>
      <c r="U184" s="111">
        <v>46048</v>
      </c>
      <c r="V184" s="110" t="s">
        <v>4920</v>
      </c>
      <c r="W184" s="110"/>
      <c r="X184" s="110" t="s">
        <v>315</v>
      </c>
      <c r="Y184" s="110" t="s">
        <v>3581</v>
      </c>
      <c r="Z184" s="113" t="s">
        <v>4921</v>
      </c>
      <c r="AA184" s="113" t="s">
        <v>4472</v>
      </c>
      <c r="AB184" s="113" t="s">
        <v>4461</v>
      </c>
    </row>
    <row r="185" spans="1:28">
      <c r="A185" s="108">
        <v>184</v>
      </c>
      <c r="B185" s="108"/>
      <c r="C185" s="109">
        <v>46030</v>
      </c>
      <c r="D185" s="110" t="s">
        <v>226</v>
      </c>
      <c r="E185" s="110" t="s">
        <v>4254</v>
      </c>
      <c r="F185" s="110" t="s">
        <v>310</v>
      </c>
      <c r="G185" s="110">
        <v>8</v>
      </c>
      <c r="H185" s="110" t="s">
        <v>646</v>
      </c>
      <c r="I185" s="110" t="s">
        <v>647</v>
      </c>
      <c r="J185" s="110"/>
      <c r="K185" s="110" t="s">
        <v>648</v>
      </c>
      <c r="L185" s="110" t="s">
        <v>648</v>
      </c>
      <c r="M185" s="110">
        <v>11640</v>
      </c>
      <c r="N185" s="110">
        <v>6640</v>
      </c>
      <c r="O185" s="111">
        <v>46127</v>
      </c>
      <c r="P185" s="112" t="s">
        <v>315</v>
      </c>
      <c r="Q185" s="110" t="s">
        <v>52</v>
      </c>
      <c r="R185" s="110" t="s">
        <v>3580</v>
      </c>
      <c r="S185" s="110">
        <f>4000+2640</f>
        <v>6640</v>
      </c>
      <c r="T185" s="110">
        <f t="shared" si="2"/>
        <v>0</v>
      </c>
      <c r="U185" s="111">
        <v>46127</v>
      </c>
      <c r="V185" s="110" t="s">
        <v>4922</v>
      </c>
      <c r="W185" s="110" t="s">
        <v>54</v>
      </c>
      <c r="X185" s="110" t="s">
        <v>315</v>
      </c>
      <c r="Y185" s="110" t="s">
        <v>650</v>
      </c>
      <c r="Z185" s="113" t="s">
        <v>4923</v>
      </c>
      <c r="AA185" s="113" t="s">
        <v>4472</v>
      </c>
      <c r="AB185" s="113" t="s">
        <v>4461</v>
      </c>
    </row>
    <row r="186" spans="1:28">
      <c r="A186" s="108">
        <v>185</v>
      </c>
      <c r="B186" s="108"/>
      <c r="C186" s="109">
        <v>46029</v>
      </c>
      <c r="D186" s="110" t="s">
        <v>28</v>
      </c>
      <c r="E186" s="110" t="s">
        <v>4254</v>
      </c>
      <c r="F186" s="110" t="s">
        <v>30</v>
      </c>
      <c r="G186" s="110">
        <v>20</v>
      </c>
      <c r="H186" s="110" t="s">
        <v>4924</v>
      </c>
      <c r="I186" s="110" t="s">
        <v>4925</v>
      </c>
      <c r="J186" s="110"/>
      <c r="K186" s="110" t="s">
        <v>4926</v>
      </c>
      <c r="L186" s="110" t="s">
        <v>4927</v>
      </c>
      <c r="M186" s="110">
        <v>16250.37</v>
      </c>
      <c r="N186" s="110">
        <v>16250.37</v>
      </c>
      <c r="O186" s="111"/>
      <c r="P186" s="112" t="s">
        <v>27</v>
      </c>
      <c r="Q186" s="110" t="s">
        <v>35</v>
      </c>
      <c r="R186" s="110" t="s">
        <v>27</v>
      </c>
      <c r="S186" s="110"/>
      <c r="T186" s="110">
        <f t="shared" si="2"/>
        <v>16250.37</v>
      </c>
      <c r="U186" s="110"/>
      <c r="V186" s="110"/>
      <c r="W186" s="110"/>
      <c r="X186" s="110" t="s">
        <v>117</v>
      </c>
      <c r="Y186" s="110" t="s">
        <v>117</v>
      </c>
      <c r="AA186" s="113" t="e">
        <v>#N/A</v>
      </c>
      <c r="AB186" s="113" t="e">
        <v>#N/A</v>
      </c>
    </row>
    <row r="187" spans="1:28">
      <c r="A187" s="108">
        <v>186</v>
      </c>
      <c r="B187" s="108"/>
      <c r="C187" s="109">
        <v>46029</v>
      </c>
      <c r="D187" s="110" t="s">
        <v>28</v>
      </c>
      <c r="E187" s="110" t="s">
        <v>4254</v>
      </c>
      <c r="F187" s="110" t="s">
        <v>30</v>
      </c>
      <c r="G187" s="110">
        <v>20</v>
      </c>
      <c r="H187" s="110" t="s">
        <v>4928</v>
      </c>
      <c r="I187" s="110" t="s">
        <v>4929</v>
      </c>
      <c r="J187" s="110"/>
      <c r="K187" s="110" t="s">
        <v>4930</v>
      </c>
      <c r="L187" s="110" t="s">
        <v>4931</v>
      </c>
      <c r="M187" s="110">
        <v>13422.17</v>
      </c>
      <c r="N187" s="110">
        <v>13422.17</v>
      </c>
      <c r="O187" s="111"/>
      <c r="P187" s="112" t="s">
        <v>27</v>
      </c>
      <c r="Q187" s="110" t="s">
        <v>35</v>
      </c>
      <c r="R187" s="110" t="s">
        <v>27</v>
      </c>
      <c r="S187" s="110"/>
      <c r="T187" s="110">
        <f t="shared" si="2"/>
        <v>13422.17</v>
      </c>
      <c r="U187" s="110"/>
      <c r="V187" s="110"/>
      <c r="W187" s="110"/>
      <c r="X187" s="110" t="s">
        <v>37</v>
      </c>
      <c r="Y187" s="110" t="s">
        <v>37</v>
      </c>
      <c r="AA187" s="113" t="e">
        <v>#N/A</v>
      </c>
      <c r="AB187" s="113" t="e">
        <v>#N/A</v>
      </c>
    </row>
    <row r="188" spans="1:28">
      <c r="A188" s="108">
        <v>187</v>
      </c>
      <c r="B188" s="108"/>
      <c r="C188" s="109">
        <v>46029</v>
      </c>
      <c r="D188" s="110" t="s">
        <v>28</v>
      </c>
      <c r="E188" s="110" t="s">
        <v>4254</v>
      </c>
      <c r="F188" s="110" t="s">
        <v>30</v>
      </c>
      <c r="G188" s="110">
        <v>20</v>
      </c>
      <c r="H188" s="110" t="s">
        <v>4932</v>
      </c>
      <c r="I188" s="110" t="s">
        <v>4933</v>
      </c>
      <c r="J188" s="110"/>
      <c r="K188" s="110" t="s">
        <v>4934</v>
      </c>
      <c r="L188" s="110" t="s">
        <v>4935</v>
      </c>
      <c r="M188" s="110">
        <v>5103.78</v>
      </c>
      <c r="N188" s="110">
        <v>5103.78</v>
      </c>
      <c r="O188" s="111">
        <v>46031</v>
      </c>
      <c r="P188" s="112" t="s">
        <v>69</v>
      </c>
      <c r="Q188" s="110" t="s">
        <v>52</v>
      </c>
      <c r="R188" s="110" t="s">
        <v>27</v>
      </c>
      <c r="S188" s="110">
        <v>5100</v>
      </c>
      <c r="T188" s="110">
        <f t="shared" si="2"/>
        <v>3.7799999999997453</v>
      </c>
      <c r="U188" s="111">
        <v>46031</v>
      </c>
      <c r="V188" s="110" t="s">
        <v>4936</v>
      </c>
      <c r="W188" s="110" t="s">
        <v>54</v>
      </c>
      <c r="X188" s="110" t="s">
        <v>69</v>
      </c>
      <c r="Y188" s="110" t="s">
        <v>69</v>
      </c>
      <c r="AA188" s="113" t="e">
        <v>#N/A</v>
      </c>
      <c r="AB188" s="113" t="e">
        <v>#N/A</v>
      </c>
    </row>
    <row r="189" spans="1:28">
      <c r="A189" s="108">
        <v>188</v>
      </c>
      <c r="B189" s="108"/>
      <c r="C189" s="109">
        <v>46029</v>
      </c>
      <c r="D189" s="110" t="s">
        <v>28</v>
      </c>
      <c r="E189" s="110" t="s">
        <v>4254</v>
      </c>
      <c r="F189" s="110" t="s">
        <v>30</v>
      </c>
      <c r="G189" s="110">
        <v>20</v>
      </c>
      <c r="H189" s="110" t="s">
        <v>4937</v>
      </c>
      <c r="I189" s="110" t="s">
        <v>4938</v>
      </c>
      <c r="J189" s="110"/>
      <c r="K189" s="110" t="s">
        <v>4939</v>
      </c>
      <c r="L189" s="110" t="s">
        <v>4264</v>
      </c>
      <c r="M189" s="110">
        <v>3620.28</v>
      </c>
      <c r="N189" s="110">
        <v>3620.28</v>
      </c>
      <c r="O189" s="111"/>
      <c r="P189" s="112" t="s">
        <v>27</v>
      </c>
      <c r="Q189" s="110" t="s">
        <v>35</v>
      </c>
      <c r="R189" s="110" t="s">
        <v>27</v>
      </c>
      <c r="S189" s="110"/>
      <c r="T189" s="110">
        <f t="shared" si="2"/>
        <v>3620.28</v>
      </c>
      <c r="U189" s="110"/>
      <c r="V189" s="110"/>
      <c r="W189" s="110"/>
      <c r="X189" s="110" t="s">
        <v>76</v>
      </c>
      <c r="Y189" s="110" t="s">
        <v>76</v>
      </c>
      <c r="AA189" s="113" t="e">
        <v>#N/A</v>
      </c>
      <c r="AB189" s="113" t="e">
        <v>#N/A</v>
      </c>
    </row>
    <row r="190" spans="1:28">
      <c r="A190" s="108">
        <v>189</v>
      </c>
      <c r="B190" s="108"/>
      <c r="C190" s="109">
        <v>46029</v>
      </c>
      <c r="D190" s="110" t="s">
        <v>28</v>
      </c>
      <c r="E190" s="110" t="s">
        <v>4254</v>
      </c>
      <c r="F190" s="110" t="s">
        <v>30</v>
      </c>
      <c r="G190" s="110">
        <v>20</v>
      </c>
      <c r="H190" s="110" t="s">
        <v>4940</v>
      </c>
      <c r="I190" s="110" t="s">
        <v>4941</v>
      </c>
      <c r="J190" s="110"/>
      <c r="K190" s="110" t="s">
        <v>4942</v>
      </c>
      <c r="L190" s="110" t="s">
        <v>4943</v>
      </c>
      <c r="M190" s="110">
        <v>2574.27</v>
      </c>
      <c r="N190" s="110">
        <v>2574.27</v>
      </c>
      <c r="O190" s="111"/>
      <c r="P190" s="112" t="s">
        <v>27</v>
      </c>
      <c r="Q190" s="110" t="s">
        <v>35</v>
      </c>
      <c r="R190" s="110" t="s">
        <v>27</v>
      </c>
      <c r="S190" s="110"/>
      <c r="T190" s="110">
        <f t="shared" si="2"/>
        <v>2574.27</v>
      </c>
      <c r="U190" s="110"/>
      <c r="V190" s="110"/>
      <c r="W190" s="110"/>
      <c r="X190" s="110" t="s">
        <v>76</v>
      </c>
      <c r="Y190" s="110" t="s">
        <v>76</v>
      </c>
      <c r="AA190" s="113" t="e">
        <v>#N/A</v>
      </c>
      <c r="AB190" s="113" t="e">
        <v>#N/A</v>
      </c>
    </row>
    <row r="191" spans="1:28">
      <c r="A191" s="108">
        <v>190</v>
      </c>
      <c r="B191" s="108"/>
      <c r="C191" s="109">
        <v>46029</v>
      </c>
      <c r="D191" s="110" t="s">
        <v>28</v>
      </c>
      <c r="E191" s="110" t="s">
        <v>4254</v>
      </c>
      <c r="F191" s="110" t="s">
        <v>30</v>
      </c>
      <c r="G191" s="110">
        <v>20</v>
      </c>
      <c r="H191" s="110" t="s">
        <v>4944</v>
      </c>
      <c r="I191" s="110" t="s">
        <v>4945</v>
      </c>
      <c r="J191" s="110"/>
      <c r="K191" s="110" t="s">
        <v>4946</v>
      </c>
      <c r="L191" s="110" t="s">
        <v>4947</v>
      </c>
      <c r="M191" s="110">
        <v>2499.9699999999998</v>
      </c>
      <c r="N191" s="110">
        <v>2499.9699999999998</v>
      </c>
      <c r="O191" s="111"/>
      <c r="P191" s="112" t="s">
        <v>27</v>
      </c>
      <c r="Q191" s="110" t="s">
        <v>35</v>
      </c>
      <c r="R191" s="110" t="s">
        <v>27</v>
      </c>
      <c r="S191" s="110"/>
      <c r="T191" s="110">
        <f t="shared" si="2"/>
        <v>2499.9699999999998</v>
      </c>
      <c r="U191" s="110"/>
      <c r="V191" s="110"/>
      <c r="W191" s="110"/>
      <c r="X191" s="110" t="s">
        <v>89</v>
      </c>
      <c r="Y191" s="110" t="s">
        <v>89</v>
      </c>
      <c r="AA191" s="113" t="e">
        <v>#N/A</v>
      </c>
      <c r="AB191" s="113" t="e">
        <v>#N/A</v>
      </c>
    </row>
    <row r="192" spans="1:28">
      <c r="A192" s="108">
        <v>191</v>
      </c>
      <c r="B192" s="108"/>
      <c r="C192" s="109">
        <v>46029</v>
      </c>
      <c r="D192" s="110" t="s">
        <v>28</v>
      </c>
      <c r="E192" s="110" t="s">
        <v>4254</v>
      </c>
      <c r="F192" s="110" t="s">
        <v>30</v>
      </c>
      <c r="G192" s="110">
        <v>20</v>
      </c>
      <c r="H192" s="110" t="s">
        <v>4948</v>
      </c>
      <c r="I192" s="110" t="s">
        <v>4949</v>
      </c>
      <c r="J192" s="110"/>
      <c r="K192" s="110" t="s">
        <v>4950</v>
      </c>
      <c r="L192" s="110" t="s">
        <v>4951</v>
      </c>
      <c r="M192" s="110">
        <v>1299.99</v>
      </c>
      <c r="N192" s="110">
        <v>1299.99</v>
      </c>
      <c r="O192" s="111"/>
      <c r="P192" s="112" t="s">
        <v>27</v>
      </c>
      <c r="Q192" s="110" t="s">
        <v>35</v>
      </c>
      <c r="R192" s="110" t="s">
        <v>27</v>
      </c>
      <c r="S192" s="110"/>
      <c r="T192" s="110">
        <f t="shared" si="2"/>
        <v>1299.99</v>
      </c>
      <c r="U192" s="110"/>
      <c r="V192" s="110"/>
      <c r="W192" s="110"/>
      <c r="X192" s="110" t="s">
        <v>117</v>
      </c>
      <c r="Y192" s="110" t="s">
        <v>117</v>
      </c>
      <c r="AA192" s="113" t="e">
        <v>#N/A</v>
      </c>
      <c r="AB192" s="113" t="e">
        <v>#N/A</v>
      </c>
    </row>
    <row r="193" spans="1:28">
      <c r="A193" s="108">
        <v>192</v>
      </c>
      <c r="B193" s="108"/>
      <c r="C193" s="109">
        <v>46029</v>
      </c>
      <c r="D193" s="110" t="s">
        <v>28</v>
      </c>
      <c r="E193" s="110" t="s">
        <v>4254</v>
      </c>
      <c r="F193" s="110" t="s">
        <v>30</v>
      </c>
      <c r="G193" s="110">
        <v>20</v>
      </c>
      <c r="H193" s="110" t="s">
        <v>4952</v>
      </c>
      <c r="I193" s="110" t="s">
        <v>4953</v>
      </c>
      <c r="J193" s="110"/>
      <c r="K193" s="110" t="s">
        <v>4954</v>
      </c>
      <c r="L193" s="110" t="s">
        <v>4955</v>
      </c>
      <c r="M193" s="110">
        <v>1199.99</v>
      </c>
      <c r="N193" s="110">
        <v>1199.99</v>
      </c>
      <c r="O193" s="111"/>
      <c r="P193" s="112" t="s">
        <v>27</v>
      </c>
      <c r="Q193" s="110" t="s">
        <v>35</v>
      </c>
      <c r="R193" s="110" t="s">
        <v>27</v>
      </c>
      <c r="S193" s="110"/>
      <c r="T193" s="110">
        <f t="shared" si="2"/>
        <v>1199.99</v>
      </c>
      <c r="U193" s="110"/>
      <c r="V193" s="110"/>
      <c r="W193" s="110"/>
      <c r="X193" s="110" t="s">
        <v>76</v>
      </c>
      <c r="Y193" s="110" t="s">
        <v>76</v>
      </c>
      <c r="AA193" s="113" t="e">
        <v>#N/A</v>
      </c>
      <c r="AB193" s="113" t="e">
        <v>#N/A</v>
      </c>
    </row>
    <row r="194" spans="1:28">
      <c r="A194" s="108">
        <v>193</v>
      </c>
      <c r="B194" s="108"/>
      <c r="C194" s="109">
        <v>46029</v>
      </c>
      <c r="D194" s="110" t="s">
        <v>28</v>
      </c>
      <c r="E194" s="110" t="s">
        <v>4254</v>
      </c>
      <c r="F194" s="110" t="s">
        <v>30</v>
      </c>
      <c r="G194" s="110">
        <v>20</v>
      </c>
      <c r="H194" s="110" t="s">
        <v>4956</v>
      </c>
      <c r="I194" s="110" t="s">
        <v>4957</v>
      </c>
      <c r="J194" s="110"/>
      <c r="K194" s="110" t="s">
        <v>4958</v>
      </c>
      <c r="L194" s="110" t="s">
        <v>4959</v>
      </c>
      <c r="M194" s="110">
        <v>1147.08</v>
      </c>
      <c r="N194" s="110">
        <v>1147.08</v>
      </c>
      <c r="O194" s="111"/>
      <c r="P194" s="112" t="s">
        <v>27</v>
      </c>
      <c r="Q194" s="110" t="s">
        <v>35</v>
      </c>
      <c r="R194" s="110" t="s">
        <v>27</v>
      </c>
      <c r="S194" s="110"/>
      <c r="T194" s="110">
        <f t="shared" ref="T194:T257" si="3">N194-S194</f>
        <v>1147.08</v>
      </c>
      <c r="U194" s="110"/>
      <c r="V194" s="110"/>
      <c r="W194" s="110"/>
      <c r="X194" s="110" t="s">
        <v>76</v>
      </c>
      <c r="Y194" s="110" t="s">
        <v>76</v>
      </c>
      <c r="AA194" s="113" t="e">
        <v>#N/A</v>
      </c>
      <c r="AB194" s="113" t="e">
        <v>#N/A</v>
      </c>
    </row>
    <row r="195" spans="1:28">
      <c r="A195" s="108">
        <v>194</v>
      </c>
      <c r="B195" s="108" t="s">
        <v>225</v>
      </c>
      <c r="C195" s="109">
        <v>46027</v>
      </c>
      <c r="D195" s="110" t="s">
        <v>226</v>
      </c>
      <c r="E195" s="110" t="s">
        <v>4254</v>
      </c>
      <c r="F195" s="110" t="s">
        <v>3190</v>
      </c>
      <c r="G195" s="110">
        <v>5</v>
      </c>
      <c r="H195" s="110" t="s">
        <v>4960</v>
      </c>
      <c r="I195" s="110" t="s">
        <v>4961</v>
      </c>
      <c r="J195" s="110"/>
      <c r="K195" s="110" t="s">
        <v>4962</v>
      </c>
      <c r="L195" s="110" t="s">
        <v>4962</v>
      </c>
      <c r="M195" s="110">
        <v>6640</v>
      </c>
      <c r="N195" s="110">
        <v>6650</v>
      </c>
      <c r="O195" s="111"/>
      <c r="P195" s="112"/>
      <c r="Q195" s="110" t="s">
        <v>239</v>
      </c>
      <c r="R195" s="116" t="s">
        <v>4963</v>
      </c>
      <c r="S195" s="110"/>
      <c r="T195" s="110">
        <f t="shared" si="3"/>
        <v>6650</v>
      </c>
      <c r="U195" s="110"/>
      <c r="V195" s="110"/>
      <c r="W195" s="110"/>
      <c r="X195" s="110" t="s">
        <v>57</v>
      </c>
      <c r="Y195" s="110" t="s">
        <v>57</v>
      </c>
      <c r="AA195" s="113" t="s">
        <v>11</v>
      </c>
      <c r="AB195" s="113" t="s">
        <v>4461</v>
      </c>
    </row>
    <row r="196" spans="1:28">
      <c r="A196" s="108">
        <v>195</v>
      </c>
      <c r="B196" s="108"/>
      <c r="C196" s="109">
        <v>46027</v>
      </c>
      <c r="D196" s="110" t="s">
        <v>226</v>
      </c>
      <c r="E196" s="110" t="s">
        <v>4254</v>
      </c>
      <c r="F196" s="110" t="s">
        <v>3190</v>
      </c>
      <c r="G196" s="110">
        <v>5</v>
      </c>
      <c r="H196" s="110" t="s">
        <v>2080</v>
      </c>
      <c r="I196" s="110" t="s">
        <v>2081</v>
      </c>
      <c r="J196" s="110"/>
      <c r="K196" s="110" t="s">
        <v>2082</v>
      </c>
      <c r="L196" s="110" t="s">
        <v>2082</v>
      </c>
      <c r="M196" s="110">
        <v>49570</v>
      </c>
      <c r="N196" s="110">
        <v>19600</v>
      </c>
      <c r="O196" s="111">
        <v>46039</v>
      </c>
      <c r="P196" s="112"/>
      <c r="Q196" s="110" t="s">
        <v>52</v>
      </c>
      <c r="R196" s="116" t="s">
        <v>4963</v>
      </c>
      <c r="S196" s="110">
        <v>10000</v>
      </c>
      <c r="T196" s="110">
        <f t="shared" si="3"/>
        <v>9600</v>
      </c>
      <c r="U196" s="111">
        <v>46039</v>
      </c>
      <c r="V196" s="110" t="s">
        <v>4964</v>
      </c>
      <c r="W196" s="110"/>
      <c r="X196" s="110" t="s">
        <v>57</v>
      </c>
      <c r="Y196" s="110" t="s">
        <v>57</v>
      </c>
      <c r="AA196" s="113" t="s">
        <v>11</v>
      </c>
      <c r="AB196" s="113" t="s">
        <v>4254</v>
      </c>
    </row>
    <row r="197" spans="1:28">
      <c r="A197" s="108">
        <v>196</v>
      </c>
      <c r="B197" s="108"/>
      <c r="C197" s="109">
        <v>46027</v>
      </c>
      <c r="D197" s="110" t="s">
        <v>226</v>
      </c>
      <c r="E197" s="110" t="s">
        <v>4254</v>
      </c>
      <c r="F197" s="110" t="s">
        <v>336</v>
      </c>
      <c r="G197" s="110">
        <v>5</v>
      </c>
      <c r="H197" s="110" t="s">
        <v>4965</v>
      </c>
      <c r="I197" s="118">
        <v>8897015123</v>
      </c>
      <c r="J197" s="110"/>
      <c r="K197" s="110" t="s">
        <v>1821</v>
      </c>
      <c r="L197" s="110" t="s">
        <v>1821</v>
      </c>
      <c r="M197" s="110">
        <v>11990</v>
      </c>
      <c r="N197" s="110">
        <v>6990</v>
      </c>
      <c r="O197" s="111"/>
      <c r="P197" s="112" t="s">
        <v>388</v>
      </c>
      <c r="Q197" s="110" t="s">
        <v>52</v>
      </c>
      <c r="R197" s="110" t="s">
        <v>340</v>
      </c>
      <c r="S197" s="110">
        <v>2000</v>
      </c>
      <c r="T197" s="110">
        <f t="shared" si="3"/>
        <v>4990</v>
      </c>
      <c r="U197" s="111">
        <v>46102</v>
      </c>
      <c r="V197" s="110" t="s">
        <v>4966</v>
      </c>
      <c r="W197" s="110"/>
      <c r="X197" s="110" t="s">
        <v>388</v>
      </c>
      <c r="Y197" s="110" t="s">
        <v>388</v>
      </c>
      <c r="AA197" s="113" t="s">
        <v>11</v>
      </c>
      <c r="AB197" s="113" t="s">
        <v>4967</v>
      </c>
    </row>
    <row r="198" spans="1:28">
      <c r="A198" s="108">
        <v>197</v>
      </c>
      <c r="B198" s="108"/>
      <c r="C198" s="109">
        <v>46027</v>
      </c>
      <c r="D198" s="110" t="s">
        <v>226</v>
      </c>
      <c r="E198" s="110" t="s">
        <v>4254</v>
      </c>
      <c r="F198" s="110" t="s">
        <v>336</v>
      </c>
      <c r="G198" s="110">
        <v>5</v>
      </c>
      <c r="H198" s="110" t="s">
        <v>2074</v>
      </c>
      <c r="I198" s="114" t="s">
        <v>2075</v>
      </c>
      <c r="J198" s="114"/>
      <c r="K198" s="110" t="s">
        <v>2076</v>
      </c>
      <c r="L198" s="110" t="s">
        <v>2076</v>
      </c>
      <c r="M198" s="110">
        <v>3909</v>
      </c>
      <c r="N198" s="110">
        <v>3909</v>
      </c>
      <c r="O198" s="111">
        <v>46030</v>
      </c>
      <c r="P198" s="112" t="s">
        <v>342</v>
      </c>
      <c r="Q198" s="110" t="s">
        <v>52</v>
      </c>
      <c r="R198" s="110" t="s">
        <v>340</v>
      </c>
      <c r="S198" s="110">
        <v>3909</v>
      </c>
      <c r="T198" s="110">
        <f t="shared" si="3"/>
        <v>0</v>
      </c>
      <c r="U198" s="111">
        <v>46030</v>
      </c>
      <c r="V198" s="110" t="s">
        <v>4968</v>
      </c>
      <c r="W198" s="110" t="s">
        <v>54</v>
      </c>
      <c r="X198" s="110" t="s">
        <v>342</v>
      </c>
      <c r="Y198" s="110" t="s">
        <v>342</v>
      </c>
      <c r="AA198" s="113" t="s">
        <v>11</v>
      </c>
      <c r="AB198" s="113" t="s">
        <v>4969</v>
      </c>
    </row>
    <row r="199" spans="1:28">
      <c r="A199" s="108">
        <v>198</v>
      </c>
      <c r="B199" s="108"/>
      <c r="C199" s="109">
        <v>46030</v>
      </c>
      <c r="D199" s="110" t="s">
        <v>226</v>
      </c>
      <c r="E199" s="110" t="s">
        <v>4254</v>
      </c>
      <c r="F199" s="110" t="s">
        <v>336</v>
      </c>
      <c r="G199" s="110">
        <v>8</v>
      </c>
      <c r="H199" s="110" t="s">
        <v>4970</v>
      </c>
      <c r="I199" s="114" t="s">
        <v>487</v>
      </c>
      <c r="J199" s="114"/>
      <c r="K199" s="110" t="s">
        <v>4971</v>
      </c>
      <c r="L199" s="110" t="s">
        <v>4971</v>
      </c>
      <c r="M199" s="110">
        <v>9125.42</v>
      </c>
      <c r="N199" s="110">
        <v>9125.42</v>
      </c>
      <c r="O199" s="111"/>
      <c r="P199" s="112"/>
      <c r="Q199" s="110"/>
      <c r="R199" s="110" t="s">
        <v>340</v>
      </c>
      <c r="S199" s="110"/>
      <c r="T199" s="110">
        <f t="shared" si="3"/>
        <v>9125.42</v>
      </c>
      <c r="U199" s="110"/>
      <c r="V199" s="110"/>
      <c r="W199" s="110"/>
      <c r="X199" s="110" t="s">
        <v>342</v>
      </c>
      <c r="Y199" s="110" t="s">
        <v>698</v>
      </c>
      <c r="AA199" s="113" t="s">
        <v>11</v>
      </c>
      <c r="AB199" s="113" t="s">
        <v>4464</v>
      </c>
    </row>
    <row r="200" spans="1:28">
      <c r="A200" s="108">
        <v>199</v>
      </c>
      <c r="B200" s="108"/>
      <c r="C200" s="109">
        <v>46030</v>
      </c>
      <c r="D200" s="110" t="s">
        <v>226</v>
      </c>
      <c r="E200" s="110" t="s">
        <v>4254</v>
      </c>
      <c r="F200" s="110" t="s">
        <v>336</v>
      </c>
      <c r="G200" s="110">
        <v>8</v>
      </c>
      <c r="H200" s="110" t="s">
        <v>4972</v>
      </c>
      <c r="I200" s="110" t="s">
        <v>4973</v>
      </c>
      <c r="J200" s="110"/>
      <c r="K200" s="110" t="s">
        <v>4974</v>
      </c>
      <c r="L200" s="110" t="s">
        <v>4974</v>
      </c>
      <c r="M200" s="110">
        <v>10169.99</v>
      </c>
      <c r="N200" s="110">
        <v>5171</v>
      </c>
      <c r="O200" s="111">
        <v>46118</v>
      </c>
      <c r="P200" s="112"/>
      <c r="Q200" s="110" t="s">
        <v>52</v>
      </c>
      <c r="R200" s="110" t="s">
        <v>340</v>
      </c>
      <c r="S200" s="110">
        <v>1000</v>
      </c>
      <c r="T200" s="110">
        <f t="shared" si="3"/>
        <v>4171</v>
      </c>
      <c r="U200" s="111">
        <v>46118</v>
      </c>
      <c r="V200" s="110" t="s">
        <v>4975</v>
      </c>
      <c r="W200" s="110"/>
      <c r="X200" s="110" t="s">
        <v>342</v>
      </c>
      <c r="Y200" s="110" t="s">
        <v>698</v>
      </c>
      <c r="AA200" s="113" t="s">
        <v>11</v>
      </c>
      <c r="AB200" s="113" t="s">
        <v>4464</v>
      </c>
    </row>
    <row r="201" spans="1:28">
      <c r="A201" s="108">
        <v>200</v>
      </c>
      <c r="B201" s="108" t="s">
        <v>225</v>
      </c>
      <c r="C201" s="109">
        <v>46033</v>
      </c>
      <c r="D201" s="110" t="s">
        <v>226</v>
      </c>
      <c r="E201" s="110" t="s">
        <v>4254</v>
      </c>
      <c r="F201" s="110" t="s">
        <v>336</v>
      </c>
      <c r="G201" s="110">
        <v>11</v>
      </c>
      <c r="H201" s="110" t="s">
        <v>4976</v>
      </c>
      <c r="I201" s="110">
        <v>6281095154</v>
      </c>
      <c r="J201" s="110"/>
      <c r="K201" s="110" t="s">
        <v>4977</v>
      </c>
      <c r="L201" s="110" t="s">
        <v>4974</v>
      </c>
      <c r="M201" s="110">
        <v>30010</v>
      </c>
      <c r="N201" s="110">
        <v>30010</v>
      </c>
      <c r="O201" s="111">
        <v>46059</v>
      </c>
      <c r="P201" s="112" t="s">
        <v>342</v>
      </c>
      <c r="Q201" s="110" t="s">
        <v>52</v>
      </c>
      <c r="R201" s="110" t="s">
        <v>340</v>
      </c>
      <c r="S201" s="110">
        <v>30000</v>
      </c>
      <c r="T201" s="110">
        <f t="shared" si="3"/>
        <v>10</v>
      </c>
      <c r="U201" s="111">
        <v>46059</v>
      </c>
      <c r="V201" s="110" t="s">
        <v>4978</v>
      </c>
      <c r="W201" s="110" t="s">
        <v>54</v>
      </c>
      <c r="X201" s="110" t="s">
        <v>342</v>
      </c>
      <c r="Y201" s="114" t="s">
        <v>4979</v>
      </c>
      <c r="AA201" s="113" t="s">
        <v>4472</v>
      </c>
      <c r="AB201" s="113" t="s">
        <v>4967</v>
      </c>
    </row>
    <row r="202" spans="1:28">
      <c r="A202" s="108">
        <v>201</v>
      </c>
      <c r="B202" s="108" t="s">
        <v>225</v>
      </c>
      <c r="C202" s="109">
        <v>46033</v>
      </c>
      <c r="D202" s="110" t="s">
        <v>226</v>
      </c>
      <c r="E202" s="110" t="s">
        <v>4254</v>
      </c>
      <c r="F202" s="110" t="s">
        <v>336</v>
      </c>
      <c r="G202" s="110">
        <v>11</v>
      </c>
      <c r="H202" s="110" t="s">
        <v>4980</v>
      </c>
      <c r="I202" s="110">
        <v>7893443366</v>
      </c>
      <c r="J202" s="110"/>
      <c r="K202" s="110" t="s">
        <v>4981</v>
      </c>
      <c r="L202" s="110" t="s">
        <v>4974</v>
      </c>
      <c r="M202" s="110">
        <v>19442.689999999999</v>
      </c>
      <c r="N202" s="110">
        <v>19443</v>
      </c>
      <c r="O202" s="111">
        <v>46063</v>
      </c>
      <c r="P202" s="112" t="s">
        <v>388</v>
      </c>
      <c r="Q202" s="110" t="s">
        <v>52</v>
      </c>
      <c r="R202" s="110" t="s">
        <v>340</v>
      </c>
      <c r="S202" s="110">
        <v>20000</v>
      </c>
      <c r="T202" s="110">
        <f t="shared" si="3"/>
        <v>-557</v>
      </c>
      <c r="U202" s="111">
        <v>46063</v>
      </c>
      <c r="V202" s="110" t="s">
        <v>4982</v>
      </c>
      <c r="W202" s="110" t="s">
        <v>54</v>
      </c>
      <c r="X202" s="110" t="s">
        <v>388</v>
      </c>
      <c r="Y202" s="114" t="s">
        <v>698</v>
      </c>
      <c r="AA202" s="113" t="s">
        <v>4983</v>
      </c>
      <c r="AB202" s="113" t="s">
        <v>4479</v>
      </c>
    </row>
    <row r="203" spans="1:28">
      <c r="A203" s="108">
        <v>202</v>
      </c>
      <c r="B203" s="108" t="s">
        <v>225</v>
      </c>
      <c r="C203" s="109">
        <v>46034</v>
      </c>
      <c r="D203" s="110" t="s">
        <v>226</v>
      </c>
      <c r="E203" s="110" t="s">
        <v>4254</v>
      </c>
      <c r="F203" s="110" t="s">
        <v>336</v>
      </c>
      <c r="G203" s="110">
        <v>12</v>
      </c>
      <c r="H203" s="110" t="s">
        <v>2225</v>
      </c>
      <c r="I203" s="110">
        <v>9618121114</v>
      </c>
      <c r="J203" s="110"/>
      <c r="K203" s="110" t="s">
        <v>871</v>
      </c>
      <c r="L203" s="110" t="s">
        <v>871</v>
      </c>
      <c r="M203" s="110">
        <v>36089</v>
      </c>
      <c r="N203" s="110">
        <v>36089</v>
      </c>
      <c r="O203" s="111">
        <v>46092</v>
      </c>
      <c r="P203" s="112" t="s">
        <v>3037</v>
      </c>
      <c r="Q203" s="110" t="s">
        <v>52</v>
      </c>
      <c r="R203" s="110" t="s">
        <v>340</v>
      </c>
      <c r="S203" s="110">
        <v>36089</v>
      </c>
      <c r="T203" s="110">
        <f t="shared" si="3"/>
        <v>0</v>
      </c>
      <c r="U203" s="111">
        <v>46092</v>
      </c>
      <c r="V203" s="110" t="s">
        <v>4984</v>
      </c>
      <c r="W203" s="110" t="s">
        <v>54</v>
      </c>
      <c r="X203" s="110" t="s">
        <v>388</v>
      </c>
      <c r="Y203" s="114" t="s">
        <v>698</v>
      </c>
      <c r="AA203" s="113" t="s">
        <v>11</v>
      </c>
      <c r="AB203" s="113" t="s">
        <v>4985</v>
      </c>
    </row>
    <row r="204" spans="1:28">
      <c r="A204" s="108">
        <v>203</v>
      </c>
      <c r="B204" s="108" t="s">
        <v>225</v>
      </c>
      <c r="C204" s="109">
        <v>46034</v>
      </c>
      <c r="D204" s="110" t="s">
        <v>226</v>
      </c>
      <c r="E204" s="110" t="s">
        <v>4254</v>
      </c>
      <c r="F204" s="110" t="s">
        <v>336</v>
      </c>
      <c r="G204" s="110">
        <v>12</v>
      </c>
      <c r="H204" s="110" t="s">
        <v>2309</v>
      </c>
      <c r="I204" s="110">
        <v>9591844474</v>
      </c>
      <c r="J204" s="110"/>
      <c r="K204" s="110" t="s">
        <v>875</v>
      </c>
      <c r="L204" s="110" t="s">
        <v>875</v>
      </c>
      <c r="M204" s="110">
        <v>23779</v>
      </c>
      <c r="N204" s="110">
        <v>23779</v>
      </c>
      <c r="O204" s="111">
        <v>46055</v>
      </c>
      <c r="P204" s="112" t="s">
        <v>388</v>
      </c>
      <c r="Q204" s="110" t="s">
        <v>52</v>
      </c>
      <c r="R204" s="110" t="s">
        <v>340</v>
      </c>
      <c r="S204" s="110">
        <v>23780</v>
      </c>
      <c r="T204" s="110">
        <f t="shared" si="3"/>
        <v>-1</v>
      </c>
      <c r="U204" s="111">
        <v>46055</v>
      </c>
      <c r="V204" s="110" t="s">
        <v>4986</v>
      </c>
      <c r="W204" s="110" t="s">
        <v>54</v>
      </c>
      <c r="X204" s="110" t="s">
        <v>388</v>
      </c>
      <c r="Y204" s="114" t="s">
        <v>2585</v>
      </c>
      <c r="AA204" s="113" t="s">
        <v>11</v>
      </c>
      <c r="AB204" s="113" t="s">
        <v>4464</v>
      </c>
    </row>
    <row r="205" spans="1:28">
      <c r="A205" s="108">
        <v>204</v>
      </c>
      <c r="B205" s="108" t="s">
        <v>225</v>
      </c>
      <c r="C205" s="109">
        <v>46034</v>
      </c>
      <c r="D205" s="110" t="s">
        <v>226</v>
      </c>
      <c r="E205" s="110" t="s">
        <v>4254</v>
      </c>
      <c r="F205" s="110" t="s">
        <v>336</v>
      </c>
      <c r="G205" s="110">
        <v>12</v>
      </c>
      <c r="H205" s="110" t="s">
        <v>2240</v>
      </c>
      <c r="I205" s="110">
        <v>8096685444</v>
      </c>
      <c r="J205" s="110"/>
      <c r="K205" s="110" t="s">
        <v>2242</v>
      </c>
      <c r="L205" s="110" t="s">
        <v>2242</v>
      </c>
      <c r="M205" s="110">
        <v>10370</v>
      </c>
      <c r="N205" s="110">
        <v>8000</v>
      </c>
      <c r="O205" s="111">
        <v>46050</v>
      </c>
      <c r="P205" s="112" t="s">
        <v>388</v>
      </c>
      <c r="Q205" s="110" t="s">
        <v>52</v>
      </c>
      <c r="R205" s="110" t="s">
        <v>340</v>
      </c>
      <c r="S205" s="110">
        <v>2370</v>
      </c>
      <c r="T205" s="110">
        <f t="shared" si="3"/>
        <v>5630</v>
      </c>
      <c r="U205" s="111">
        <v>46050</v>
      </c>
      <c r="V205" s="110" t="s">
        <v>4987</v>
      </c>
      <c r="W205" s="110" t="s">
        <v>54</v>
      </c>
      <c r="X205" s="110" t="s">
        <v>388</v>
      </c>
      <c r="Y205" s="114" t="s">
        <v>370</v>
      </c>
      <c r="AA205" s="113" t="s">
        <v>11</v>
      </c>
      <c r="AB205" s="113" t="s">
        <v>4967</v>
      </c>
    </row>
    <row r="206" spans="1:28">
      <c r="A206" s="108">
        <v>205</v>
      </c>
      <c r="B206" s="108" t="s">
        <v>225</v>
      </c>
      <c r="C206" s="109">
        <v>46034</v>
      </c>
      <c r="D206" s="110" t="s">
        <v>226</v>
      </c>
      <c r="E206" s="110" t="s">
        <v>4254</v>
      </c>
      <c r="F206" s="110" t="s">
        <v>336</v>
      </c>
      <c r="G206" s="110">
        <v>12</v>
      </c>
      <c r="H206" s="110" t="s">
        <v>4988</v>
      </c>
      <c r="I206" s="110">
        <v>9441605848</v>
      </c>
      <c r="J206" s="110"/>
      <c r="K206" s="110" t="s">
        <v>4989</v>
      </c>
      <c r="L206" s="110" t="s">
        <v>4989</v>
      </c>
      <c r="M206" s="110">
        <v>13089</v>
      </c>
      <c r="N206" s="110">
        <v>8300</v>
      </c>
      <c r="O206" s="111"/>
      <c r="P206" s="112"/>
      <c r="Q206" s="110"/>
      <c r="R206" s="110" t="s">
        <v>340</v>
      </c>
      <c r="S206" s="110"/>
      <c r="T206" s="110">
        <f t="shared" si="3"/>
        <v>8300</v>
      </c>
      <c r="U206" s="110"/>
      <c r="V206" s="110"/>
      <c r="W206" s="110"/>
      <c r="X206" s="110" t="s">
        <v>388</v>
      </c>
      <c r="Y206" s="114" t="s">
        <v>343</v>
      </c>
      <c r="AA206" s="113" t="s">
        <v>4990</v>
      </c>
      <c r="AB206" s="113" t="s">
        <v>4991</v>
      </c>
    </row>
    <row r="207" spans="1:28">
      <c r="A207" s="108">
        <v>206</v>
      </c>
      <c r="B207" s="108" t="s">
        <v>225</v>
      </c>
      <c r="C207" s="109">
        <v>46034</v>
      </c>
      <c r="D207" s="110" t="s">
        <v>226</v>
      </c>
      <c r="E207" s="110" t="s">
        <v>4254</v>
      </c>
      <c r="F207" s="110" t="s">
        <v>336</v>
      </c>
      <c r="G207" s="110">
        <v>12</v>
      </c>
      <c r="H207" s="110" t="s">
        <v>4992</v>
      </c>
      <c r="I207" s="110">
        <v>7978758784</v>
      </c>
      <c r="J207" s="110"/>
      <c r="K207" s="110" t="s">
        <v>4993</v>
      </c>
      <c r="L207" s="110" t="s">
        <v>4993</v>
      </c>
      <c r="M207" s="110">
        <v>1390</v>
      </c>
      <c r="N207" s="110">
        <v>1391</v>
      </c>
      <c r="O207" s="111"/>
      <c r="P207" s="112"/>
      <c r="Q207" s="110"/>
      <c r="R207" s="110" t="s">
        <v>340</v>
      </c>
      <c r="S207" s="110"/>
      <c r="T207" s="110">
        <f t="shared" si="3"/>
        <v>1391</v>
      </c>
      <c r="U207" s="110"/>
      <c r="V207" s="110"/>
      <c r="W207" s="110"/>
      <c r="X207" s="110" t="s">
        <v>388</v>
      </c>
      <c r="Y207" s="114" t="s">
        <v>370</v>
      </c>
      <c r="AA207" s="113" t="s">
        <v>11</v>
      </c>
      <c r="AB207" s="113" t="s">
        <v>4464</v>
      </c>
    </row>
    <row r="208" spans="1:28">
      <c r="A208" s="108">
        <v>207</v>
      </c>
      <c r="B208" s="108" t="s">
        <v>225</v>
      </c>
      <c r="C208" s="109">
        <v>46034</v>
      </c>
      <c r="D208" s="110" t="s">
        <v>226</v>
      </c>
      <c r="E208" s="110" t="s">
        <v>4254</v>
      </c>
      <c r="F208" s="110" t="s">
        <v>336</v>
      </c>
      <c r="G208" s="110">
        <v>12</v>
      </c>
      <c r="H208" s="110" t="s">
        <v>4994</v>
      </c>
      <c r="I208" s="110">
        <v>9392717015</v>
      </c>
      <c r="J208" s="110"/>
      <c r="K208" s="110" t="s">
        <v>4995</v>
      </c>
      <c r="L208" s="110" t="s">
        <v>4995</v>
      </c>
      <c r="M208" s="110">
        <v>49000</v>
      </c>
      <c r="N208" s="110">
        <v>49000</v>
      </c>
      <c r="O208" s="111"/>
      <c r="P208" s="112"/>
      <c r="Q208" s="110"/>
      <c r="R208" s="110" t="s">
        <v>340</v>
      </c>
      <c r="S208" s="110">
        <v>10000</v>
      </c>
      <c r="T208" s="110">
        <f t="shared" si="3"/>
        <v>39000</v>
      </c>
      <c r="U208" s="111">
        <v>46036</v>
      </c>
      <c r="V208" s="110" t="s">
        <v>4996</v>
      </c>
      <c r="W208" s="110" t="s">
        <v>54</v>
      </c>
      <c r="X208" s="110" t="s">
        <v>388</v>
      </c>
      <c r="Y208" s="114" t="s">
        <v>370</v>
      </c>
      <c r="AA208" s="113" t="s">
        <v>11</v>
      </c>
      <c r="AB208" s="113" t="s">
        <v>4916</v>
      </c>
    </row>
    <row r="209" spans="1:28">
      <c r="A209" s="108">
        <v>208</v>
      </c>
      <c r="B209" s="108" t="s">
        <v>225</v>
      </c>
      <c r="C209" s="109">
        <v>46034</v>
      </c>
      <c r="D209" s="110" t="s">
        <v>226</v>
      </c>
      <c r="E209" s="110" t="s">
        <v>4254</v>
      </c>
      <c r="F209" s="110" t="s">
        <v>336</v>
      </c>
      <c r="G209" s="110">
        <v>12</v>
      </c>
      <c r="H209" s="110" t="s">
        <v>4997</v>
      </c>
      <c r="I209" s="110">
        <v>9966617888</v>
      </c>
      <c r="J209" s="110"/>
      <c r="K209" s="110" t="s">
        <v>889</v>
      </c>
      <c r="L209" s="110" t="s">
        <v>889</v>
      </c>
      <c r="M209" s="110">
        <v>11510</v>
      </c>
      <c r="N209" s="110">
        <v>5000</v>
      </c>
      <c r="O209" s="111">
        <v>46053</v>
      </c>
      <c r="P209" s="112" t="s">
        <v>342</v>
      </c>
      <c r="Q209" s="110" t="s">
        <v>52</v>
      </c>
      <c r="R209" s="110" t="s">
        <v>340</v>
      </c>
      <c r="S209" s="110">
        <v>6511</v>
      </c>
      <c r="T209" s="110">
        <f t="shared" si="3"/>
        <v>-1511</v>
      </c>
      <c r="U209" s="111">
        <v>46053</v>
      </c>
      <c r="V209" s="110" t="s">
        <v>4998</v>
      </c>
      <c r="W209" s="110" t="s">
        <v>54</v>
      </c>
      <c r="X209" s="110" t="s">
        <v>342</v>
      </c>
      <c r="Y209" s="114" t="s">
        <v>370</v>
      </c>
      <c r="AA209" s="113" t="s">
        <v>11</v>
      </c>
      <c r="AB209" s="113" t="s">
        <v>4461</v>
      </c>
    </row>
    <row r="210" spans="1:28">
      <c r="A210" s="108">
        <v>209</v>
      </c>
      <c r="B210" s="108" t="s">
        <v>225</v>
      </c>
      <c r="C210" s="109">
        <v>46034</v>
      </c>
      <c r="D210" s="110" t="s">
        <v>226</v>
      </c>
      <c r="E210" s="110" t="s">
        <v>4254</v>
      </c>
      <c r="F210" s="110" t="s">
        <v>336</v>
      </c>
      <c r="G210" s="110">
        <v>12</v>
      </c>
      <c r="H210" s="110" t="s">
        <v>4999</v>
      </c>
      <c r="I210" s="110">
        <v>8121261314</v>
      </c>
      <c r="J210" s="110"/>
      <c r="K210" s="110" t="s">
        <v>5000</v>
      </c>
      <c r="L210" s="110" t="s">
        <v>5000</v>
      </c>
      <c r="M210" s="110">
        <v>3080</v>
      </c>
      <c r="N210" s="110">
        <v>3080</v>
      </c>
      <c r="O210" s="111"/>
      <c r="P210" s="112"/>
      <c r="Q210" s="110"/>
      <c r="R210" s="110" t="s">
        <v>340</v>
      </c>
      <c r="S210" s="110"/>
      <c r="T210" s="110">
        <f t="shared" si="3"/>
        <v>3080</v>
      </c>
      <c r="U210" s="110"/>
      <c r="V210" s="110"/>
      <c r="W210" s="110"/>
      <c r="X210" s="110" t="s">
        <v>388</v>
      </c>
      <c r="Y210" s="114" t="s">
        <v>2585</v>
      </c>
      <c r="AA210" s="113" t="s">
        <v>11</v>
      </c>
      <c r="AB210" s="113" t="s">
        <v>4991</v>
      </c>
    </row>
    <row r="211" spans="1:28">
      <c r="A211" s="108">
        <v>210</v>
      </c>
      <c r="B211" s="108" t="s">
        <v>225</v>
      </c>
      <c r="C211" s="109">
        <v>46034</v>
      </c>
      <c r="D211" s="110" t="s">
        <v>226</v>
      </c>
      <c r="E211" s="110" t="s">
        <v>4254</v>
      </c>
      <c r="F211" s="110" t="s">
        <v>336</v>
      </c>
      <c r="G211" s="110">
        <v>12</v>
      </c>
      <c r="H211" s="110" t="s">
        <v>5001</v>
      </c>
      <c r="I211" s="110">
        <v>8331987791</v>
      </c>
      <c r="J211" s="110"/>
      <c r="K211" s="110" t="s">
        <v>5002</v>
      </c>
      <c r="L211" s="110" t="s">
        <v>5002</v>
      </c>
      <c r="M211" s="110">
        <v>4370</v>
      </c>
      <c r="N211" s="110">
        <v>4375</v>
      </c>
      <c r="O211" s="111"/>
      <c r="P211" s="112"/>
      <c r="Q211" s="110"/>
      <c r="R211" s="110" t="s">
        <v>340</v>
      </c>
      <c r="S211" s="110"/>
      <c r="T211" s="110">
        <f t="shared" si="3"/>
        <v>4375</v>
      </c>
      <c r="U211" s="110"/>
      <c r="V211" s="110"/>
      <c r="W211" s="110"/>
      <c r="X211" s="110" t="s">
        <v>342</v>
      </c>
      <c r="Y211" s="114" t="s">
        <v>343</v>
      </c>
      <c r="AA211" s="113" t="s">
        <v>11</v>
      </c>
      <c r="AB211" s="113" t="s">
        <v>4464</v>
      </c>
    </row>
    <row r="212" spans="1:28">
      <c r="A212" s="108">
        <v>211</v>
      </c>
      <c r="B212" s="108" t="s">
        <v>225</v>
      </c>
      <c r="C212" s="109">
        <v>46034</v>
      </c>
      <c r="D212" s="110" t="s">
        <v>226</v>
      </c>
      <c r="E212" s="110" t="s">
        <v>4254</v>
      </c>
      <c r="F212" s="110" t="s">
        <v>336</v>
      </c>
      <c r="G212" s="110">
        <v>12</v>
      </c>
      <c r="H212" s="110" t="s">
        <v>5003</v>
      </c>
      <c r="I212" s="110">
        <v>7989879097</v>
      </c>
      <c r="J212" s="110"/>
      <c r="K212" s="110" t="s">
        <v>5004</v>
      </c>
      <c r="L212" s="110" t="s">
        <v>5004</v>
      </c>
      <c r="M212" s="110">
        <v>16401</v>
      </c>
      <c r="N212" s="110">
        <v>8989</v>
      </c>
      <c r="O212" s="111"/>
      <c r="P212" s="112"/>
      <c r="Q212" s="110"/>
      <c r="R212" s="110" t="s">
        <v>340</v>
      </c>
      <c r="S212" s="110"/>
      <c r="T212" s="110">
        <f t="shared" si="3"/>
        <v>8989</v>
      </c>
      <c r="U212" s="110"/>
      <c r="V212" s="110"/>
      <c r="W212" s="110"/>
      <c r="X212" s="110" t="s">
        <v>388</v>
      </c>
      <c r="Y212" s="114" t="s">
        <v>698</v>
      </c>
      <c r="AA212" s="113" t="s">
        <v>11</v>
      </c>
      <c r="AB212" s="113" t="s">
        <v>4464</v>
      </c>
    </row>
    <row r="213" spans="1:28">
      <c r="A213" s="108">
        <v>212</v>
      </c>
      <c r="B213" s="108" t="s">
        <v>225</v>
      </c>
      <c r="C213" s="109">
        <v>46034</v>
      </c>
      <c r="D213" s="110" t="s">
        <v>226</v>
      </c>
      <c r="E213" s="110" t="s">
        <v>4254</v>
      </c>
      <c r="F213" s="110" t="s">
        <v>336</v>
      </c>
      <c r="G213" s="110">
        <v>12</v>
      </c>
      <c r="H213" s="110" t="s">
        <v>5005</v>
      </c>
      <c r="I213" s="110">
        <v>6305638355</v>
      </c>
      <c r="J213" s="110"/>
      <c r="K213" s="110" t="s">
        <v>5006</v>
      </c>
      <c r="L213" s="110" t="s">
        <v>5006</v>
      </c>
      <c r="M213" s="110">
        <v>4210</v>
      </c>
      <c r="N213" s="110">
        <v>3215</v>
      </c>
      <c r="O213" s="111"/>
      <c r="P213" s="112"/>
      <c r="Q213" s="110"/>
      <c r="R213" s="110" t="s">
        <v>340</v>
      </c>
      <c r="S213" s="110"/>
      <c r="T213" s="110">
        <f t="shared" si="3"/>
        <v>3215</v>
      </c>
      <c r="U213" s="110"/>
      <c r="V213" s="110"/>
      <c r="W213" s="110"/>
      <c r="X213" s="110" t="s">
        <v>342</v>
      </c>
      <c r="Y213" s="114" t="s">
        <v>698</v>
      </c>
      <c r="AA213" s="113" t="s">
        <v>11</v>
      </c>
      <c r="AB213" s="113" t="s">
        <v>4464</v>
      </c>
    </row>
    <row r="214" spans="1:28">
      <c r="A214" s="108">
        <v>213</v>
      </c>
      <c r="B214" s="108" t="s">
        <v>225</v>
      </c>
      <c r="C214" s="109">
        <v>46034</v>
      </c>
      <c r="D214" s="110" t="s">
        <v>226</v>
      </c>
      <c r="E214" s="110" t="s">
        <v>4254</v>
      </c>
      <c r="F214" s="110" t="s">
        <v>336</v>
      </c>
      <c r="G214" s="110">
        <v>12</v>
      </c>
      <c r="H214" s="110" t="s">
        <v>5007</v>
      </c>
      <c r="I214" s="110">
        <v>8688002674</v>
      </c>
      <c r="J214" s="110"/>
      <c r="K214" s="110" t="s">
        <v>5008</v>
      </c>
      <c r="L214" s="110" t="s">
        <v>5008</v>
      </c>
      <c r="M214" s="110">
        <v>3740</v>
      </c>
      <c r="N214" s="110">
        <v>1742</v>
      </c>
      <c r="O214" s="111">
        <v>46070</v>
      </c>
      <c r="P214" s="112" t="s">
        <v>340</v>
      </c>
      <c r="Q214" s="110" t="s">
        <v>52</v>
      </c>
      <c r="R214" s="110" t="s">
        <v>340</v>
      </c>
      <c r="S214" s="110">
        <v>1700</v>
      </c>
      <c r="T214" s="110">
        <f t="shared" si="3"/>
        <v>42</v>
      </c>
      <c r="U214" s="111">
        <v>46070</v>
      </c>
      <c r="V214" s="110" t="s">
        <v>5009</v>
      </c>
      <c r="W214" s="110" t="s">
        <v>54</v>
      </c>
      <c r="X214" s="110" t="s">
        <v>342</v>
      </c>
      <c r="Y214" s="114" t="s">
        <v>370</v>
      </c>
      <c r="AA214" s="113" t="s">
        <v>4983</v>
      </c>
      <c r="AB214" s="113" t="s">
        <v>4991</v>
      </c>
    </row>
    <row r="215" spans="1:28">
      <c r="A215" s="108">
        <v>214</v>
      </c>
      <c r="B215" s="108" t="s">
        <v>5010</v>
      </c>
      <c r="C215" s="109">
        <v>46034</v>
      </c>
      <c r="D215" s="110" t="s">
        <v>28</v>
      </c>
      <c r="E215" s="110" t="s">
        <v>4254</v>
      </c>
      <c r="F215" s="110" t="s">
        <v>30</v>
      </c>
      <c r="G215" s="110">
        <v>22</v>
      </c>
      <c r="H215" s="110" t="s">
        <v>5011</v>
      </c>
      <c r="I215" s="110" t="s">
        <v>5012</v>
      </c>
      <c r="J215" s="110"/>
      <c r="K215" s="110" t="s">
        <v>5013</v>
      </c>
      <c r="L215" s="110" t="s">
        <v>5013</v>
      </c>
      <c r="M215" s="110">
        <v>14386.27</v>
      </c>
      <c r="N215" s="110">
        <v>14386.27</v>
      </c>
      <c r="O215" s="111"/>
      <c r="P215" s="112" t="s">
        <v>27</v>
      </c>
      <c r="Q215" s="110" t="s">
        <v>35</v>
      </c>
      <c r="R215" s="110" t="s">
        <v>27</v>
      </c>
      <c r="S215" s="110"/>
      <c r="T215" s="110">
        <f t="shared" si="3"/>
        <v>14386.27</v>
      </c>
      <c r="U215" s="110"/>
      <c r="V215" s="110"/>
      <c r="W215" s="110"/>
      <c r="X215" s="110" t="s">
        <v>69</v>
      </c>
      <c r="Y215" s="114" t="s">
        <v>69</v>
      </c>
      <c r="AA215" s="113" t="e">
        <v>#N/A</v>
      </c>
      <c r="AB215" s="113" t="e">
        <v>#N/A</v>
      </c>
    </row>
    <row r="216" spans="1:28">
      <c r="A216" s="108">
        <v>215</v>
      </c>
      <c r="B216" s="108" t="s">
        <v>225</v>
      </c>
      <c r="C216" s="109">
        <v>46033</v>
      </c>
      <c r="D216" s="110" t="s">
        <v>226</v>
      </c>
      <c r="E216" s="110" t="s">
        <v>4254</v>
      </c>
      <c r="F216" s="110" t="s">
        <v>767</v>
      </c>
      <c r="G216" s="110">
        <v>11</v>
      </c>
      <c r="H216" s="110" t="s">
        <v>5014</v>
      </c>
      <c r="I216" s="110">
        <v>9848914444</v>
      </c>
      <c r="J216" s="110"/>
      <c r="K216" s="110" t="s">
        <v>5015</v>
      </c>
      <c r="L216" s="110" t="s">
        <v>5015</v>
      </c>
      <c r="M216" s="110">
        <v>102814</v>
      </c>
      <c r="N216" s="110">
        <v>102814</v>
      </c>
      <c r="O216" s="111">
        <v>46087</v>
      </c>
      <c r="P216" s="112" t="s">
        <v>5016</v>
      </c>
      <c r="Q216" s="110" t="s">
        <v>52</v>
      </c>
      <c r="R216" s="110" t="s">
        <v>772</v>
      </c>
      <c r="S216" s="110">
        <f>20000+40000+42814</f>
        <v>102814</v>
      </c>
      <c r="T216" s="110">
        <f t="shared" si="3"/>
        <v>0</v>
      </c>
      <c r="U216" s="111">
        <v>46087</v>
      </c>
      <c r="V216" s="110" t="s">
        <v>5017</v>
      </c>
      <c r="W216" s="110" t="s">
        <v>54</v>
      </c>
      <c r="X216" s="114" t="s">
        <v>774</v>
      </c>
      <c r="Y216" s="114" t="s">
        <v>5018</v>
      </c>
      <c r="AA216" s="113" t="s">
        <v>4472</v>
      </c>
      <c r="AB216" s="113" t="s">
        <v>4461</v>
      </c>
    </row>
    <row r="217" spans="1:28">
      <c r="A217" s="108">
        <v>216</v>
      </c>
      <c r="B217" s="108" t="s">
        <v>225</v>
      </c>
      <c r="C217" s="109">
        <v>46034</v>
      </c>
      <c r="D217" s="110" t="s">
        <v>933</v>
      </c>
      <c r="E217" s="110" t="s">
        <v>4254</v>
      </c>
      <c r="F217" s="110" t="s">
        <v>5019</v>
      </c>
      <c r="G217" s="110">
        <v>12</v>
      </c>
      <c r="H217" s="110" t="s">
        <v>5020</v>
      </c>
      <c r="I217" s="110">
        <v>9492471495</v>
      </c>
      <c r="J217" s="110"/>
      <c r="K217" s="110" t="s">
        <v>5021</v>
      </c>
      <c r="L217" s="110" t="s">
        <v>5021</v>
      </c>
      <c r="M217" s="110">
        <v>869</v>
      </c>
      <c r="N217" s="110">
        <v>869</v>
      </c>
      <c r="O217" s="111"/>
      <c r="P217" s="112"/>
      <c r="Q217" s="110"/>
      <c r="R217" s="110" t="s">
        <v>972</v>
      </c>
      <c r="S217" s="110"/>
      <c r="T217" s="110">
        <f t="shared" si="3"/>
        <v>869</v>
      </c>
      <c r="U217" s="110"/>
      <c r="V217" s="110"/>
      <c r="W217" s="110"/>
      <c r="X217" s="110"/>
      <c r="Y217" s="114"/>
      <c r="AA217" s="113" t="e">
        <v>#N/A</v>
      </c>
      <c r="AB217" s="113" t="e">
        <v>#N/A</v>
      </c>
    </row>
    <row r="218" spans="1:28">
      <c r="A218" s="108">
        <v>217</v>
      </c>
      <c r="B218" s="108" t="s">
        <v>225</v>
      </c>
      <c r="C218" s="109">
        <v>46034</v>
      </c>
      <c r="D218" s="110" t="s">
        <v>933</v>
      </c>
      <c r="E218" s="110" t="s">
        <v>4254</v>
      </c>
      <c r="F218" s="110" t="s">
        <v>5019</v>
      </c>
      <c r="G218" s="110">
        <v>12</v>
      </c>
      <c r="H218" s="110" t="s">
        <v>5022</v>
      </c>
      <c r="I218" s="110">
        <v>7661880188</v>
      </c>
      <c r="J218" s="110"/>
      <c r="K218" s="110" t="s">
        <v>5023</v>
      </c>
      <c r="L218" s="110" t="s">
        <v>5023</v>
      </c>
      <c r="M218" s="110">
        <v>1330</v>
      </c>
      <c r="N218" s="110">
        <v>1330</v>
      </c>
      <c r="O218" s="111"/>
      <c r="P218" s="112"/>
      <c r="Q218" s="110"/>
      <c r="R218" s="110" t="s">
        <v>972</v>
      </c>
      <c r="S218" s="110"/>
      <c r="T218" s="110">
        <f t="shared" si="3"/>
        <v>1330</v>
      </c>
      <c r="U218" s="110"/>
      <c r="V218" s="110"/>
      <c r="W218" s="110"/>
      <c r="X218" s="110"/>
      <c r="Y218" s="114"/>
      <c r="AA218" s="113" t="e">
        <v>#N/A</v>
      </c>
      <c r="AB218" s="113" t="e">
        <v>#N/A</v>
      </c>
    </row>
    <row r="219" spans="1:28">
      <c r="A219" s="108">
        <v>218</v>
      </c>
      <c r="B219" s="108" t="s">
        <v>225</v>
      </c>
      <c r="C219" s="109">
        <v>46034</v>
      </c>
      <c r="D219" s="110" t="s">
        <v>933</v>
      </c>
      <c r="E219" s="110" t="s">
        <v>4254</v>
      </c>
      <c r="F219" s="110" t="s">
        <v>5019</v>
      </c>
      <c r="G219" s="110">
        <v>12</v>
      </c>
      <c r="H219" s="110" t="s">
        <v>5024</v>
      </c>
      <c r="I219" s="110">
        <v>9701487475</v>
      </c>
      <c r="J219" s="110"/>
      <c r="K219" s="110" t="s">
        <v>5025</v>
      </c>
      <c r="L219" s="110" t="s">
        <v>5025</v>
      </c>
      <c r="M219" s="110">
        <v>561</v>
      </c>
      <c r="N219" s="110">
        <v>561</v>
      </c>
      <c r="O219" s="111"/>
      <c r="P219" s="112"/>
      <c r="Q219" s="110"/>
      <c r="R219" s="110" t="s">
        <v>972</v>
      </c>
      <c r="S219" s="110"/>
      <c r="T219" s="110">
        <f t="shared" si="3"/>
        <v>561</v>
      </c>
      <c r="U219" s="110"/>
      <c r="V219" s="110"/>
      <c r="W219" s="110"/>
      <c r="X219" s="110"/>
      <c r="Y219" s="114"/>
      <c r="AA219" s="113" t="e">
        <v>#N/A</v>
      </c>
      <c r="AB219" s="113" t="e">
        <v>#N/A</v>
      </c>
    </row>
    <row r="220" spans="1:28">
      <c r="A220" s="108">
        <v>219</v>
      </c>
      <c r="B220" s="108" t="s">
        <v>225</v>
      </c>
      <c r="C220" s="109">
        <v>46034</v>
      </c>
      <c r="D220" s="110" t="s">
        <v>933</v>
      </c>
      <c r="E220" s="110" t="s">
        <v>4254</v>
      </c>
      <c r="F220" s="110" t="s">
        <v>5019</v>
      </c>
      <c r="G220" s="110">
        <v>12</v>
      </c>
      <c r="H220" s="110" t="s">
        <v>5026</v>
      </c>
      <c r="I220" s="110">
        <v>9912281816</v>
      </c>
      <c r="J220" s="110"/>
      <c r="K220" s="110" t="s">
        <v>5027</v>
      </c>
      <c r="L220" s="110" t="s">
        <v>5027</v>
      </c>
      <c r="M220" s="110">
        <v>592</v>
      </c>
      <c r="N220" s="110">
        <v>592</v>
      </c>
      <c r="O220" s="111"/>
      <c r="P220" s="112"/>
      <c r="Q220" s="110"/>
      <c r="R220" s="110" t="s">
        <v>972</v>
      </c>
      <c r="S220" s="110"/>
      <c r="T220" s="110">
        <f t="shared" si="3"/>
        <v>592</v>
      </c>
      <c r="U220" s="110"/>
      <c r="V220" s="110"/>
      <c r="W220" s="110"/>
      <c r="X220" s="110"/>
      <c r="Y220" s="114"/>
      <c r="AA220" s="113" t="e">
        <v>#N/A</v>
      </c>
      <c r="AB220" s="113" t="e">
        <v>#N/A</v>
      </c>
    </row>
    <row r="221" spans="1:28">
      <c r="A221" s="108">
        <v>220</v>
      </c>
      <c r="B221" s="108" t="s">
        <v>225</v>
      </c>
      <c r="C221" s="109">
        <v>46034</v>
      </c>
      <c r="D221" s="110" t="s">
        <v>933</v>
      </c>
      <c r="E221" s="110" t="s">
        <v>4254</v>
      </c>
      <c r="F221" s="110" t="s">
        <v>5019</v>
      </c>
      <c r="G221" s="110">
        <v>12</v>
      </c>
      <c r="H221" s="110" t="s">
        <v>5028</v>
      </c>
      <c r="I221" s="110">
        <v>9440934750</v>
      </c>
      <c r="J221" s="110"/>
      <c r="K221" s="110" t="s">
        <v>5029</v>
      </c>
      <c r="L221" s="110" t="s">
        <v>5029</v>
      </c>
      <c r="M221" s="110">
        <v>1346</v>
      </c>
      <c r="N221" s="110">
        <v>1346</v>
      </c>
      <c r="O221" s="111"/>
      <c r="P221" s="112"/>
      <c r="Q221" s="110"/>
      <c r="R221" s="110" t="s">
        <v>972</v>
      </c>
      <c r="S221" s="110"/>
      <c r="T221" s="110">
        <f t="shared" si="3"/>
        <v>1346</v>
      </c>
      <c r="U221" s="110"/>
      <c r="V221" s="110"/>
      <c r="W221" s="110"/>
      <c r="X221" s="110"/>
      <c r="Y221" s="114"/>
      <c r="AA221" s="113" t="e">
        <v>#N/A</v>
      </c>
      <c r="AB221" s="113" t="e">
        <v>#N/A</v>
      </c>
    </row>
    <row r="222" spans="1:28">
      <c r="A222" s="108">
        <v>221</v>
      </c>
      <c r="B222" s="108" t="s">
        <v>225</v>
      </c>
      <c r="C222" s="109">
        <v>46034</v>
      </c>
      <c r="D222" s="110" t="s">
        <v>933</v>
      </c>
      <c r="E222" s="110" t="s">
        <v>4254</v>
      </c>
      <c r="F222" s="110" t="s">
        <v>5019</v>
      </c>
      <c r="G222" s="110">
        <v>12</v>
      </c>
      <c r="H222" s="110" t="s">
        <v>2802</v>
      </c>
      <c r="I222" s="110">
        <v>9059893981</v>
      </c>
      <c r="J222" s="110"/>
      <c r="K222" s="110" t="s">
        <v>5030</v>
      </c>
      <c r="L222" s="110" t="s">
        <v>5030</v>
      </c>
      <c r="M222" s="110">
        <v>3058</v>
      </c>
      <c r="N222" s="110">
        <v>3058</v>
      </c>
      <c r="O222" s="111"/>
      <c r="P222" s="112"/>
      <c r="Q222" s="110"/>
      <c r="R222" s="110" t="s">
        <v>972</v>
      </c>
      <c r="S222" s="110"/>
      <c r="T222" s="110">
        <f t="shared" si="3"/>
        <v>3058</v>
      </c>
      <c r="U222" s="110"/>
      <c r="V222" s="110"/>
      <c r="W222" s="110"/>
      <c r="X222" s="110"/>
      <c r="Y222" s="114"/>
      <c r="AA222" s="113" t="e">
        <v>#N/A</v>
      </c>
      <c r="AB222" s="113" t="e">
        <v>#N/A</v>
      </c>
    </row>
    <row r="223" spans="1:28">
      <c r="A223" s="108">
        <v>222</v>
      </c>
      <c r="B223" s="108" t="s">
        <v>225</v>
      </c>
      <c r="C223" s="109">
        <v>46034</v>
      </c>
      <c r="D223" s="110" t="s">
        <v>933</v>
      </c>
      <c r="E223" s="110" t="s">
        <v>4254</v>
      </c>
      <c r="F223" s="110" t="s">
        <v>5019</v>
      </c>
      <c r="G223" s="110">
        <v>12</v>
      </c>
      <c r="H223" s="110" t="s">
        <v>5031</v>
      </c>
      <c r="I223" s="110">
        <v>7799650660</v>
      </c>
      <c r="J223" s="110"/>
      <c r="K223" s="110" t="s">
        <v>5032</v>
      </c>
      <c r="L223" s="110" t="s">
        <v>5032</v>
      </c>
      <c r="M223" s="110">
        <v>2528</v>
      </c>
      <c r="N223" s="110">
        <v>2528</v>
      </c>
      <c r="O223" s="111"/>
      <c r="P223" s="112"/>
      <c r="Q223" s="110"/>
      <c r="R223" s="110" t="s">
        <v>972</v>
      </c>
      <c r="S223" s="110"/>
      <c r="T223" s="110">
        <f t="shared" si="3"/>
        <v>2528</v>
      </c>
      <c r="U223" s="110"/>
      <c r="V223" s="110"/>
      <c r="W223" s="110"/>
      <c r="X223" s="110"/>
      <c r="Y223" s="114"/>
      <c r="AA223" s="113" t="e">
        <v>#N/A</v>
      </c>
      <c r="AB223" s="113" t="e">
        <v>#N/A</v>
      </c>
    </row>
    <row r="224" spans="1:28">
      <c r="A224" s="108">
        <v>223</v>
      </c>
      <c r="B224" s="108" t="s">
        <v>225</v>
      </c>
      <c r="C224" s="109">
        <v>46034</v>
      </c>
      <c r="D224" s="110" t="s">
        <v>933</v>
      </c>
      <c r="E224" s="110" t="s">
        <v>4254</v>
      </c>
      <c r="F224" s="110" t="s">
        <v>5019</v>
      </c>
      <c r="G224" s="110">
        <v>12</v>
      </c>
      <c r="H224" s="110" t="s">
        <v>5033</v>
      </c>
      <c r="I224" s="110">
        <v>8520015645</v>
      </c>
      <c r="J224" s="110"/>
      <c r="K224" s="110" t="s">
        <v>5034</v>
      </c>
      <c r="L224" s="110" t="s">
        <v>5034</v>
      </c>
      <c r="M224" s="110">
        <v>10874</v>
      </c>
      <c r="N224" s="110">
        <v>10874</v>
      </c>
      <c r="O224" s="111"/>
      <c r="P224" s="112"/>
      <c r="Q224" s="110"/>
      <c r="R224" s="110" t="s">
        <v>972</v>
      </c>
      <c r="S224" s="110"/>
      <c r="T224" s="110">
        <f t="shared" si="3"/>
        <v>10874</v>
      </c>
      <c r="U224" s="110"/>
      <c r="V224" s="110"/>
      <c r="W224" s="110"/>
      <c r="X224" s="110"/>
      <c r="Y224" s="114"/>
      <c r="AA224" s="113" t="e">
        <v>#N/A</v>
      </c>
      <c r="AB224" s="113" t="e">
        <v>#N/A</v>
      </c>
    </row>
    <row r="225" spans="1:28">
      <c r="A225" s="108">
        <v>224</v>
      </c>
      <c r="B225" s="108" t="s">
        <v>225</v>
      </c>
      <c r="C225" s="109">
        <v>46034</v>
      </c>
      <c r="D225" s="110" t="s">
        <v>933</v>
      </c>
      <c r="E225" s="110" t="s">
        <v>4254</v>
      </c>
      <c r="F225" s="110" t="s">
        <v>5019</v>
      </c>
      <c r="G225" s="110">
        <v>12</v>
      </c>
      <c r="H225" s="110" t="s">
        <v>5035</v>
      </c>
      <c r="I225" s="110">
        <v>8309428352</v>
      </c>
      <c r="J225" s="110"/>
      <c r="K225" s="110" t="s">
        <v>5036</v>
      </c>
      <c r="L225" s="110" t="s">
        <v>5036</v>
      </c>
      <c r="M225" s="110">
        <v>2618</v>
      </c>
      <c r="N225" s="110">
        <v>2618</v>
      </c>
      <c r="O225" s="111"/>
      <c r="P225" s="112"/>
      <c r="Q225" s="110"/>
      <c r="R225" s="110" t="s">
        <v>972</v>
      </c>
      <c r="S225" s="110"/>
      <c r="T225" s="110">
        <f t="shared" si="3"/>
        <v>2618</v>
      </c>
      <c r="U225" s="110"/>
      <c r="V225" s="110"/>
      <c r="W225" s="110"/>
      <c r="X225" s="110"/>
      <c r="Y225" s="114"/>
      <c r="AA225" s="113" t="e">
        <v>#N/A</v>
      </c>
      <c r="AB225" s="113" t="e">
        <v>#N/A</v>
      </c>
    </row>
    <row r="226" spans="1:28">
      <c r="A226" s="108">
        <v>225</v>
      </c>
      <c r="B226" s="108" t="s">
        <v>225</v>
      </c>
      <c r="C226" s="109">
        <v>46034</v>
      </c>
      <c r="D226" s="110" t="s">
        <v>933</v>
      </c>
      <c r="E226" s="110" t="s">
        <v>4254</v>
      </c>
      <c r="F226" s="110" t="s">
        <v>5037</v>
      </c>
      <c r="G226" s="110">
        <v>12</v>
      </c>
      <c r="H226" s="110" t="s">
        <v>5038</v>
      </c>
      <c r="I226" s="110">
        <v>8885649995</v>
      </c>
      <c r="J226" s="110"/>
      <c r="K226" s="110" t="s">
        <v>5039</v>
      </c>
      <c r="L226" s="110" t="s">
        <v>5039</v>
      </c>
      <c r="M226" s="110">
        <v>2466</v>
      </c>
      <c r="N226" s="110">
        <v>2466</v>
      </c>
      <c r="O226" s="111"/>
      <c r="P226" s="112"/>
      <c r="Q226" s="110"/>
      <c r="R226" s="110" t="s">
        <v>1398</v>
      </c>
      <c r="S226" s="110"/>
      <c r="T226" s="110">
        <f t="shared" si="3"/>
        <v>2466</v>
      </c>
      <c r="U226" s="110"/>
      <c r="V226" s="110"/>
      <c r="W226" s="110"/>
      <c r="X226" s="110"/>
      <c r="Y226" s="114"/>
      <c r="AA226" s="113" t="e">
        <v>#N/A</v>
      </c>
      <c r="AB226" s="113" t="e">
        <v>#N/A</v>
      </c>
    </row>
    <row r="227" spans="1:28">
      <c r="A227" s="108">
        <v>226</v>
      </c>
      <c r="B227" s="108" t="s">
        <v>225</v>
      </c>
      <c r="C227" s="109">
        <v>46034</v>
      </c>
      <c r="D227" s="110" t="s">
        <v>933</v>
      </c>
      <c r="E227" s="110" t="s">
        <v>4254</v>
      </c>
      <c r="F227" s="110" t="s">
        <v>5037</v>
      </c>
      <c r="G227" s="110">
        <v>12</v>
      </c>
      <c r="H227" s="110" t="s">
        <v>5040</v>
      </c>
      <c r="I227" s="110">
        <v>8096449123</v>
      </c>
      <c r="J227" s="110"/>
      <c r="K227" s="110" t="s">
        <v>5041</v>
      </c>
      <c r="L227" s="110" t="s">
        <v>5041</v>
      </c>
      <c r="M227" s="110">
        <v>100</v>
      </c>
      <c r="N227" s="110">
        <v>100</v>
      </c>
      <c r="O227" s="111"/>
      <c r="P227" s="112"/>
      <c r="Q227" s="110"/>
      <c r="R227" s="110" t="s">
        <v>1398</v>
      </c>
      <c r="S227" s="110"/>
      <c r="T227" s="110">
        <f t="shared" si="3"/>
        <v>100</v>
      </c>
      <c r="U227" s="110"/>
      <c r="V227" s="110"/>
      <c r="W227" s="110"/>
      <c r="X227" s="110"/>
      <c r="Y227" s="114"/>
      <c r="AA227" s="113" t="e">
        <v>#N/A</v>
      </c>
      <c r="AB227" s="113" t="e">
        <v>#N/A</v>
      </c>
    </row>
    <row r="228" spans="1:28">
      <c r="A228" s="108">
        <v>227</v>
      </c>
      <c r="B228" s="108" t="s">
        <v>225</v>
      </c>
      <c r="C228" s="109">
        <v>46034</v>
      </c>
      <c r="D228" s="110" t="s">
        <v>933</v>
      </c>
      <c r="E228" s="110" t="s">
        <v>4254</v>
      </c>
      <c r="F228" s="110" t="s">
        <v>5037</v>
      </c>
      <c r="G228" s="110">
        <v>12</v>
      </c>
      <c r="H228" s="110" t="s">
        <v>5040</v>
      </c>
      <c r="I228" s="110">
        <v>8096449123</v>
      </c>
      <c r="J228" s="110"/>
      <c r="K228" s="110" t="s">
        <v>5042</v>
      </c>
      <c r="L228" s="110" t="s">
        <v>5042</v>
      </c>
      <c r="M228" s="110">
        <v>579</v>
      </c>
      <c r="N228" s="110">
        <v>100</v>
      </c>
      <c r="O228" s="111"/>
      <c r="P228" s="112"/>
      <c r="Q228" s="110"/>
      <c r="R228" s="110" t="s">
        <v>1398</v>
      </c>
      <c r="S228" s="110"/>
      <c r="T228" s="110">
        <f t="shared" si="3"/>
        <v>100</v>
      </c>
      <c r="U228" s="110"/>
      <c r="V228" s="110"/>
      <c r="W228" s="110"/>
      <c r="X228" s="110"/>
      <c r="Y228" s="114"/>
      <c r="AA228" s="113" t="e">
        <v>#N/A</v>
      </c>
      <c r="AB228" s="113" t="e">
        <v>#N/A</v>
      </c>
    </row>
    <row r="229" spans="1:28">
      <c r="A229" s="108">
        <v>228</v>
      </c>
      <c r="B229" s="108" t="s">
        <v>225</v>
      </c>
      <c r="C229" s="109">
        <v>46034</v>
      </c>
      <c r="D229" s="110" t="s">
        <v>933</v>
      </c>
      <c r="E229" s="110" t="s">
        <v>4254</v>
      </c>
      <c r="F229" s="110" t="s">
        <v>5037</v>
      </c>
      <c r="G229" s="110">
        <v>12</v>
      </c>
      <c r="H229" s="110" t="s">
        <v>5043</v>
      </c>
      <c r="I229" s="110">
        <v>8686465465</v>
      </c>
      <c r="J229" s="110"/>
      <c r="K229" s="110" t="s">
        <v>5044</v>
      </c>
      <c r="L229" s="110" t="s">
        <v>5044</v>
      </c>
      <c r="M229" s="110">
        <v>4311</v>
      </c>
      <c r="N229" s="110">
        <v>4311</v>
      </c>
      <c r="O229" s="111"/>
      <c r="P229" s="112"/>
      <c r="Q229" s="110"/>
      <c r="R229" s="110" t="s">
        <v>1398</v>
      </c>
      <c r="S229" s="110"/>
      <c r="T229" s="110">
        <f t="shared" si="3"/>
        <v>4311</v>
      </c>
      <c r="U229" s="110"/>
      <c r="V229" s="110"/>
      <c r="W229" s="110"/>
      <c r="X229" s="110"/>
      <c r="Y229" s="114"/>
      <c r="AA229" s="113" t="e">
        <v>#N/A</v>
      </c>
      <c r="AB229" s="113" t="e">
        <v>#N/A</v>
      </c>
    </row>
    <row r="230" spans="1:28">
      <c r="A230" s="108">
        <v>229</v>
      </c>
      <c r="B230" s="108" t="s">
        <v>225</v>
      </c>
      <c r="C230" s="109">
        <v>46034</v>
      </c>
      <c r="D230" s="110" t="s">
        <v>933</v>
      </c>
      <c r="E230" s="110" t="s">
        <v>4254</v>
      </c>
      <c r="F230" s="110" t="s">
        <v>5037</v>
      </c>
      <c r="G230" s="110">
        <v>12</v>
      </c>
      <c r="H230" s="110" t="s">
        <v>5045</v>
      </c>
      <c r="I230" s="110">
        <v>7893460819</v>
      </c>
      <c r="J230" s="110"/>
      <c r="K230" s="110" t="s">
        <v>5046</v>
      </c>
      <c r="L230" s="110" t="s">
        <v>5046</v>
      </c>
      <c r="M230" s="110">
        <v>1109</v>
      </c>
      <c r="N230" s="110">
        <v>1109</v>
      </c>
      <c r="O230" s="111"/>
      <c r="P230" s="112"/>
      <c r="Q230" s="110"/>
      <c r="R230" s="110" t="s">
        <v>1398</v>
      </c>
      <c r="S230" s="110"/>
      <c r="T230" s="110">
        <f t="shared" si="3"/>
        <v>1109</v>
      </c>
      <c r="U230" s="110"/>
      <c r="V230" s="110"/>
      <c r="W230" s="110"/>
      <c r="X230" s="110"/>
      <c r="Y230" s="114"/>
      <c r="AA230" s="113" t="e">
        <v>#N/A</v>
      </c>
      <c r="AB230" s="113" t="e">
        <v>#N/A</v>
      </c>
    </row>
    <row r="231" spans="1:28">
      <c r="A231" s="108">
        <v>230</v>
      </c>
      <c r="B231" s="108" t="s">
        <v>225</v>
      </c>
      <c r="C231" s="109">
        <v>46034</v>
      </c>
      <c r="D231" s="110" t="s">
        <v>933</v>
      </c>
      <c r="E231" s="110" t="s">
        <v>4254</v>
      </c>
      <c r="F231" s="110" t="s">
        <v>5037</v>
      </c>
      <c r="G231" s="110">
        <v>12</v>
      </c>
      <c r="H231" s="110" t="s">
        <v>5047</v>
      </c>
      <c r="I231" s="110">
        <v>8050416452</v>
      </c>
      <c r="J231" s="110"/>
      <c r="K231" s="110" t="s">
        <v>5048</v>
      </c>
      <c r="L231" s="110" t="s">
        <v>5048</v>
      </c>
      <c r="M231" s="110">
        <v>2800</v>
      </c>
      <c r="N231" s="110">
        <v>2500</v>
      </c>
      <c r="O231" s="111"/>
      <c r="P231" s="112"/>
      <c r="Q231" s="110"/>
      <c r="R231" s="110" t="s">
        <v>1398</v>
      </c>
      <c r="S231" s="110">
        <v>2500</v>
      </c>
      <c r="T231" s="110">
        <f t="shared" si="3"/>
        <v>0</v>
      </c>
      <c r="U231" s="111">
        <v>46045</v>
      </c>
      <c r="V231" s="110" t="s">
        <v>5049</v>
      </c>
      <c r="W231" s="110"/>
      <c r="X231" s="110"/>
      <c r="Y231" s="114"/>
      <c r="AA231" s="113" t="e">
        <v>#N/A</v>
      </c>
      <c r="AB231" s="113" t="e">
        <v>#N/A</v>
      </c>
    </row>
    <row r="232" spans="1:28">
      <c r="A232" s="108">
        <v>231</v>
      </c>
      <c r="B232" s="108"/>
      <c r="C232" s="109">
        <v>46035</v>
      </c>
      <c r="D232" s="110" t="s">
        <v>933</v>
      </c>
      <c r="E232" s="110" t="s">
        <v>4254</v>
      </c>
      <c r="F232" s="110" t="s">
        <v>5019</v>
      </c>
      <c r="G232" s="110">
        <v>13</v>
      </c>
      <c r="H232" s="110" t="s">
        <v>5050</v>
      </c>
      <c r="I232" s="110" t="s">
        <v>5051</v>
      </c>
      <c r="J232" s="110"/>
      <c r="K232" s="110" t="s">
        <v>5052</v>
      </c>
      <c r="L232" s="110" t="s">
        <v>5052</v>
      </c>
      <c r="M232" s="110">
        <v>701</v>
      </c>
      <c r="N232" s="110">
        <v>701</v>
      </c>
      <c r="O232" s="111"/>
      <c r="P232" s="112"/>
      <c r="Q232" s="110"/>
      <c r="R232" s="110" t="s">
        <v>972</v>
      </c>
      <c r="S232" s="110"/>
      <c r="T232" s="110">
        <f t="shared" si="3"/>
        <v>701</v>
      </c>
      <c r="U232" s="110"/>
      <c r="V232" s="110"/>
      <c r="W232" s="110"/>
      <c r="X232" s="110"/>
      <c r="Y232" s="114"/>
      <c r="AA232" s="113" t="e">
        <v>#N/A</v>
      </c>
      <c r="AB232" s="113" t="e">
        <v>#N/A</v>
      </c>
    </row>
    <row r="233" spans="1:28">
      <c r="A233" s="108">
        <v>232</v>
      </c>
      <c r="B233" s="108"/>
      <c r="C233" s="109">
        <v>46035</v>
      </c>
      <c r="D233" s="110" t="s">
        <v>933</v>
      </c>
      <c r="E233" s="110" t="s">
        <v>4254</v>
      </c>
      <c r="F233" s="110" t="s">
        <v>5019</v>
      </c>
      <c r="G233" s="110">
        <v>13</v>
      </c>
      <c r="H233" s="110" t="s">
        <v>5053</v>
      </c>
      <c r="I233" s="110" t="s">
        <v>5054</v>
      </c>
      <c r="J233" s="110"/>
      <c r="K233" s="110" t="s">
        <v>5055</v>
      </c>
      <c r="L233" s="110" t="s">
        <v>5055</v>
      </c>
      <c r="M233" s="110">
        <v>1796</v>
      </c>
      <c r="N233" s="110">
        <v>1796</v>
      </c>
      <c r="O233" s="111"/>
      <c r="P233" s="112"/>
      <c r="Q233" s="110"/>
      <c r="R233" s="110" t="s">
        <v>972</v>
      </c>
      <c r="S233" s="110"/>
      <c r="T233" s="110">
        <f t="shared" si="3"/>
        <v>1796</v>
      </c>
      <c r="U233" s="110"/>
      <c r="V233" s="110"/>
      <c r="W233" s="110"/>
      <c r="X233" s="110"/>
      <c r="Y233" s="114"/>
      <c r="AA233" s="113" t="e">
        <v>#N/A</v>
      </c>
      <c r="AB233" s="113" t="e">
        <v>#N/A</v>
      </c>
    </row>
    <row r="234" spans="1:28">
      <c r="A234" s="108">
        <v>233</v>
      </c>
      <c r="B234" s="108"/>
      <c r="C234" s="109">
        <v>46035</v>
      </c>
      <c r="D234" s="110" t="s">
        <v>933</v>
      </c>
      <c r="E234" s="110" t="s">
        <v>4254</v>
      </c>
      <c r="F234" s="110" t="s">
        <v>5019</v>
      </c>
      <c r="G234" s="110">
        <v>13</v>
      </c>
      <c r="H234" s="110" t="s">
        <v>5056</v>
      </c>
      <c r="I234" s="110" t="s">
        <v>5057</v>
      </c>
      <c r="J234" s="110"/>
      <c r="K234" s="110" t="s">
        <v>5058</v>
      </c>
      <c r="L234" s="110" t="s">
        <v>5058</v>
      </c>
      <c r="M234" s="110">
        <v>1832</v>
      </c>
      <c r="N234" s="110">
        <v>1832</v>
      </c>
      <c r="O234" s="111"/>
      <c r="P234" s="112"/>
      <c r="Q234" s="110"/>
      <c r="R234" s="110" t="s">
        <v>972</v>
      </c>
      <c r="S234" s="110"/>
      <c r="T234" s="110">
        <f t="shared" si="3"/>
        <v>1832</v>
      </c>
      <c r="U234" s="110"/>
      <c r="V234" s="110"/>
      <c r="W234" s="110"/>
      <c r="X234" s="110"/>
      <c r="Y234" s="114"/>
      <c r="AA234" s="113" t="e">
        <v>#N/A</v>
      </c>
      <c r="AB234" s="113" t="e">
        <v>#N/A</v>
      </c>
    </row>
    <row r="235" spans="1:28">
      <c r="A235" s="108">
        <v>234</v>
      </c>
      <c r="B235" s="108"/>
      <c r="C235" s="109">
        <v>46035</v>
      </c>
      <c r="D235" s="110" t="s">
        <v>933</v>
      </c>
      <c r="E235" s="110" t="s">
        <v>4254</v>
      </c>
      <c r="F235" s="110" t="s">
        <v>5019</v>
      </c>
      <c r="G235" s="110">
        <v>13</v>
      </c>
      <c r="H235" s="110" t="s">
        <v>5059</v>
      </c>
      <c r="I235" s="110" t="s">
        <v>5060</v>
      </c>
      <c r="J235" s="110"/>
      <c r="K235" s="110" t="s">
        <v>5061</v>
      </c>
      <c r="L235" s="110" t="s">
        <v>5061</v>
      </c>
      <c r="M235" s="110">
        <v>5170</v>
      </c>
      <c r="N235" s="110">
        <v>5170</v>
      </c>
      <c r="O235" s="111"/>
      <c r="P235" s="112"/>
      <c r="Q235" s="110"/>
      <c r="R235" s="110" t="s">
        <v>972</v>
      </c>
      <c r="S235" s="110"/>
      <c r="T235" s="110">
        <f t="shared" si="3"/>
        <v>5170</v>
      </c>
      <c r="U235" s="110"/>
      <c r="V235" s="110"/>
      <c r="W235" s="110"/>
      <c r="X235" s="110"/>
      <c r="Y235" s="114"/>
      <c r="AA235" s="113" t="e">
        <v>#N/A</v>
      </c>
      <c r="AB235" s="113" t="e">
        <v>#N/A</v>
      </c>
    </row>
    <row r="236" spans="1:28">
      <c r="A236" s="108">
        <v>235</v>
      </c>
      <c r="B236" s="108"/>
      <c r="C236" s="109">
        <v>46035</v>
      </c>
      <c r="D236" s="110" t="s">
        <v>933</v>
      </c>
      <c r="E236" s="110" t="s">
        <v>4254</v>
      </c>
      <c r="F236" s="110" t="s">
        <v>5019</v>
      </c>
      <c r="G236" s="110">
        <v>13</v>
      </c>
      <c r="H236" s="110" t="s">
        <v>5062</v>
      </c>
      <c r="I236" s="110" t="s">
        <v>5063</v>
      </c>
      <c r="J236" s="110"/>
      <c r="K236" s="110" t="s">
        <v>5064</v>
      </c>
      <c r="L236" s="110" t="s">
        <v>5064</v>
      </c>
      <c r="M236" s="110">
        <v>2303</v>
      </c>
      <c r="N236" s="110">
        <v>2303</v>
      </c>
      <c r="O236" s="111"/>
      <c r="P236" s="112"/>
      <c r="Q236" s="110"/>
      <c r="R236" s="110" t="s">
        <v>972</v>
      </c>
      <c r="S236" s="110"/>
      <c r="T236" s="110">
        <f t="shared" si="3"/>
        <v>2303</v>
      </c>
      <c r="U236" s="110"/>
      <c r="V236" s="110"/>
      <c r="W236" s="110"/>
      <c r="X236" s="110"/>
      <c r="Y236" s="114"/>
      <c r="AA236" s="113" t="e">
        <v>#N/A</v>
      </c>
      <c r="AB236" s="113" t="e">
        <v>#N/A</v>
      </c>
    </row>
    <row r="237" spans="1:28">
      <c r="A237" s="108">
        <v>236</v>
      </c>
      <c r="B237" s="108"/>
      <c r="C237" s="109">
        <v>46035</v>
      </c>
      <c r="D237" s="110" t="s">
        <v>933</v>
      </c>
      <c r="E237" s="110" t="s">
        <v>4254</v>
      </c>
      <c r="F237" s="110" t="s">
        <v>5019</v>
      </c>
      <c r="G237" s="110">
        <v>13</v>
      </c>
      <c r="H237" s="110" t="s">
        <v>5065</v>
      </c>
      <c r="I237" s="110" t="s">
        <v>5066</v>
      </c>
      <c r="J237" s="110"/>
      <c r="K237" s="110" t="s">
        <v>5067</v>
      </c>
      <c r="L237" s="110" t="s">
        <v>5067</v>
      </c>
      <c r="M237" s="110">
        <v>1279</v>
      </c>
      <c r="N237" s="110">
        <v>1279</v>
      </c>
      <c r="O237" s="111"/>
      <c r="P237" s="112"/>
      <c r="Q237" s="110"/>
      <c r="R237" s="110" t="s">
        <v>972</v>
      </c>
      <c r="S237" s="110"/>
      <c r="T237" s="110">
        <f t="shared" si="3"/>
        <v>1279</v>
      </c>
      <c r="U237" s="110"/>
      <c r="V237" s="110"/>
      <c r="W237" s="110"/>
      <c r="X237" s="110"/>
      <c r="Y237" s="114"/>
      <c r="AA237" s="113" t="e">
        <v>#N/A</v>
      </c>
      <c r="AB237" s="113" t="e">
        <v>#N/A</v>
      </c>
    </row>
    <row r="238" spans="1:28">
      <c r="A238" s="108">
        <v>237</v>
      </c>
      <c r="B238" s="108"/>
      <c r="C238" s="109">
        <v>46035</v>
      </c>
      <c r="D238" s="110" t="s">
        <v>933</v>
      </c>
      <c r="E238" s="110" t="s">
        <v>4254</v>
      </c>
      <c r="F238" s="110" t="s">
        <v>5019</v>
      </c>
      <c r="G238" s="110">
        <v>13</v>
      </c>
      <c r="H238" s="110" t="s">
        <v>5068</v>
      </c>
      <c r="I238" s="110" t="s">
        <v>5069</v>
      </c>
      <c r="J238" s="110"/>
      <c r="K238" s="110" t="s">
        <v>5070</v>
      </c>
      <c r="L238" s="110" t="s">
        <v>5070</v>
      </c>
      <c r="M238" s="110">
        <v>7086</v>
      </c>
      <c r="N238" s="110">
        <v>7086</v>
      </c>
      <c r="O238" s="111"/>
      <c r="P238" s="112"/>
      <c r="Q238" s="110"/>
      <c r="R238" s="110" t="s">
        <v>972</v>
      </c>
      <c r="S238" s="110"/>
      <c r="T238" s="110">
        <f t="shared" si="3"/>
        <v>7086</v>
      </c>
      <c r="U238" s="110"/>
      <c r="V238" s="110"/>
      <c r="W238" s="110"/>
      <c r="X238" s="110"/>
      <c r="Y238" s="114"/>
      <c r="AA238" s="113" t="e">
        <v>#N/A</v>
      </c>
      <c r="AB238" s="113" t="e">
        <v>#N/A</v>
      </c>
    </row>
    <row r="239" spans="1:28">
      <c r="A239" s="108">
        <v>238</v>
      </c>
      <c r="B239" s="108"/>
      <c r="C239" s="109">
        <v>46035</v>
      </c>
      <c r="D239" s="110" t="s">
        <v>933</v>
      </c>
      <c r="E239" s="110" t="s">
        <v>4254</v>
      </c>
      <c r="F239" s="110" t="s">
        <v>5019</v>
      </c>
      <c r="G239" s="110">
        <v>13</v>
      </c>
      <c r="H239" s="110" t="s">
        <v>5071</v>
      </c>
      <c r="I239" s="110" t="s">
        <v>5072</v>
      </c>
      <c r="J239" s="110"/>
      <c r="K239" s="110" t="s">
        <v>5073</v>
      </c>
      <c r="L239" s="110" t="s">
        <v>5073</v>
      </c>
      <c r="M239" s="110">
        <v>1743</v>
      </c>
      <c r="N239" s="110">
        <v>1743</v>
      </c>
      <c r="O239" s="111"/>
      <c r="P239" s="112"/>
      <c r="Q239" s="110"/>
      <c r="R239" s="110" t="s">
        <v>972</v>
      </c>
      <c r="S239" s="110"/>
      <c r="T239" s="110">
        <f t="shared" si="3"/>
        <v>1743</v>
      </c>
      <c r="U239" s="110"/>
      <c r="V239" s="110"/>
      <c r="W239" s="110"/>
      <c r="X239" s="110"/>
      <c r="Y239" s="114"/>
      <c r="AA239" s="113" t="e">
        <v>#N/A</v>
      </c>
      <c r="AB239" s="113" t="e">
        <v>#N/A</v>
      </c>
    </row>
    <row r="240" spans="1:28">
      <c r="A240" s="108">
        <v>239</v>
      </c>
      <c r="B240" s="108"/>
      <c r="C240" s="109">
        <v>46035</v>
      </c>
      <c r="D240" s="110" t="s">
        <v>933</v>
      </c>
      <c r="E240" s="110" t="s">
        <v>4254</v>
      </c>
      <c r="F240" s="110" t="s">
        <v>5019</v>
      </c>
      <c r="G240" s="110">
        <v>13</v>
      </c>
      <c r="H240" s="110" t="s">
        <v>5074</v>
      </c>
      <c r="I240" s="110" t="s">
        <v>5075</v>
      </c>
      <c r="J240" s="110"/>
      <c r="K240" s="110" t="s">
        <v>5076</v>
      </c>
      <c r="L240" s="110" t="s">
        <v>5076</v>
      </c>
      <c r="M240" s="110">
        <v>1043</v>
      </c>
      <c r="N240" s="110">
        <v>1043</v>
      </c>
      <c r="O240" s="111"/>
      <c r="P240" s="112"/>
      <c r="Q240" s="110"/>
      <c r="R240" s="110" t="s">
        <v>972</v>
      </c>
      <c r="S240" s="110"/>
      <c r="T240" s="110">
        <f t="shared" si="3"/>
        <v>1043</v>
      </c>
      <c r="U240" s="110"/>
      <c r="V240" s="110"/>
      <c r="W240" s="110"/>
      <c r="X240" s="110"/>
      <c r="Y240" s="114"/>
      <c r="AA240" s="113" t="e">
        <v>#N/A</v>
      </c>
      <c r="AB240" s="113" t="e">
        <v>#N/A</v>
      </c>
    </row>
    <row r="241" spans="1:28">
      <c r="A241" s="108">
        <v>240</v>
      </c>
      <c r="B241" s="108"/>
      <c r="C241" s="109">
        <v>46035</v>
      </c>
      <c r="D241" s="110" t="s">
        <v>933</v>
      </c>
      <c r="E241" s="110" t="s">
        <v>4254</v>
      </c>
      <c r="F241" s="110" t="s">
        <v>5019</v>
      </c>
      <c r="G241" s="110">
        <v>13</v>
      </c>
      <c r="H241" s="110" t="s">
        <v>5077</v>
      </c>
      <c r="I241" s="110" t="s">
        <v>5078</v>
      </c>
      <c r="J241" s="110"/>
      <c r="K241" s="110" t="s">
        <v>5079</v>
      </c>
      <c r="L241" s="110" t="s">
        <v>5079</v>
      </c>
      <c r="M241" s="110">
        <v>5089</v>
      </c>
      <c r="N241" s="110">
        <v>5089</v>
      </c>
      <c r="O241" s="111"/>
      <c r="P241" s="112"/>
      <c r="Q241" s="110"/>
      <c r="R241" s="110" t="s">
        <v>972</v>
      </c>
      <c r="S241" s="110"/>
      <c r="T241" s="110">
        <f t="shared" si="3"/>
        <v>5089</v>
      </c>
      <c r="U241" s="110"/>
      <c r="V241" s="110"/>
      <c r="W241" s="110"/>
      <c r="X241" s="110"/>
      <c r="Y241" s="114"/>
      <c r="AA241" s="113" t="e">
        <v>#N/A</v>
      </c>
      <c r="AB241" s="113" t="e">
        <v>#N/A</v>
      </c>
    </row>
    <row r="242" spans="1:28">
      <c r="A242" s="108">
        <v>241</v>
      </c>
      <c r="B242" s="108" t="s">
        <v>225</v>
      </c>
      <c r="C242" s="109">
        <v>46034</v>
      </c>
      <c r="D242" s="110" t="s">
        <v>226</v>
      </c>
      <c r="E242" s="110" t="s">
        <v>4254</v>
      </c>
      <c r="F242" s="110" t="s">
        <v>236</v>
      </c>
      <c r="G242" s="110">
        <v>12</v>
      </c>
      <c r="H242" s="110" t="s">
        <v>5080</v>
      </c>
      <c r="I242" s="110">
        <v>9789411166</v>
      </c>
      <c r="J242" s="110"/>
      <c r="K242" s="110" t="s">
        <v>5081</v>
      </c>
      <c r="L242" s="110" t="s">
        <v>5081</v>
      </c>
      <c r="M242" s="110">
        <v>3970</v>
      </c>
      <c r="N242" s="110">
        <v>3970</v>
      </c>
      <c r="O242" s="111" t="s">
        <v>239</v>
      </c>
      <c r="P242" s="112" t="s">
        <v>239</v>
      </c>
      <c r="Q242" s="110" t="s">
        <v>239</v>
      </c>
      <c r="R242" s="110" t="s">
        <v>5082</v>
      </c>
      <c r="S242" s="110"/>
      <c r="T242" s="110">
        <f t="shared" si="3"/>
        <v>3970</v>
      </c>
      <c r="U242" s="110"/>
      <c r="V242" s="110"/>
      <c r="W242" s="110"/>
      <c r="X242" s="110"/>
      <c r="Y242" s="114"/>
      <c r="AA242" s="113" t="e">
        <v>#N/A</v>
      </c>
      <c r="AB242" s="113" t="e">
        <v>#N/A</v>
      </c>
    </row>
    <row r="243" spans="1:28">
      <c r="A243" s="108">
        <v>242</v>
      </c>
      <c r="B243" s="108" t="s">
        <v>225</v>
      </c>
      <c r="C243" s="109">
        <v>46034</v>
      </c>
      <c r="D243" s="110" t="s">
        <v>226</v>
      </c>
      <c r="E243" s="110" t="s">
        <v>4254</v>
      </c>
      <c r="F243" s="110" t="s">
        <v>236</v>
      </c>
      <c r="G243" s="110">
        <v>12</v>
      </c>
      <c r="H243" s="110" t="s">
        <v>5083</v>
      </c>
      <c r="I243" s="110">
        <v>9704607336</v>
      </c>
      <c r="J243" s="110"/>
      <c r="K243" s="110" t="s">
        <v>5084</v>
      </c>
      <c r="L243" s="110" t="s">
        <v>5084</v>
      </c>
      <c r="M243" s="110">
        <v>1740</v>
      </c>
      <c r="N243" s="110">
        <v>1740</v>
      </c>
      <c r="O243" s="111" t="s">
        <v>239</v>
      </c>
      <c r="P243" s="112" t="s">
        <v>239</v>
      </c>
      <c r="Q243" s="110" t="s">
        <v>239</v>
      </c>
      <c r="R243" s="110" t="s">
        <v>5082</v>
      </c>
      <c r="S243" s="110"/>
      <c r="T243" s="110">
        <f t="shared" si="3"/>
        <v>1740</v>
      </c>
      <c r="U243" s="110"/>
      <c r="V243" s="110"/>
      <c r="W243" s="110"/>
      <c r="X243" s="110"/>
      <c r="Y243" s="114"/>
      <c r="AA243" s="113" t="e">
        <v>#N/A</v>
      </c>
      <c r="AB243" s="113" t="e">
        <v>#N/A</v>
      </c>
    </row>
    <row r="244" spans="1:28">
      <c r="A244" s="108">
        <v>243</v>
      </c>
      <c r="B244" s="108" t="s">
        <v>225</v>
      </c>
      <c r="C244" s="109">
        <v>46034</v>
      </c>
      <c r="D244" s="110" t="s">
        <v>226</v>
      </c>
      <c r="E244" s="110" t="s">
        <v>4254</v>
      </c>
      <c r="F244" s="110" t="s">
        <v>236</v>
      </c>
      <c r="G244" s="110">
        <v>12</v>
      </c>
      <c r="H244" s="110" t="s">
        <v>5085</v>
      </c>
      <c r="I244" s="110">
        <v>8106946548</v>
      </c>
      <c r="J244" s="110"/>
      <c r="K244" s="110" t="s">
        <v>5086</v>
      </c>
      <c r="L244" s="110" t="s">
        <v>5086</v>
      </c>
      <c r="M244" s="110">
        <v>1520</v>
      </c>
      <c r="N244" s="110">
        <v>1520</v>
      </c>
      <c r="O244" s="111" t="s">
        <v>239</v>
      </c>
      <c r="P244" s="112" t="s">
        <v>239</v>
      </c>
      <c r="Q244" s="110" t="s">
        <v>239</v>
      </c>
      <c r="R244" s="110" t="s">
        <v>5082</v>
      </c>
      <c r="S244" s="110"/>
      <c r="T244" s="110">
        <f t="shared" si="3"/>
        <v>1520</v>
      </c>
      <c r="U244" s="110"/>
      <c r="V244" s="110"/>
      <c r="W244" s="110"/>
      <c r="X244" s="110"/>
      <c r="Y244" s="114"/>
      <c r="AA244" s="113" t="e">
        <v>#N/A</v>
      </c>
      <c r="AB244" s="113" t="e">
        <v>#N/A</v>
      </c>
    </row>
    <row r="245" spans="1:28">
      <c r="A245" s="108">
        <v>244</v>
      </c>
      <c r="B245" s="108" t="s">
        <v>225</v>
      </c>
      <c r="C245" s="109">
        <v>46034</v>
      </c>
      <c r="D245" s="110" t="s">
        <v>226</v>
      </c>
      <c r="E245" s="110" t="s">
        <v>4254</v>
      </c>
      <c r="F245" s="110" t="s">
        <v>236</v>
      </c>
      <c r="G245" s="110">
        <v>12</v>
      </c>
      <c r="H245" s="110" t="s">
        <v>5087</v>
      </c>
      <c r="I245" s="110">
        <v>8977505104</v>
      </c>
      <c r="J245" s="110"/>
      <c r="K245" s="110" t="s">
        <v>5088</v>
      </c>
      <c r="L245" s="110" t="s">
        <v>5088</v>
      </c>
      <c r="M245" s="110">
        <v>820</v>
      </c>
      <c r="N245" s="110">
        <v>820</v>
      </c>
      <c r="O245" s="111" t="s">
        <v>239</v>
      </c>
      <c r="P245" s="112" t="s">
        <v>239</v>
      </c>
      <c r="Q245" s="110" t="s">
        <v>239</v>
      </c>
      <c r="R245" s="110" t="s">
        <v>5082</v>
      </c>
      <c r="S245" s="110"/>
      <c r="T245" s="110">
        <f t="shared" si="3"/>
        <v>820</v>
      </c>
      <c r="U245" s="110"/>
      <c r="V245" s="110"/>
      <c r="W245" s="110"/>
      <c r="X245" s="110"/>
      <c r="Y245" s="114"/>
      <c r="AA245" s="113" t="e">
        <v>#N/A</v>
      </c>
      <c r="AB245" s="113" t="e">
        <v>#N/A</v>
      </c>
    </row>
    <row r="246" spans="1:28">
      <c r="A246" s="108">
        <v>245</v>
      </c>
      <c r="B246" s="108" t="s">
        <v>225</v>
      </c>
      <c r="C246" s="109">
        <v>46034</v>
      </c>
      <c r="D246" s="110" t="s">
        <v>226</v>
      </c>
      <c r="E246" s="110" t="s">
        <v>4254</v>
      </c>
      <c r="F246" s="110" t="s">
        <v>236</v>
      </c>
      <c r="G246" s="110">
        <v>12</v>
      </c>
      <c r="H246" s="110" t="s">
        <v>2998</v>
      </c>
      <c r="I246" s="110">
        <v>8309192934</v>
      </c>
      <c r="J246" s="110"/>
      <c r="K246" s="110" t="s">
        <v>5089</v>
      </c>
      <c r="L246" s="110" t="s">
        <v>5089</v>
      </c>
      <c r="M246" s="110">
        <v>1130</v>
      </c>
      <c r="N246" s="110">
        <v>1130</v>
      </c>
      <c r="O246" s="111" t="s">
        <v>239</v>
      </c>
      <c r="P246" s="112" t="s">
        <v>239</v>
      </c>
      <c r="Q246" s="110" t="s">
        <v>239</v>
      </c>
      <c r="R246" s="110" t="s">
        <v>5082</v>
      </c>
      <c r="S246" s="110"/>
      <c r="T246" s="110">
        <f t="shared" si="3"/>
        <v>1130</v>
      </c>
      <c r="U246" s="110"/>
      <c r="V246" s="110"/>
      <c r="W246" s="110"/>
      <c r="X246" s="110"/>
      <c r="Y246" s="114"/>
      <c r="AA246" s="113" t="e">
        <v>#N/A</v>
      </c>
      <c r="AB246" s="113" t="e">
        <v>#N/A</v>
      </c>
    </row>
    <row r="247" spans="1:28">
      <c r="A247" s="108">
        <v>246</v>
      </c>
      <c r="B247" s="108" t="s">
        <v>225</v>
      </c>
      <c r="C247" s="109">
        <v>46034</v>
      </c>
      <c r="D247" s="110" t="s">
        <v>226</v>
      </c>
      <c r="E247" s="110" t="s">
        <v>4254</v>
      </c>
      <c r="F247" s="110" t="s">
        <v>236</v>
      </c>
      <c r="G247" s="110">
        <v>12</v>
      </c>
      <c r="H247" s="110" t="s">
        <v>5090</v>
      </c>
      <c r="I247" s="110">
        <v>9143076666</v>
      </c>
      <c r="J247" s="110"/>
      <c r="K247" s="110" t="s">
        <v>5091</v>
      </c>
      <c r="L247" s="110" t="s">
        <v>5091</v>
      </c>
      <c r="M247" s="110">
        <v>980</v>
      </c>
      <c r="N247" s="110">
        <v>980</v>
      </c>
      <c r="O247" s="111" t="s">
        <v>239</v>
      </c>
      <c r="P247" s="112" t="s">
        <v>239</v>
      </c>
      <c r="Q247" s="110" t="s">
        <v>239</v>
      </c>
      <c r="R247" s="110" t="s">
        <v>5082</v>
      </c>
      <c r="S247" s="110"/>
      <c r="T247" s="110">
        <f t="shared" si="3"/>
        <v>980</v>
      </c>
      <c r="U247" s="110"/>
      <c r="V247" s="110"/>
      <c r="W247" s="110"/>
      <c r="X247" s="110"/>
      <c r="Y247" s="114"/>
      <c r="AA247" s="113" t="e">
        <v>#N/A</v>
      </c>
      <c r="AB247" s="113" t="e">
        <v>#N/A</v>
      </c>
    </row>
    <row r="248" spans="1:28">
      <c r="A248" s="108">
        <v>247</v>
      </c>
      <c r="B248" s="108" t="s">
        <v>225</v>
      </c>
      <c r="C248" s="109">
        <v>46034</v>
      </c>
      <c r="D248" s="110" t="s">
        <v>226</v>
      </c>
      <c r="E248" s="110" t="s">
        <v>4254</v>
      </c>
      <c r="F248" s="110" t="s">
        <v>236</v>
      </c>
      <c r="G248" s="110">
        <v>12</v>
      </c>
      <c r="H248" s="110" t="s">
        <v>5092</v>
      </c>
      <c r="I248" s="110">
        <v>9704123333</v>
      </c>
      <c r="J248" s="110"/>
      <c r="K248" s="110" t="s">
        <v>5093</v>
      </c>
      <c r="L248" s="110" t="s">
        <v>5093</v>
      </c>
      <c r="M248" s="110">
        <v>1540</v>
      </c>
      <c r="N248" s="110">
        <v>1540</v>
      </c>
      <c r="O248" s="111" t="s">
        <v>239</v>
      </c>
      <c r="P248" s="112" t="s">
        <v>239</v>
      </c>
      <c r="Q248" s="110" t="s">
        <v>239</v>
      </c>
      <c r="R248" s="110" t="s">
        <v>5082</v>
      </c>
      <c r="S248" s="110"/>
      <c r="T248" s="110">
        <f t="shared" si="3"/>
        <v>1540</v>
      </c>
      <c r="U248" s="110"/>
      <c r="V248" s="110"/>
      <c r="W248" s="110"/>
      <c r="X248" s="110"/>
      <c r="Y248" s="114"/>
      <c r="AA248" s="113" t="e">
        <v>#N/A</v>
      </c>
      <c r="AB248" s="113" t="e">
        <v>#N/A</v>
      </c>
    </row>
    <row r="249" spans="1:28">
      <c r="A249" s="108">
        <v>248</v>
      </c>
      <c r="B249" s="108" t="s">
        <v>225</v>
      </c>
      <c r="C249" s="109">
        <v>46034</v>
      </c>
      <c r="D249" s="110" t="s">
        <v>226</v>
      </c>
      <c r="E249" s="110" t="s">
        <v>4254</v>
      </c>
      <c r="F249" s="110" t="s">
        <v>236</v>
      </c>
      <c r="G249" s="110">
        <v>12</v>
      </c>
      <c r="H249" s="110" t="s">
        <v>5094</v>
      </c>
      <c r="I249" s="110">
        <v>9030452333</v>
      </c>
      <c r="J249" s="110"/>
      <c r="K249" s="110" t="s">
        <v>5095</v>
      </c>
      <c r="L249" s="110" t="s">
        <v>5095</v>
      </c>
      <c r="M249" s="110">
        <v>720</v>
      </c>
      <c r="N249" s="110">
        <v>720</v>
      </c>
      <c r="O249" s="111" t="s">
        <v>239</v>
      </c>
      <c r="P249" s="112" t="s">
        <v>239</v>
      </c>
      <c r="Q249" s="110" t="s">
        <v>239</v>
      </c>
      <c r="R249" s="110" t="s">
        <v>5082</v>
      </c>
      <c r="S249" s="110"/>
      <c r="T249" s="110">
        <f t="shared" si="3"/>
        <v>720</v>
      </c>
      <c r="U249" s="110"/>
      <c r="V249" s="110"/>
      <c r="W249" s="110"/>
      <c r="X249" s="110"/>
      <c r="Y249" s="114"/>
      <c r="AA249" s="113" t="e">
        <v>#N/A</v>
      </c>
      <c r="AB249" s="113" t="e">
        <v>#N/A</v>
      </c>
    </row>
    <row r="250" spans="1:28">
      <c r="A250" s="108">
        <v>249</v>
      </c>
      <c r="B250" s="108" t="s">
        <v>225</v>
      </c>
      <c r="C250" s="109">
        <v>46034</v>
      </c>
      <c r="D250" s="110" t="s">
        <v>226</v>
      </c>
      <c r="E250" s="110" t="s">
        <v>4254</v>
      </c>
      <c r="F250" s="110" t="s">
        <v>236</v>
      </c>
      <c r="G250" s="110">
        <v>12</v>
      </c>
      <c r="H250" s="110" t="s">
        <v>5096</v>
      </c>
      <c r="I250" s="110">
        <v>9447946099</v>
      </c>
      <c r="J250" s="110"/>
      <c r="K250" s="110" t="s">
        <v>5097</v>
      </c>
      <c r="L250" s="110" t="s">
        <v>5097</v>
      </c>
      <c r="M250" s="110">
        <v>110</v>
      </c>
      <c r="N250" s="110">
        <v>110</v>
      </c>
      <c r="O250" s="111" t="s">
        <v>239</v>
      </c>
      <c r="P250" s="112" t="s">
        <v>239</v>
      </c>
      <c r="Q250" s="110" t="s">
        <v>239</v>
      </c>
      <c r="R250" s="110" t="s">
        <v>5082</v>
      </c>
      <c r="S250" s="110"/>
      <c r="T250" s="110">
        <f t="shared" si="3"/>
        <v>110</v>
      </c>
      <c r="U250" s="110"/>
      <c r="V250" s="110"/>
      <c r="W250" s="110"/>
      <c r="X250" s="110"/>
      <c r="Y250" s="114"/>
      <c r="AA250" s="113" t="e">
        <v>#N/A</v>
      </c>
      <c r="AB250" s="113" t="e">
        <v>#N/A</v>
      </c>
    </row>
    <row r="251" spans="1:28">
      <c r="A251" s="108">
        <v>250</v>
      </c>
      <c r="B251" s="108" t="s">
        <v>225</v>
      </c>
      <c r="C251" s="109">
        <v>46034</v>
      </c>
      <c r="D251" s="110" t="s">
        <v>226</v>
      </c>
      <c r="E251" s="110" t="s">
        <v>4254</v>
      </c>
      <c r="F251" s="110" t="s">
        <v>310</v>
      </c>
      <c r="G251" s="110">
        <v>12</v>
      </c>
      <c r="H251" s="110" t="s">
        <v>5098</v>
      </c>
      <c r="I251" s="110">
        <v>7702233044</v>
      </c>
      <c r="J251" s="110"/>
      <c r="K251" s="110" t="s">
        <v>5099</v>
      </c>
      <c r="L251" s="110" t="s">
        <v>5099</v>
      </c>
      <c r="M251" s="110">
        <v>13030</v>
      </c>
      <c r="N251" s="110">
        <v>13030</v>
      </c>
      <c r="O251" s="111">
        <v>46053</v>
      </c>
      <c r="P251" s="112" t="s">
        <v>5100</v>
      </c>
      <c r="Q251" s="110" t="s">
        <v>52</v>
      </c>
      <c r="R251" s="110" t="s">
        <v>3580</v>
      </c>
      <c r="S251" s="110">
        <v>13020</v>
      </c>
      <c r="T251" s="110">
        <f t="shared" si="3"/>
        <v>10</v>
      </c>
      <c r="U251" s="111">
        <v>46053</v>
      </c>
      <c r="V251" s="110" t="s">
        <v>5101</v>
      </c>
      <c r="W251" s="110" t="s">
        <v>54</v>
      </c>
      <c r="X251" s="114" t="s">
        <v>5100</v>
      </c>
      <c r="Y251" s="114" t="s">
        <v>5018</v>
      </c>
      <c r="AA251" s="113" t="e">
        <v>#N/A</v>
      </c>
      <c r="AB251" s="113" t="e">
        <v>#N/A</v>
      </c>
    </row>
    <row r="252" spans="1:28">
      <c r="A252" s="108">
        <v>251</v>
      </c>
      <c r="B252" s="108" t="s">
        <v>225</v>
      </c>
      <c r="C252" s="109">
        <v>46034</v>
      </c>
      <c r="D252" s="110" t="s">
        <v>226</v>
      </c>
      <c r="E252" s="110" t="s">
        <v>4254</v>
      </c>
      <c r="F252" s="110" t="s">
        <v>310</v>
      </c>
      <c r="G252" s="110">
        <v>12</v>
      </c>
      <c r="H252" s="110" t="s">
        <v>5102</v>
      </c>
      <c r="I252" s="110">
        <v>6300699625</v>
      </c>
      <c r="J252" s="110"/>
      <c r="K252" s="110" t="s">
        <v>5103</v>
      </c>
      <c r="L252" s="110" t="s">
        <v>5103</v>
      </c>
      <c r="M252" s="116">
        <v>18350</v>
      </c>
      <c r="N252" s="110">
        <v>8350</v>
      </c>
      <c r="O252" s="111">
        <v>46057</v>
      </c>
      <c r="P252" s="112" t="s">
        <v>315</v>
      </c>
      <c r="Q252" s="110" t="s">
        <v>52</v>
      </c>
      <c r="R252" s="110" t="s">
        <v>3580</v>
      </c>
      <c r="S252" s="110">
        <f>5000+3350</f>
        <v>8350</v>
      </c>
      <c r="T252" s="110">
        <f t="shared" si="3"/>
        <v>0</v>
      </c>
      <c r="U252" s="111">
        <v>46057</v>
      </c>
      <c r="V252" s="110" t="s">
        <v>5104</v>
      </c>
      <c r="W252" s="110" t="s">
        <v>54</v>
      </c>
      <c r="X252" s="114" t="s">
        <v>315</v>
      </c>
      <c r="Y252" s="114" t="s">
        <v>796</v>
      </c>
      <c r="Z252" s="113" t="s">
        <v>5105</v>
      </c>
      <c r="AA252" s="113" t="e">
        <v>#N/A</v>
      </c>
      <c r="AB252" s="113" t="e">
        <v>#N/A</v>
      </c>
    </row>
    <row r="253" spans="1:28">
      <c r="A253" s="108">
        <v>252</v>
      </c>
      <c r="B253" s="108" t="s">
        <v>225</v>
      </c>
      <c r="C253" s="109">
        <v>46034</v>
      </c>
      <c r="D253" s="110" t="s">
        <v>226</v>
      </c>
      <c r="E253" s="110" t="s">
        <v>4254</v>
      </c>
      <c r="F253" s="110" t="s">
        <v>310</v>
      </c>
      <c r="G253" s="110">
        <v>12</v>
      </c>
      <c r="H253" s="110" t="s">
        <v>5106</v>
      </c>
      <c r="I253" s="110">
        <v>8555825053</v>
      </c>
      <c r="J253" s="110"/>
      <c r="K253" s="110" t="s">
        <v>5107</v>
      </c>
      <c r="L253" s="110" t="s">
        <v>5107</v>
      </c>
      <c r="M253" s="116">
        <v>26540</v>
      </c>
      <c r="N253" s="110">
        <v>4550</v>
      </c>
      <c r="O253" s="111">
        <v>46083</v>
      </c>
      <c r="P253" s="112" t="s">
        <v>315</v>
      </c>
      <c r="Q253" s="110" t="s">
        <v>52</v>
      </c>
      <c r="R253" s="110" t="s">
        <v>3580</v>
      </c>
      <c r="S253" s="110">
        <v>4550</v>
      </c>
      <c r="T253" s="110">
        <f t="shared" si="3"/>
        <v>0</v>
      </c>
      <c r="U253" s="111">
        <v>46083</v>
      </c>
      <c r="V253" s="110" t="s">
        <v>5108</v>
      </c>
      <c r="W253" s="110" t="s">
        <v>54</v>
      </c>
      <c r="X253" s="114" t="s">
        <v>315</v>
      </c>
      <c r="Y253" s="114" t="s">
        <v>5109</v>
      </c>
      <c r="AA253" s="113" t="e">
        <v>#N/A</v>
      </c>
      <c r="AB253" s="113" t="e">
        <v>#N/A</v>
      </c>
    </row>
    <row r="254" spans="1:28">
      <c r="A254" s="108">
        <v>253</v>
      </c>
      <c r="B254" s="108" t="s">
        <v>225</v>
      </c>
      <c r="C254" s="109">
        <v>46031</v>
      </c>
      <c r="D254" s="110" t="s">
        <v>933</v>
      </c>
      <c r="E254" s="110" t="s">
        <v>4254</v>
      </c>
      <c r="F254" s="110"/>
      <c r="G254" s="110">
        <v>9</v>
      </c>
      <c r="H254" s="110" t="s">
        <v>5110</v>
      </c>
      <c r="I254" s="110">
        <v>9908883626</v>
      </c>
      <c r="J254" s="110"/>
      <c r="K254" s="119" t="s">
        <v>5111</v>
      </c>
      <c r="L254" s="110" t="s">
        <v>5112</v>
      </c>
      <c r="M254" s="120">
        <v>1243</v>
      </c>
      <c r="N254" s="110">
        <v>1250</v>
      </c>
      <c r="O254" s="111"/>
      <c r="P254" s="112"/>
      <c r="Q254" s="110"/>
      <c r="R254" s="110" t="s">
        <v>939</v>
      </c>
      <c r="S254" s="110"/>
      <c r="T254" s="110">
        <f t="shared" si="3"/>
        <v>1250</v>
      </c>
      <c r="U254" s="110"/>
      <c r="V254" s="110"/>
      <c r="W254" s="110"/>
      <c r="X254" s="110" t="s">
        <v>939</v>
      </c>
      <c r="Y254" s="110" t="s">
        <v>1287</v>
      </c>
      <c r="AA254" s="113" t="e">
        <v>#N/A</v>
      </c>
      <c r="AB254" s="113" t="e">
        <v>#N/A</v>
      </c>
    </row>
    <row r="255" spans="1:28">
      <c r="A255" s="108">
        <v>254</v>
      </c>
      <c r="B255" s="108" t="s">
        <v>225</v>
      </c>
      <c r="C255" s="109">
        <v>46031</v>
      </c>
      <c r="D255" s="110" t="s">
        <v>933</v>
      </c>
      <c r="E255" s="110" t="s">
        <v>4254</v>
      </c>
      <c r="F255" s="110"/>
      <c r="G255" s="110">
        <v>9</v>
      </c>
      <c r="H255" s="110" t="s">
        <v>5113</v>
      </c>
      <c r="I255" s="110">
        <v>7989904714</v>
      </c>
      <c r="J255" s="110"/>
      <c r="K255" s="119" t="s">
        <v>5114</v>
      </c>
      <c r="L255" s="110" t="s">
        <v>5115</v>
      </c>
      <c r="M255" s="120">
        <v>160</v>
      </c>
      <c r="N255" s="110">
        <v>175</v>
      </c>
      <c r="O255" s="111"/>
      <c r="P255" s="112"/>
      <c r="Q255" s="110"/>
      <c r="R255" s="110" t="s">
        <v>939</v>
      </c>
      <c r="S255" s="110"/>
      <c r="T255" s="110">
        <f t="shared" si="3"/>
        <v>175</v>
      </c>
      <c r="U255" s="110"/>
      <c r="V255" s="110"/>
      <c r="W255" s="110"/>
      <c r="X255" s="110" t="s">
        <v>939</v>
      </c>
      <c r="Y255" s="110" t="s">
        <v>1287</v>
      </c>
      <c r="AA255" s="113" t="e">
        <v>#N/A</v>
      </c>
      <c r="AB255" s="113" t="e">
        <v>#N/A</v>
      </c>
    </row>
    <row r="256" spans="1:28">
      <c r="A256" s="108">
        <v>255</v>
      </c>
      <c r="B256" s="108" t="s">
        <v>225</v>
      </c>
      <c r="C256" s="109">
        <v>46038</v>
      </c>
      <c r="D256" s="110" t="s">
        <v>226</v>
      </c>
      <c r="E256" s="110" t="s">
        <v>4254</v>
      </c>
      <c r="F256" s="110" t="s">
        <v>310</v>
      </c>
      <c r="G256" s="110">
        <v>16</v>
      </c>
      <c r="H256" s="110" t="s">
        <v>5116</v>
      </c>
      <c r="I256" s="110">
        <v>8639972477</v>
      </c>
      <c r="J256" s="110"/>
      <c r="K256" s="119" t="s">
        <v>5117</v>
      </c>
      <c r="L256" s="110" t="s">
        <v>5117</v>
      </c>
      <c r="M256" s="120">
        <v>23530</v>
      </c>
      <c r="N256" s="110">
        <v>23530</v>
      </c>
      <c r="O256" s="110" t="s">
        <v>239</v>
      </c>
      <c r="P256" s="110" t="s">
        <v>239</v>
      </c>
      <c r="Q256" s="110" t="s">
        <v>239</v>
      </c>
      <c r="R256" s="110" t="s">
        <v>3580</v>
      </c>
      <c r="S256" s="110"/>
      <c r="T256" s="110">
        <f t="shared" si="3"/>
        <v>23530</v>
      </c>
      <c r="U256" s="110"/>
      <c r="V256" s="110"/>
      <c r="W256" s="110"/>
      <c r="X256" s="114" t="s">
        <v>5100</v>
      </c>
      <c r="Y256" s="114" t="s">
        <v>1280</v>
      </c>
      <c r="Z256" s="113" t="s">
        <v>5118</v>
      </c>
      <c r="AA256" s="113" t="s">
        <v>11</v>
      </c>
      <c r="AB256" s="113" t="s">
        <v>4464</v>
      </c>
    </row>
    <row r="257" spans="1:28">
      <c r="A257" s="108">
        <v>256</v>
      </c>
      <c r="B257" s="108" t="s">
        <v>225</v>
      </c>
      <c r="C257" s="109">
        <v>46038</v>
      </c>
      <c r="D257" s="110" t="s">
        <v>226</v>
      </c>
      <c r="E257" s="110" t="s">
        <v>4254</v>
      </c>
      <c r="F257" s="110" t="s">
        <v>310</v>
      </c>
      <c r="G257" s="110">
        <v>16</v>
      </c>
      <c r="H257" s="110" t="s">
        <v>5119</v>
      </c>
      <c r="I257" s="110">
        <v>9000064491</v>
      </c>
      <c r="J257" s="110"/>
      <c r="K257" s="121" t="s">
        <v>5120</v>
      </c>
      <c r="L257" s="122" t="s">
        <v>5117</v>
      </c>
      <c r="M257" s="120">
        <v>17980</v>
      </c>
      <c r="N257" s="110">
        <v>17980</v>
      </c>
      <c r="O257" s="110" t="s">
        <v>239</v>
      </c>
      <c r="P257" s="110" t="s">
        <v>239</v>
      </c>
      <c r="Q257" s="110" t="s">
        <v>239</v>
      </c>
      <c r="R257" s="110" t="s">
        <v>3580</v>
      </c>
      <c r="S257" s="110"/>
      <c r="T257" s="110">
        <f t="shared" si="3"/>
        <v>17980</v>
      </c>
      <c r="U257" s="110"/>
      <c r="V257" s="110"/>
      <c r="W257" s="110"/>
      <c r="X257" s="114" t="s">
        <v>315</v>
      </c>
      <c r="Y257" s="114" t="s">
        <v>394</v>
      </c>
      <c r="Z257" s="113" t="s">
        <v>5105</v>
      </c>
      <c r="AA257" s="113" t="s">
        <v>11</v>
      </c>
      <c r="AB257" s="113" t="s">
        <v>4254</v>
      </c>
    </row>
    <row r="258" spans="1:28">
      <c r="A258" s="108">
        <v>257</v>
      </c>
      <c r="B258" s="108" t="s">
        <v>225</v>
      </c>
      <c r="C258" s="109">
        <v>46038</v>
      </c>
      <c r="D258" s="110" t="s">
        <v>226</v>
      </c>
      <c r="E258" s="110" t="s">
        <v>4254</v>
      </c>
      <c r="F258" s="110" t="s">
        <v>310</v>
      </c>
      <c r="G258" s="110">
        <v>16</v>
      </c>
      <c r="H258" s="110" t="s">
        <v>5121</v>
      </c>
      <c r="I258" s="110">
        <v>6303865765</v>
      </c>
      <c r="J258" s="110"/>
      <c r="K258" s="119" t="s">
        <v>5122</v>
      </c>
      <c r="L258" s="110" t="s">
        <v>5117</v>
      </c>
      <c r="M258" s="120">
        <v>16160</v>
      </c>
      <c r="N258" s="110">
        <v>16160</v>
      </c>
      <c r="O258" s="111">
        <v>46041</v>
      </c>
      <c r="P258" s="112" t="s">
        <v>315</v>
      </c>
      <c r="Q258" s="110" t="s">
        <v>52</v>
      </c>
      <c r="R258" s="110" t="s">
        <v>3580</v>
      </c>
      <c r="S258" s="110">
        <v>16161</v>
      </c>
      <c r="T258" s="110">
        <f t="shared" ref="T258:T323" si="4">N258-S258</f>
        <v>-1</v>
      </c>
      <c r="U258" s="111">
        <v>46041</v>
      </c>
      <c r="V258" s="110" t="s">
        <v>5123</v>
      </c>
      <c r="W258" s="110" t="s">
        <v>54</v>
      </c>
      <c r="X258" s="114" t="s">
        <v>315</v>
      </c>
      <c r="Y258" s="114" t="s">
        <v>3581</v>
      </c>
      <c r="AA258" s="113" t="s">
        <v>11</v>
      </c>
      <c r="AB258" s="113" t="s">
        <v>4254</v>
      </c>
    </row>
    <row r="259" spans="1:28">
      <c r="A259" s="108">
        <v>258</v>
      </c>
      <c r="B259" s="108" t="s">
        <v>225</v>
      </c>
      <c r="C259" s="109">
        <v>46038</v>
      </c>
      <c r="D259" s="110" t="s">
        <v>226</v>
      </c>
      <c r="E259" s="110" t="s">
        <v>4254</v>
      </c>
      <c r="F259" s="110" t="s">
        <v>310</v>
      </c>
      <c r="G259" s="110">
        <v>16</v>
      </c>
      <c r="H259" s="110" t="s">
        <v>5124</v>
      </c>
      <c r="I259" s="110">
        <v>9505001441</v>
      </c>
      <c r="J259" s="110"/>
      <c r="K259" s="119" t="s">
        <v>3593</v>
      </c>
      <c r="L259" s="110" t="s">
        <v>5117</v>
      </c>
      <c r="M259" s="120">
        <v>10812</v>
      </c>
      <c r="N259" s="110">
        <v>10812</v>
      </c>
      <c r="O259" s="110" t="s">
        <v>239</v>
      </c>
      <c r="P259" s="112" t="s">
        <v>3909</v>
      </c>
      <c r="Q259" s="110" t="s">
        <v>239</v>
      </c>
      <c r="R259" s="110" t="s">
        <v>3580</v>
      </c>
      <c r="S259" s="110">
        <v>10812</v>
      </c>
      <c r="T259" s="110">
        <f t="shared" si="4"/>
        <v>0</v>
      </c>
      <c r="U259" s="110"/>
      <c r="V259" s="110" t="s">
        <v>5125</v>
      </c>
      <c r="W259" s="110"/>
      <c r="X259" s="114" t="s">
        <v>315</v>
      </c>
      <c r="Y259" s="114" t="s">
        <v>832</v>
      </c>
      <c r="AA259" s="113" t="s">
        <v>11</v>
      </c>
      <c r="AB259" s="113" t="s">
        <v>4254</v>
      </c>
    </row>
    <row r="260" spans="1:28">
      <c r="A260" s="108">
        <v>259</v>
      </c>
      <c r="B260" s="108" t="s">
        <v>225</v>
      </c>
      <c r="C260" s="109">
        <v>46038</v>
      </c>
      <c r="D260" s="110" t="s">
        <v>226</v>
      </c>
      <c r="E260" s="110" t="s">
        <v>4254</v>
      </c>
      <c r="F260" s="110" t="s">
        <v>3190</v>
      </c>
      <c r="G260" s="110">
        <v>16</v>
      </c>
      <c r="H260" s="110" t="s">
        <v>5126</v>
      </c>
      <c r="I260" s="110">
        <v>8008225469</v>
      </c>
      <c r="J260" s="110"/>
      <c r="K260" s="119" t="s">
        <v>5127</v>
      </c>
      <c r="L260" s="110" t="s">
        <v>5127</v>
      </c>
      <c r="M260" s="120">
        <v>63990</v>
      </c>
      <c r="N260" s="110">
        <v>34000</v>
      </c>
      <c r="O260" s="111">
        <v>46056</v>
      </c>
      <c r="P260" s="112" t="s">
        <v>626</v>
      </c>
      <c r="Q260" s="110" t="s">
        <v>52</v>
      </c>
      <c r="R260" s="110" t="s">
        <v>626</v>
      </c>
      <c r="S260" s="110">
        <v>34000</v>
      </c>
      <c r="T260" s="110">
        <f t="shared" si="4"/>
        <v>0</v>
      </c>
      <c r="U260" s="111">
        <v>46056</v>
      </c>
      <c r="V260" s="110" t="s">
        <v>5128</v>
      </c>
      <c r="W260" s="110" t="s">
        <v>54</v>
      </c>
      <c r="X260" s="110"/>
      <c r="Y260" s="110"/>
      <c r="AA260" s="113" t="s">
        <v>11</v>
      </c>
      <c r="AB260" s="113" t="s">
        <v>4254</v>
      </c>
    </row>
    <row r="261" spans="1:28">
      <c r="A261" s="108">
        <v>260</v>
      </c>
      <c r="B261" s="108" t="s">
        <v>225</v>
      </c>
      <c r="C261" s="109">
        <v>46038</v>
      </c>
      <c r="D261" s="110" t="s">
        <v>226</v>
      </c>
      <c r="E261" s="110" t="s">
        <v>4254</v>
      </c>
      <c r="F261" s="110" t="s">
        <v>3190</v>
      </c>
      <c r="G261" s="110">
        <v>16</v>
      </c>
      <c r="H261" s="110" t="s">
        <v>5129</v>
      </c>
      <c r="I261" s="110">
        <v>9553180143</v>
      </c>
      <c r="J261" s="110"/>
      <c r="K261" s="119" t="s">
        <v>5130</v>
      </c>
      <c r="L261" s="110" t="s">
        <v>5130</v>
      </c>
      <c r="M261" s="120">
        <v>69182</v>
      </c>
      <c r="N261" s="110">
        <v>39189</v>
      </c>
      <c r="O261" s="111">
        <v>46083</v>
      </c>
      <c r="P261" s="113" t="s">
        <v>399</v>
      </c>
      <c r="Q261" s="110" t="s">
        <v>52</v>
      </c>
      <c r="R261" s="110" t="s">
        <v>626</v>
      </c>
      <c r="S261" s="110">
        <v>40000</v>
      </c>
      <c r="T261" s="110">
        <f t="shared" si="4"/>
        <v>-811</v>
      </c>
      <c r="U261" s="111">
        <v>46083</v>
      </c>
      <c r="V261" s="112" t="s">
        <v>5131</v>
      </c>
      <c r="W261" s="110" t="s">
        <v>54</v>
      </c>
      <c r="X261" s="110"/>
      <c r="Y261" s="110"/>
      <c r="AA261" s="113" t="s">
        <v>11</v>
      </c>
      <c r="AB261" s="113" t="s">
        <v>4254</v>
      </c>
    </row>
    <row r="262" spans="1:28">
      <c r="A262" s="108">
        <v>261</v>
      </c>
      <c r="B262" s="108" t="s">
        <v>225</v>
      </c>
      <c r="C262" s="109">
        <v>46038</v>
      </c>
      <c r="D262" s="110" t="s">
        <v>226</v>
      </c>
      <c r="E262" s="110" t="s">
        <v>4254</v>
      </c>
      <c r="F262" s="110" t="s">
        <v>3190</v>
      </c>
      <c r="G262" s="110">
        <v>16</v>
      </c>
      <c r="H262" s="110" t="s">
        <v>5132</v>
      </c>
      <c r="I262" s="110">
        <v>9100525041</v>
      </c>
      <c r="J262" s="110"/>
      <c r="K262" s="119" t="s">
        <v>5133</v>
      </c>
      <c r="L262" s="110" t="s">
        <v>5133</v>
      </c>
      <c r="M262" s="120">
        <v>21570</v>
      </c>
      <c r="N262" s="110">
        <v>21582</v>
      </c>
      <c r="O262" s="111">
        <v>46072</v>
      </c>
      <c r="P262" s="112" t="s">
        <v>400</v>
      </c>
      <c r="Q262" s="110" t="s">
        <v>52</v>
      </c>
      <c r="R262" s="110" t="s">
        <v>626</v>
      </c>
      <c r="S262" s="110">
        <f>10000+10000+1580</f>
        <v>21580</v>
      </c>
      <c r="T262" s="110">
        <f t="shared" si="4"/>
        <v>2</v>
      </c>
      <c r="U262" s="111">
        <v>46071</v>
      </c>
      <c r="V262" s="110" t="s">
        <v>5134</v>
      </c>
      <c r="W262" s="110" t="s">
        <v>54</v>
      </c>
      <c r="X262" s="110" t="s">
        <v>400</v>
      </c>
      <c r="Y262" s="110" t="s">
        <v>400</v>
      </c>
      <c r="AA262" s="113" t="s">
        <v>11</v>
      </c>
      <c r="AB262" s="113" t="s">
        <v>4254</v>
      </c>
    </row>
    <row r="263" spans="1:28">
      <c r="A263" s="108">
        <v>262</v>
      </c>
      <c r="B263" s="108" t="s">
        <v>225</v>
      </c>
      <c r="C263" s="109">
        <v>46038</v>
      </c>
      <c r="D263" s="110" t="s">
        <v>226</v>
      </c>
      <c r="E263" s="110" t="s">
        <v>4254</v>
      </c>
      <c r="F263" s="110" t="s">
        <v>3190</v>
      </c>
      <c r="G263" s="110">
        <v>16</v>
      </c>
      <c r="H263" s="110" t="s">
        <v>5135</v>
      </c>
      <c r="I263" s="110">
        <v>9618355305</v>
      </c>
      <c r="J263" s="110"/>
      <c r="K263" s="119" t="s">
        <v>5136</v>
      </c>
      <c r="L263" s="110" t="s">
        <v>5136</v>
      </c>
      <c r="M263" s="120">
        <v>18260</v>
      </c>
      <c r="N263" s="110">
        <v>18302</v>
      </c>
      <c r="O263" s="111">
        <v>46064</v>
      </c>
      <c r="P263" s="112" t="s">
        <v>626</v>
      </c>
      <c r="Q263" s="110" t="s">
        <v>52</v>
      </c>
      <c r="R263" s="110" t="s">
        <v>626</v>
      </c>
      <c r="S263" s="110">
        <v>18300</v>
      </c>
      <c r="T263" s="110">
        <f t="shared" si="4"/>
        <v>2</v>
      </c>
      <c r="U263" s="111">
        <v>46064</v>
      </c>
      <c r="V263" s="110" t="s">
        <v>5137</v>
      </c>
      <c r="W263" s="110" t="s">
        <v>54</v>
      </c>
      <c r="X263" s="110"/>
      <c r="Y263" s="110"/>
      <c r="AA263" s="113" t="s">
        <v>4983</v>
      </c>
      <c r="AB263" s="113" t="s">
        <v>4967</v>
      </c>
    </row>
    <row r="264" spans="1:28">
      <c r="A264" s="108">
        <v>263</v>
      </c>
      <c r="B264" s="108"/>
      <c r="C264" s="109">
        <v>46040</v>
      </c>
      <c r="D264" s="110" t="s">
        <v>226</v>
      </c>
      <c r="E264" s="110" t="s">
        <v>4254</v>
      </c>
      <c r="F264" s="110" t="s">
        <v>767</v>
      </c>
      <c r="G264" s="110">
        <v>18</v>
      </c>
      <c r="H264" s="110" t="s">
        <v>5138</v>
      </c>
      <c r="I264" s="110" t="s">
        <v>5139</v>
      </c>
      <c r="J264" s="110"/>
      <c r="K264" s="119" t="s">
        <v>5140</v>
      </c>
      <c r="L264" s="110" t="s">
        <v>5140</v>
      </c>
      <c r="M264" s="110">
        <v>30890</v>
      </c>
      <c r="N264" s="110">
        <v>30892</v>
      </c>
      <c r="O264" s="111">
        <v>46045</v>
      </c>
      <c r="P264" s="112" t="s">
        <v>340</v>
      </c>
      <c r="Q264" s="110" t="s">
        <v>52</v>
      </c>
      <c r="R264" s="110" t="s">
        <v>772</v>
      </c>
      <c r="S264" s="110">
        <v>30900</v>
      </c>
      <c r="T264" s="110">
        <f t="shared" si="4"/>
        <v>-8</v>
      </c>
      <c r="U264" s="111">
        <v>46045</v>
      </c>
      <c r="V264" s="110" t="s">
        <v>5141</v>
      </c>
      <c r="W264" s="110" t="s">
        <v>54</v>
      </c>
      <c r="X264" s="110" t="s">
        <v>340</v>
      </c>
      <c r="Y264" s="110" t="s">
        <v>307</v>
      </c>
      <c r="AA264" s="113" t="s">
        <v>11</v>
      </c>
      <c r="AB264" s="113" t="s">
        <v>4254</v>
      </c>
    </row>
    <row r="265" spans="1:28">
      <c r="A265" s="108">
        <v>264</v>
      </c>
      <c r="B265" s="108" t="s">
        <v>225</v>
      </c>
      <c r="C265" s="109">
        <v>46040</v>
      </c>
      <c r="D265" s="110" t="s">
        <v>933</v>
      </c>
      <c r="E265" s="110" t="s">
        <v>4254</v>
      </c>
      <c r="F265" s="110" t="s">
        <v>5019</v>
      </c>
      <c r="G265" s="110">
        <v>18</v>
      </c>
      <c r="H265" s="110" t="s">
        <v>5142</v>
      </c>
      <c r="I265" s="110">
        <v>9959114392</v>
      </c>
      <c r="J265" s="110"/>
      <c r="K265" s="110" t="s">
        <v>5143</v>
      </c>
      <c r="L265" s="110" t="s">
        <v>5143</v>
      </c>
      <c r="M265" s="110">
        <v>33600</v>
      </c>
      <c r="N265" s="110">
        <v>33600</v>
      </c>
      <c r="O265" s="111">
        <v>46041</v>
      </c>
      <c r="P265" s="112" t="s">
        <v>972</v>
      </c>
      <c r="Q265" s="110" t="s">
        <v>52</v>
      </c>
      <c r="R265" s="110" t="s">
        <v>972</v>
      </c>
      <c r="S265" s="110">
        <v>33600</v>
      </c>
      <c r="T265" s="110">
        <f t="shared" si="4"/>
        <v>0</v>
      </c>
      <c r="U265" s="111">
        <v>46041</v>
      </c>
      <c r="V265" s="110" t="s">
        <v>5144</v>
      </c>
      <c r="W265" s="110" t="s">
        <v>54</v>
      </c>
      <c r="X265" s="110"/>
      <c r="Y265" s="110"/>
      <c r="AA265" s="113" t="e">
        <v>#N/A</v>
      </c>
      <c r="AB265" s="113" t="e">
        <v>#N/A</v>
      </c>
    </row>
    <row r="266" spans="1:28">
      <c r="A266" s="108">
        <v>265</v>
      </c>
      <c r="B266" s="123"/>
      <c r="C266" s="124">
        <v>46034</v>
      </c>
      <c r="D266" s="125" t="s">
        <v>226</v>
      </c>
      <c r="E266" s="125" t="s">
        <v>4254</v>
      </c>
      <c r="F266" s="125" t="s">
        <v>294</v>
      </c>
      <c r="G266" s="125">
        <v>12</v>
      </c>
      <c r="H266" s="125" t="s">
        <v>810</v>
      </c>
      <c r="I266" s="125" t="s">
        <v>811</v>
      </c>
      <c r="J266" s="125"/>
      <c r="K266" s="126" t="s">
        <v>812</v>
      </c>
      <c r="L266" s="125" t="s">
        <v>812</v>
      </c>
      <c r="M266" s="125">
        <v>28999</v>
      </c>
      <c r="N266" s="125">
        <v>14000</v>
      </c>
      <c r="O266" s="127">
        <v>46046</v>
      </c>
      <c r="P266" s="128" t="s">
        <v>813</v>
      </c>
      <c r="Q266" s="125" t="s">
        <v>52</v>
      </c>
      <c r="R266" s="129" t="s">
        <v>298</v>
      </c>
      <c r="S266" s="125">
        <v>14000</v>
      </c>
      <c r="T266" s="125">
        <f t="shared" si="4"/>
        <v>0</v>
      </c>
      <c r="U266" s="127">
        <v>46046</v>
      </c>
      <c r="V266" s="125" t="s">
        <v>5145</v>
      </c>
      <c r="W266" s="125" t="s">
        <v>54</v>
      </c>
      <c r="X266" s="125" t="s">
        <v>813</v>
      </c>
      <c r="Y266" s="125" t="s">
        <v>796</v>
      </c>
      <c r="AA266" s="113" t="s">
        <v>11</v>
      </c>
      <c r="AB266" s="113" t="s">
        <v>5146</v>
      </c>
    </row>
    <row r="267" spans="1:28" s="135" customFormat="1" ht="15">
      <c r="A267" s="108">
        <v>266</v>
      </c>
      <c r="B267" s="108"/>
      <c r="C267" s="109">
        <v>45671</v>
      </c>
      <c r="D267" s="110" t="s">
        <v>226</v>
      </c>
      <c r="E267" s="110" t="s">
        <v>4254</v>
      </c>
      <c r="F267" s="110" t="s">
        <v>294</v>
      </c>
      <c r="G267" s="110">
        <v>14</v>
      </c>
      <c r="H267" s="130" t="s">
        <v>5147</v>
      </c>
      <c r="I267" s="131" t="s">
        <v>5148</v>
      </c>
      <c r="J267" s="110"/>
      <c r="K267" s="132" t="s">
        <v>5149</v>
      </c>
      <c r="L267" s="133" t="s">
        <v>5149</v>
      </c>
      <c r="M267" s="134">
        <v>100890</v>
      </c>
      <c r="N267" s="134">
        <v>125000</v>
      </c>
      <c r="O267" s="111">
        <v>45741</v>
      </c>
      <c r="P267" s="112" t="s">
        <v>298</v>
      </c>
      <c r="Q267" s="110" t="s">
        <v>52</v>
      </c>
      <c r="R267" s="116" t="s">
        <v>298</v>
      </c>
      <c r="S267" s="110">
        <v>30000</v>
      </c>
      <c r="T267" s="125">
        <f t="shared" si="4"/>
        <v>95000</v>
      </c>
      <c r="U267" s="111">
        <v>46106</v>
      </c>
      <c r="V267" s="110" t="s">
        <v>5150</v>
      </c>
      <c r="W267" s="110"/>
      <c r="X267" s="132" t="s">
        <v>5151</v>
      </c>
      <c r="Y267" s="132" t="s">
        <v>2293</v>
      </c>
      <c r="AA267" s="135" t="s">
        <v>11</v>
      </c>
      <c r="AB267" s="135" t="s">
        <v>4464</v>
      </c>
    </row>
    <row r="268" spans="1:28">
      <c r="A268" s="108">
        <v>267</v>
      </c>
      <c r="B268" s="136"/>
      <c r="C268" s="137">
        <v>46040</v>
      </c>
      <c r="D268" s="138" t="s">
        <v>226</v>
      </c>
      <c r="E268" s="138" t="s">
        <v>4254</v>
      </c>
      <c r="F268" s="138" t="s">
        <v>294</v>
      </c>
      <c r="G268" s="138">
        <v>18</v>
      </c>
      <c r="H268" s="138" t="s">
        <v>5152</v>
      </c>
      <c r="I268" s="138" t="s">
        <v>5153</v>
      </c>
      <c r="J268" s="138"/>
      <c r="K268" s="139" t="s">
        <v>5154</v>
      </c>
      <c r="L268" s="138" t="s">
        <v>5154</v>
      </c>
      <c r="M268" s="138">
        <v>14940</v>
      </c>
      <c r="N268" s="138">
        <v>14940</v>
      </c>
      <c r="O268" s="140" t="s">
        <v>5155</v>
      </c>
      <c r="P268" s="138" t="s">
        <v>239</v>
      </c>
      <c r="Q268" s="138" t="s">
        <v>239</v>
      </c>
      <c r="R268" s="141" t="s">
        <v>298</v>
      </c>
      <c r="S268" s="138"/>
      <c r="T268" s="138">
        <f t="shared" si="4"/>
        <v>14940</v>
      </c>
      <c r="U268" s="138"/>
      <c r="V268" s="138"/>
      <c r="W268" s="138"/>
      <c r="X268" s="138" t="s">
        <v>5156</v>
      </c>
      <c r="Y268" s="138" t="s">
        <v>3663</v>
      </c>
      <c r="Z268" s="113" t="s">
        <v>5105</v>
      </c>
      <c r="AA268" s="113" t="s">
        <v>11</v>
      </c>
      <c r="AB268" s="113" t="s">
        <v>4254</v>
      </c>
    </row>
    <row r="269" spans="1:28" ht="15">
      <c r="A269" s="108">
        <v>268</v>
      </c>
      <c r="B269" s="108"/>
      <c r="C269" s="109">
        <v>46040</v>
      </c>
      <c r="D269" s="110" t="s">
        <v>226</v>
      </c>
      <c r="E269" s="110" t="s">
        <v>4254</v>
      </c>
      <c r="F269" s="110" t="s">
        <v>294</v>
      </c>
      <c r="G269" s="110">
        <v>18</v>
      </c>
      <c r="H269" s="132" t="s">
        <v>5157</v>
      </c>
      <c r="I269" s="131" t="s">
        <v>5158</v>
      </c>
      <c r="J269" s="110"/>
      <c r="K269" s="132" t="s">
        <v>5159</v>
      </c>
      <c r="L269" s="133" t="s">
        <v>5159</v>
      </c>
      <c r="M269" s="142">
        <v>21680</v>
      </c>
      <c r="N269" s="134">
        <v>13680</v>
      </c>
      <c r="O269" s="111">
        <v>46058</v>
      </c>
      <c r="P269" s="110" t="s">
        <v>298</v>
      </c>
      <c r="Q269" s="110" t="s">
        <v>52</v>
      </c>
      <c r="R269" s="116" t="s">
        <v>298</v>
      </c>
      <c r="S269" s="110">
        <v>13560</v>
      </c>
      <c r="T269" s="110">
        <f t="shared" si="4"/>
        <v>120</v>
      </c>
      <c r="U269" s="111">
        <v>46058</v>
      </c>
      <c r="V269" s="110" t="s">
        <v>5160</v>
      </c>
      <c r="W269" s="110" t="s">
        <v>54</v>
      </c>
      <c r="X269" s="110" t="s">
        <v>298</v>
      </c>
      <c r="Y269" s="132" t="s">
        <v>4910</v>
      </c>
      <c r="AA269" s="113" t="s">
        <v>11</v>
      </c>
      <c r="AB269" s="113" t="s">
        <v>4464</v>
      </c>
    </row>
    <row r="270" spans="1:28">
      <c r="A270" s="108">
        <v>269</v>
      </c>
      <c r="B270" s="108"/>
      <c r="C270" s="109">
        <v>46042</v>
      </c>
      <c r="D270" s="110" t="s">
        <v>933</v>
      </c>
      <c r="E270" s="110" t="s">
        <v>4254</v>
      </c>
      <c r="F270" s="110" t="s">
        <v>5161</v>
      </c>
      <c r="G270" s="110">
        <v>20</v>
      </c>
      <c r="H270" s="110" t="s">
        <v>5162</v>
      </c>
      <c r="I270" s="110" t="s">
        <v>5163</v>
      </c>
      <c r="J270" s="110"/>
      <c r="K270" s="119" t="s">
        <v>5164</v>
      </c>
      <c r="L270" s="110" t="s">
        <v>5165</v>
      </c>
      <c r="M270" s="110">
        <v>6534</v>
      </c>
      <c r="N270" s="110">
        <v>6534</v>
      </c>
      <c r="O270" s="111">
        <v>46055</v>
      </c>
      <c r="P270" s="112" t="s">
        <v>5166</v>
      </c>
      <c r="Q270" s="110" t="s">
        <v>52</v>
      </c>
      <c r="R270" s="110" t="s">
        <v>1398</v>
      </c>
      <c r="S270" s="110">
        <v>6535</v>
      </c>
      <c r="T270" s="110">
        <f t="shared" si="4"/>
        <v>-1</v>
      </c>
      <c r="U270" s="111">
        <v>46055</v>
      </c>
      <c r="V270" s="110" t="s">
        <v>5167</v>
      </c>
      <c r="W270" s="110" t="s">
        <v>54</v>
      </c>
      <c r="X270" s="110" t="s">
        <v>1398</v>
      </c>
      <c r="Y270" s="110" t="s">
        <v>5168</v>
      </c>
      <c r="AA270" s="113" t="e">
        <v>#N/A</v>
      </c>
      <c r="AB270" s="113" t="e">
        <v>#N/A</v>
      </c>
    </row>
    <row r="271" spans="1:28">
      <c r="A271" s="108">
        <v>270</v>
      </c>
      <c r="B271" s="108"/>
      <c r="C271" s="109">
        <v>46042</v>
      </c>
      <c r="D271" s="110" t="s">
        <v>933</v>
      </c>
      <c r="E271" s="110" t="s">
        <v>4254</v>
      </c>
      <c r="F271" s="110" t="s">
        <v>5161</v>
      </c>
      <c r="G271" s="110">
        <v>20</v>
      </c>
      <c r="H271" s="110" t="s">
        <v>5169</v>
      </c>
      <c r="I271" s="110" t="s">
        <v>4077</v>
      </c>
      <c r="J271" s="110"/>
      <c r="K271" s="119" t="s">
        <v>5170</v>
      </c>
      <c r="L271" s="110" t="s">
        <v>5171</v>
      </c>
      <c r="M271" s="110">
        <v>4440</v>
      </c>
      <c r="N271" s="110">
        <v>4440</v>
      </c>
      <c r="O271" s="111">
        <v>46064</v>
      </c>
      <c r="P271" s="112" t="s">
        <v>3580</v>
      </c>
      <c r="Q271" s="110" t="s">
        <v>52</v>
      </c>
      <c r="R271" s="110" t="s">
        <v>1398</v>
      </c>
      <c r="S271" s="110">
        <f>3000+1400</f>
        <v>4400</v>
      </c>
      <c r="T271" s="110">
        <f t="shared" si="4"/>
        <v>40</v>
      </c>
      <c r="U271" s="111">
        <v>46084</v>
      </c>
      <c r="V271" s="110" t="s">
        <v>5172</v>
      </c>
      <c r="W271" s="110" t="s">
        <v>54</v>
      </c>
      <c r="X271" s="110"/>
      <c r="Y271" s="110" t="s">
        <v>5168</v>
      </c>
      <c r="AA271" s="113" t="e">
        <v>#N/A</v>
      </c>
      <c r="AB271" s="113" t="e">
        <v>#N/A</v>
      </c>
    </row>
    <row r="272" spans="1:28">
      <c r="A272" s="108">
        <v>271</v>
      </c>
      <c r="B272" s="108"/>
      <c r="C272" s="109">
        <v>46042</v>
      </c>
      <c r="D272" s="110" t="s">
        <v>933</v>
      </c>
      <c r="E272" s="110" t="s">
        <v>4254</v>
      </c>
      <c r="F272" s="110" t="s">
        <v>5161</v>
      </c>
      <c r="G272" s="110">
        <v>20</v>
      </c>
      <c r="H272" s="110" t="s">
        <v>5173</v>
      </c>
      <c r="I272" s="110" t="s">
        <v>5174</v>
      </c>
      <c r="J272" s="110"/>
      <c r="K272" s="119" t="s">
        <v>5175</v>
      </c>
      <c r="L272" s="110" t="s">
        <v>5176</v>
      </c>
      <c r="M272" s="110">
        <v>5743</v>
      </c>
      <c r="N272" s="110">
        <v>5743</v>
      </c>
      <c r="O272" s="111"/>
      <c r="P272" s="112"/>
      <c r="Q272" s="110"/>
      <c r="R272" s="110" t="s">
        <v>1398</v>
      </c>
      <c r="S272" s="110"/>
      <c r="T272" s="110">
        <f t="shared" si="4"/>
        <v>5743</v>
      </c>
      <c r="U272" s="110"/>
      <c r="V272" s="110"/>
      <c r="W272" s="110"/>
      <c r="X272" s="110"/>
      <c r="Y272" s="110" t="s">
        <v>1418</v>
      </c>
      <c r="AA272" s="113" t="e">
        <v>#N/A</v>
      </c>
      <c r="AB272" s="113" t="e">
        <v>#N/A</v>
      </c>
    </row>
    <row r="273" spans="1:28">
      <c r="A273" s="108">
        <v>272</v>
      </c>
      <c r="B273" s="108"/>
      <c r="C273" s="109">
        <v>46042</v>
      </c>
      <c r="D273" s="110" t="s">
        <v>933</v>
      </c>
      <c r="E273" s="110" t="s">
        <v>4254</v>
      </c>
      <c r="F273" s="110" t="s">
        <v>5161</v>
      </c>
      <c r="G273" s="110">
        <v>20</v>
      </c>
      <c r="H273" s="110" t="s">
        <v>5177</v>
      </c>
      <c r="I273" s="110" t="s">
        <v>5178</v>
      </c>
      <c r="J273" s="110"/>
      <c r="K273" s="119" t="s">
        <v>5179</v>
      </c>
      <c r="L273" s="110" t="s">
        <v>5180</v>
      </c>
      <c r="M273" s="110">
        <v>9477</v>
      </c>
      <c r="N273" s="110">
        <v>9477</v>
      </c>
      <c r="O273" s="111"/>
      <c r="P273" s="112" t="s">
        <v>3580</v>
      </c>
      <c r="Q273" s="110" t="s">
        <v>52</v>
      </c>
      <c r="R273" s="110" t="s">
        <v>3580</v>
      </c>
      <c r="S273" s="110">
        <v>2000</v>
      </c>
      <c r="T273" s="110">
        <f t="shared" si="4"/>
        <v>7477</v>
      </c>
      <c r="U273" s="111">
        <v>46071</v>
      </c>
      <c r="V273" s="110" t="s">
        <v>5181</v>
      </c>
      <c r="W273" s="110"/>
      <c r="X273" s="110"/>
      <c r="Y273" s="110" t="s">
        <v>1418</v>
      </c>
      <c r="AA273" s="113" t="e">
        <v>#N/A</v>
      </c>
      <c r="AB273" s="113" t="e">
        <v>#N/A</v>
      </c>
    </row>
    <row r="274" spans="1:28">
      <c r="A274" s="108">
        <v>273</v>
      </c>
      <c r="B274" s="108" t="s">
        <v>225</v>
      </c>
      <c r="C274" s="109">
        <v>46042</v>
      </c>
      <c r="D274" s="110" t="s">
        <v>933</v>
      </c>
      <c r="E274" s="110" t="s">
        <v>4254</v>
      </c>
      <c r="F274" s="110"/>
      <c r="G274" s="110"/>
      <c r="H274" s="110" t="s">
        <v>5182</v>
      </c>
      <c r="I274" s="110">
        <v>9248390935</v>
      </c>
      <c r="J274" s="110"/>
      <c r="K274" s="119" t="s">
        <v>5183</v>
      </c>
      <c r="L274" s="110" t="s">
        <v>5184</v>
      </c>
      <c r="M274" s="110">
        <v>4650</v>
      </c>
      <c r="N274" s="110">
        <v>4652</v>
      </c>
      <c r="O274" s="111"/>
      <c r="P274" s="112"/>
      <c r="Q274" s="110"/>
      <c r="R274" s="110"/>
      <c r="S274" s="110"/>
      <c r="T274" s="110">
        <f t="shared" si="4"/>
        <v>4652</v>
      </c>
      <c r="U274" s="110"/>
      <c r="V274" s="110"/>
      <c r="W274" s="110"/>
      <c r="X274" s="110"/>
      <c r="Y274" s="110"/>
      <c r="AA274" s="113" t="e">
        <v>#N/A</v>
      </c>
      <c r="AB274" s="113" t="e">
        <v>#N/A</v>
      </c>
    </row>
    <row r="275" spans="1:28">
      <c r="A275" s="108">
        <v>274</v>
      </c>
      <c r="B275" s="108" t="s">
        <v>225</v>
      </c>
      <c r="C275" s="109">
        <v>46042</v>
      </c>
      <c r="D275" s="110" t="s">
        <v>933</v>
      </c>
      <c r="E275" s="110" t="s">
        <v>4254</v>
      </c>
      <c r="F275" s="110"/>
      <c r="G275" s="110"/>
      <c r="H275" s="110" t="s">
        <v>5185</v>
      </c>
      <c r="I275" s="110">
        <v>8096974678</v>
      </c>
      <c r="J275" s="110"/>
      <c r="K275" s="119" t="s">
        <v>5186</v>
      </c>
      <c r="L275" s="110" t="s">
        <v>5187</v>
      </c>
      <c r="M275" s="110">
        <v>2080</v>
      </c>
      <c r="N275" s="110">
        <v>2081</v>
      </c>
      <c r="O275" s="111"/>
      <c r="P275" s="112"/>
      <c r="Q275" s="110"/>
      <c r="R275" s="110"/>
      <c r="S275" s="110"/>
      <c r="T275" s="110">
        <f t="shared" si="4"/>
        <v>2081</v>
      </c>
      <c r="U275" s="110"/>
      <c r="V275" s="110"/>
      <c r="W275" s="110"/>
      <c r="X275" s="110"/>
      <c r="Y275" s="110"/>
      <c r="AA275" s="113" t="e">
        <v>#N/A</v>
      </c>
      <c r="AB275" s="113" t="e">
        <v>#N/A</v>
      </c>
    </row>
    <row r="276" spans="1:28">
      <c r="A276" s="108">
        <v>275</v>
      </c>
      <c r="B276" s="108"/>
      <c r="C276" s="109">
        <v>46043</v>
      </c>
      <c r="D276" s="110" t="s">
        <v>226</v>
      </c>
      <c r="E276" s="110" t="s">
        <v>4254</v>
      </c>
      <c r="F276" s="110" t="s">
        <v>294</v>
      </c>
      <c r="G276" s="110">
        <v>21</v>
      </c>
      <c r="H276" s="110" t="s">
        <v>5188</v>
      </c>
      <c r="I276" s="110" t="s">
        <v>5189</v>
      </c>
      <c r="J276" s="110"/>
      <c r="K276" s="119" t="s">
        <v>5190</v>
      </c>
      <c r="L276" s="110" t="s">
        <v>5190</v>
      </c>
      <c r="M276" s="110">
        <v>29660</v>
      </c>
      <c r="N276" s="110">
        <v>9670</v>
      </c>
      <c r="O276" s="111"/>
      <c r="P276" s="112" t="s">
        <v>1222</v>
      </c>
      <c r="Q276" s="110" t="s">
        <v>239</v>
      </c>
      <c r="R276" s="116" t="s">
        <v>298</v>
      </c>
      <c r="S276" s="110"/>
      <c r="T276" s="110">
        <f t="shared" si="4"/>
        <v>9670</v>
      </c>
      <c r="U276" s="110"/>
      <c r="V276" s="110"/>
      <c r="W276" s="110"/>
      <c r="X276" s="110" t="s">
        <v>1222</v>
      </c>
      <c r="Y276" s="110" t="s">
        <v>1465</v>
      </c>
      <c r="AA276" s="113" t="s">
        <v>4472</v>
      </c>
      <c r="AB276" s="113" t="s">
        <v>4985</v>
      </c>
    </row>
    <row r="277" spans="1:28">
      <c r="A277" s="108">
        <v>276</v>
      </c>
      <c r="B277" s="108" t="s">
        <v>225</v>
      </c>
      <c r="C277" s="109">
        <v>46043</v>
      </c>
      <c r="D277" s="110" t="s">
        <v>226</v>
      </c>
      <c r="E277" s="110" t="s">
        <v>4254</v>
      </c>
      <c r="F277" s="110" t="s">
        <v>294</v>
      </c>
      <c r="G277" s="110">
        <v>21</v>
      </c>
      <c r="H277" s="110" t="s">
        <v>1246</v>
      </c>
      <c r="I277" s="110" t="s">
        <v>1247</v>
      </c>
      <c r="J277" s="110"/>
      <c r="K277" s="119" t="s">
        <v>1248</v>
      </c>
      <c r="L277" s="110" t="s">
        <v>1248</v>
      </c>
      <c r="M277" s="110">
        <v>24810</v>
      </c>
      <c r="N277" s="110">
        <v>14810</v>
      </c>
      <c r="O277" s="111"/>
      <c r="P277" s="112" t="s">
        <v>1089</v>
      </c>
      <c r="Q277" s="110"/>
      <c r="R277" s="116" t="s">
        <v>298</v>
      </c>
      <c r="S277" s="110">
        <f>5000+9810</f>
        <v>14810</v>
      </c>
      <c r="T277" s="110">
        <f t="shared" si="4"/>
        <v>0</v>
      </c>
      <c r="U277" s="111">
        <v>46056</v>
      </c>
      <c r="V277" s="110" t="s">
        <v>5191</v>
      </c>
      <c r="W277" s="110" t="s">
        <v>54</v>
      </c>
      <c r="X277" s="110" t="s">
        <v>1089</v>
      </c>
      <c r="Y277" s="110" t="s">
        <v>5192</v>
      </c>
      <c r="AA277" s="113" t="s">
        <v>11</v>
      </c>
      <c r="AB277" s="113" t="s">
        <v>4479</v>
      </c>
    </row>
    <row r="278" spans="1:28">
      <c r="A278" s="108">
        <v>277</v>
      </c>
      <c r="B278" s="108" t="s">
        <v>225</v>
      </c>
      <c r="C278" s="109">
        <v>46043</v>
      </c>
      <c r="D278" s="110" t="s">
        <v>226</v>
      </c>
      <c r="E278" s="110" t="s">
        <v>4254</v>
      </c>
      <c r="F278" s="110" t="s">
        <v>294</v>
      </c>
      <c r="G278" s="110">
        <v>21</v>
      </c>
      <c r="H278" s="110" t="s">
        <v>5193</v>
      </c>
      <c r="I278" s="110" t="s">
        <v>5194</v>
      </c>
      <c r="J278" s="110"/>
      <c r="K278" s="119" t="s">
        <v>5195</v>
      </c>
      <c r="L278" s="110" t="s">
        <v>5195</v>
      </c>
      <c r="M278" s="110">
        <v>22510</v>
      </c>
      <c r="N278" s="110">
        <v>22600</v>
      </c>
      <c r="O278" s="111">
        <v>46074</v>
      </c>
      <c r="P278" s="112" t="s">
        <v>298</v>
      </c>
      <c r="Q278" s="110" t="s">
        <v>52</v>
      </c>
      <c r="R278" s="116" t="s">
        <v>298</v>
      </c>
      <c r="S278" s="110">
        <f>15000+4500+3100</f>
        <v>22600</v>
      </c>
      <c r="T278" s="110">
        <f t="shared" si="4"/>
        <v>0</v>
      </c>
      <c r="U278" s="111">
        <v>46074</v>
      </c>
      <c r="V278" s="110" t="s">
        <v>5196</v>
      </c>
      <c r="W278" s="110" t="s">
        <v>54</v>
      </c>
      <c r="X278" s="110" t="s">
        <v>298</v>
      </c>
      <c r="Y278" s="110" t="s">
        <v>300</v>
      </c>
      <c r="AA278" s="113" t="s">
        <v>4472</v>
      </c>
      <c r="AB278" s="113" t="s">
        <v>5146</v>
      </c>
    </row>
    <row r="279" spans="1:28">
      <c r="A279" s="108">
        <v>278</v>
      </c>
      <c r="B279" s="108" t="s">
        <v>225</v>
      </c>
      <c r="C279" s="109">
        <v>46043</v>
      </c>
      <c r="D279" s="110" t="s">
        <v>226</v>
      </c>
      <c r="E279" s="110" t="s">
        <v>4254</v>
      </c>
      <c r="F279" s="110" t="s">
        <v>236</v>
      </c>
      <c r="G279" s="110">
        <v>21</v>
      </c>
      <c r="H279" s="110" t="s">
        <v>5197</v>
      </c>
      <c r="I279" s="110">
        <v>9603689110</v>
      </c>
      <c r="J279" s="110"/>
      <c r="K279" s="119" t="s">
        <v>5198</v>
      </c>
      <c r="L279" s="110" t="s">
        <v>5198</v>
      </c>
      <c r="M279" s="110">
        <v>2380</v>
      </c>
      <c r="N279" s="110">
        <v>2380</v>
      </c>
      <c r="O279" s="111"/>
      <c r="P279" s="112"/>
      <c r="Q279" s="110"/>
      <c r="R279" s="110" t="s">
        <v>236</v>
      </c>
      <c r="S279" s="110"/>
      <c r="T279" s="110">
        <f t="shared" si="4"/>
        <v>2380</v>
      </c>
      <c r="U279" s="110"/>
      <c r="V279" s="110"/>
      <c r="W279" s="110"/>
      <c r="X279" s="110"/>
      <c r="Y279" s="110"/>
      <c r="AA279" s="113" t="s">
        <v>4472</v>
      </c>
      <c r="AB279" s="113" t="s">
        <v>4461</v>
      </c>
    </row>
    <row r="280" spans="1:28">
      <c r="A280" s="108">
        <v>279</v>
      </c>
      <c r="B280" s="108" t="s">
        <v>225</v>
      </c>
      <c r="C280" s="109">
        <v>46043</v>
      </c>
      <c r="D280" s="110" t="s">
        <v>226</v>
      </c>
      <c r="E280" s="110" t="s">
        <v>4254</v>
      </c>
      <c r="F280" s="110" t="s">
        <v>236</v>
      </c>
      <c r="G280" s="110">
        <v>21</v>
      </c>
      <c r="H280" s="110" t="s">
        <v>5199</v>
      </c>
      <c r="I280" s="110">
        <v>9003300100</v>
      </c>
      <c r="J280" s="110"/>
      <c r="K280" s="119" t="s">
        <v>5200</v>
      </c>
      <c r="L280" s="110" t="s">
        <v>5200</v>
      </c>
      <c r="M280" s="110">
        <v>1240</v>
      </c>
      <c r="N280" s="110">
        <v>1240</v>
      </c>
      <c r="O280" s="111"/>
      <c r="P280" s="112"/>
      <c r="Q280" s="110"/>
      <c r="R280" s="110" t="s">
        <v>236</v>
      </c>
      <c r="S280" s="110"/>
      <c r="T280" s="110">
        <f t="shared" si="4"/>
        <v>1240</v>
      </c>
      <c r="U280" s="110"/>
      <c r="V280" s="110"/>
      <c r="W280" s="110"/>
      <c r="X280" s="110"/>
      <c r="Y280" s="110"/>
      <c r="AA280" s="113" t="e">
        <v>#N/A</v>
      </c>
      <c r="AB280" s="113" t="e">
        <v>#N/A</v>
      </c>
    </row>
    <row r="281" spans="1:28">
      <c r="A281" s="108">
        <v>280</v>
      </c>
      <c r="B281" s="108" t="s">
        <v>225</v>
      </c>
      <c r="C281" s="109">
        <v>46043</v>
      </c>
      <c r="D281" s="110" t="s">
        <v>226</v>
      </c>
      <c r="E281" s="110" t="s">
        <v>4254</v>
      </c>
      <c r="F281" s="110" t="s">
        <v>236</v>
      </c>
      <c r="G281" s="110">
        <v>21</v>
      </c>
      <c r="H281" s="110" t="s">
        <v>5201</v>
      </c>
      <c r="I281" s="110">
        <v>8639115250</v>
      </c>
      <c r="J281" s="110"/>
      <c r="K281" s="119" t="s">
        <v>5202</v>
      </c>
      <c r="L281" s="110" t="s">
        <v>5202</v>
      </c>
      <c r="M281" s="110">
        <v>3560</v>
      </c>
      <c r="N281" s="110">
        <v>3560</v>
      </c>
      <c r="O281" s="111"/>
      <c r="P281" s="112"/>
      <c r="Q281" s="110"/>
      <c r="R281" s="110" t="s">
        <v>236</v>
      </c>
      <c r="S281" s="110"/>
      <c r="T281" s="110">
        <f t="shared" si="4"/>
        <v>3560</v>
      </c>
      <c r="U281" s="110"/>
      <c r="V281" s="110"/>
      <c r="W281" s="110"/>
      <c r="X281" s="110"/>
      <c r="Y281" s="110"/>
      <c r="AA281" s="113" t="e">
        <v>#N/A</v>
      </c>
      <c r="AB281" s="113" t="e">
        <v>#N/A</v>
      </c>
    </row>
    <row r="282" spans="1:28">
      <c r="A282" s="108">
        <v>281</v>
      </c>
      <c r="B282" s="108" t="s">
        <v>225</v>
      </c>
      <c r="C282" s="109">
        <v>46043</v>
      </c>
      <c r="D282" s="110" t="s">
        <v>226</v>
      </c>
      <c r="E282" s="110" t="s">
        <v>4254</v>
      </c>
      <c r="F282" s="110" t="s">
        <v>236</v>
      </c>
      <c r="G282" s="110">
        <v>21</v>
      </c>
      <c r="H282" s="110" t="s">
        <v>5203</v>
      </c>
      <c r="I282" s="110">
        <v>8919768757</v>
      </c>
      <c r="J282" s="110"/>
      <c r="K282" s="119" t="s">
        <v>5204</v>
      </c>
      <c r="L282" s="110" t="s">
        <v>5204</v>
      </c>
      <c r="M282" s="110">
        <v>1150</v>
      </c>
      <c r="N282" s="110">
        <v>1150</v>
      </c>
      <c r="O282" s="111"/>
      <c r="P282" s="112"/>
      <c r="Q282" s="110"/>
      <c r="R282" s="110" t="s">
        <v>236</v>
      </c>
      <c r="S282" s="110"/>
      <c r="T282" s="110">
        <f t="shared" si="4"/>
        <v>1150</v>
      </c>
      <c r="U282" s="110"/>
      <c r="V282" s="110"/>
      <c r="W282" s="110"/>
      <c r="X282" s="110"/>
      <c r="Y282" s="110"/>
      <c r="AA282" s="113" t="e">
        <v>#N/A</v>
      </c>
      <c r="AB282" s="113" t="e">
        <v>#N/A</v>
      </c>
    </row>
    <row r="283" spans="1:28">
      <c r="A283" s="108">
        <v>282</v>
      </c>
      <c r="B283" s="108" t="s">
        <v>225</v>
      </c>
      <c r="C283" s="109">
        <v>46043</v>
      </c>
      <c r="D283" s="110" t="s">
        <v>226</v>
      </c>
      <c r="E283" s="110" t="s">
        <v>4254</v>
      </c>
      <c r="F283" s="110" t="s">
        <v>236</v>
      </c>
      <c r="G283" s="110">
        <v>21</v>
      </c>
      <c r="H283" s="110" t="s">
        <v>5205</v>
      </c>
      <c r="I283" s="110">
        <v>9865642925</v>
      </c>
      <c r="J283" s="110"/>
      <c r="K283" s="119" t="s">
        <v>5206</v>
      </c>
      <c r="L283" s="110" t="s">
        <v>5206</v>
      </c>
      <c r="M283" s="110">
        <v>2290</v>
      </c>
      <c r="N283" s="110">
        <v>2290</v>
      </c>
      <c r="O283" s="111"/>
      <c r="P283" s="112"/>
      <c r="Q283" s="110"/>
      <c r="R283" s="110" t="s">
        <v>236</v>
      </c>
      <c r="S283" s="110"/>
      <c r="T283" s="110">
        <f t="shared" si="4"/>
        <v>2290</v>
      </c>
      <c r="U283" s="110"/>
      <c r="V283" s="110"/>
      <c r="W283" s="110"/>
      <c r="X283" s="110"/>
      <c r="Y283" s="110"/>
      <c r="AA283" s="113" t="e">
        <v>#N/A</v>
      </c>
      <c r="AB283" s="113" t="e">
        <v>#N/A</v>
      </c>
    </row>
    <row r="284" spans="1:28">
      <c r="A284" s="108">
        <v>283</v>
      </c>
      <c r="B284" s="108" t="s">
        <v>225</v>
      </c>
      <c r="C284" s="109">
        <v>46043</v>
      </c>
      <c r="D284" s="110" t="s">
        <v>226</v>
      </c>
      <c r="E284" s="110" t="s">
        <v>4254</v>
      </c>
      <c r="F284" s="110" t="s">
        <v>236</v>
      </c>
      <c r="G284" s="110">
        <v>21</v>
      </c>
      <c r="H284" s="110" t="s">
        <v>5207</v>
      </c>
      <c r="I284" s="110">
        <v>9100303974</v>
      </c>
      <c r="J284" s="110"/>
      <c r="K284" s="119" t="s">
        <v>5208</v>
      </c>
      <c r="L284" s="110" t="s">
        <v>5208</v>
      </c>
      <c r="M284" s="110">
        <v>840</v>
      </c>
      <c r="N284" s="110">
        <v>840</v>
      </c>
      <c r="O284" s="111"/>
      <c r="P284" s="112"/>
      <c r="Q284" s="110"/>
      <c r="R284" s="110" t="s">
        <v>236</v>
      </c>
      <c r="S284" s="110"/>
      <c r="T284" s="110">
        <f t="shared" si="4"/>
        <v>840</v>
      </c>
      <c r="U284" s="110"/>
      <c r="V284" s="110"/>
      <c r="W284" s="110"/>
      <c r="X284" s="110"/>
      <c r="Y284" s="110"/>
      <c r="AA284" s="113" t="s">
        <v>11</v>
      </c>
      <c r="AB284" s="113" t="s">
        <v>4479</v>
      </c>
    </row>
    <row r="285" spans="1:28">
      <c r="A285" s="108">
        <v>284</v>
      </c>
      <c r="B285" s="108" t="s">
        <v>225</v>
      </c>
      <c r="C285" s="109">
        <v>46043</v>
      </c>
      <c r="D285" s="110" t="s">
        <v>226</v>
      </c>
      <c r="E285" s="110" t="s">
        <v>4254</v>
      </c>
      <c r="F285" s="110" t="s">
        <v>236</v>
      </c>
      <c r="G285" s="110">
        <v>21</v>
      </c>
      <c r="H285" s="110" t="s">
        <v>5209</v>
      </c>
      <c r="I285" s="110">
        <v>8919428284</v>
      </c>
      <c r="J285" s="110"/>
      <c r="K285" s="119" t="s">
        <v>5210</v>
      </c>
      <c r="L285" s="110" t="s">
        <v>5210</v>
      </c>
      <c r="M285" s="110">
        <v>160</v>
      </c>
      <c r="N285" s="110">
        <v>160</v>
      </c>
      <c r="O285" s="111"/>
      <c r="P285" s="112"/>
      <c r="Q285" s="110"/>
      <c r="R285" s="110" t="s">
        <v>236</v>
      </c>
      <c r="S285" s="110"/>
      <c r="T285" s="110">
        <f t="shared" si="4"/>
        <v>160</v>
      </c>
      <c r="U285" s="110"/>
      <c r="V285" s="110"/>
      <c r="W285" s="110"/>
      <c r="X285" s="110"/>
      <c r="Y285" s="110"/>
      <c r="AA285" s="113" t="s">
        <v>11</v>
      </c>
      <c r="AB285" s="113" t="s">
        <v>5211</v>
      </c>
    </row>
    <row r="286" spans="1:28">
      <c r="A286" s="108">
        <v>285</v>
      </c>
      <c r="B286" s="108" t="s">
        <v>225</v>
      </c>
      <c r="C286" s="109">
        <v>46043</v>
      </c>
      <c r="D286" s="110" t="s">
        <v>226</v>
      </c>
      <c r="E286" s="110" t="s">
        <v>4254</v>
      </c>
      <c r="F286" s="110" t="s">
        <v>236</v>
      </c>
      <c r="G286" s="110">
        <v>21</v>
      </c>
      <c r="H286" s="110" t="s">
        <v>5212</v>
      </c>
      <c r="I286" s="110">
        <v>9959361313</v>
      </c>
      <c r="J286" s="110"/>
      <c r="K286" s="119" t="s">
        <v>5213</v>
      </c>
      <c r="L286" s="110" t="s">
        <v>5213</v>
      </c>
      <c r="M286" s="110">
        <v>1760</v>
      </c>
      <c r="N286" s="110">
        <v>1760</v>
      </c>
      <c r="O286" s="111"/>
      <c r="P286" s="112"/>
      <c r="Q286" s="110"/>
      <c r="R286" s="110" t="s">
        <v>236</v>
      </c>
      <c r="S286" s="110"/>
      <c r="T286" s="110">
        <f t="shared" si="4"/>
        <v>1760</v>
      </c>
      <c r="U286" s="110"/>
      <c r="V286" s="110"/>
      <c r="W286" s="110"/>
      <c r="X286" s="110"/>
      <c r="Y286" s="110"/>
      <c r="AA286" s="113" t="s">
        <v>4983</v>
      </c>
      <c r="AB286" s="113" t="s">
        <v>4969</v>
      </c>
    </row>
    <row r="287" spans="1:28">
      <c r="A287" s="108">
        <v>286</v>
      </c>
      <c r="B287" s="108" t="s">
        <v>225</v>
      </c>
      <c r="C287" s="109">
        <v>46043</v>
      </c>
      <c r="D287" s="110" t="s">
        <v>226</v>
      </c>
      <c r="E287" s="110" t="s">
        <v>4254</v>
      </c>
      <c r="F287" s="110" t="s">
        <v>236</v>
      </c>
      <c r="G287" s="110">
        <v>21</v>
      </c>
      <c r="H287" s="110" t="s">
        <v>5214</v>
      </c>
      <c r="I287" s="110">
        <v>9494407833</v>
      </c>
      <c r="J287" s="110"/>
      <c r="K287" s="119" t="s">
        <v>5215</v>
      </c>
      <c r="L287" s="110" t="s">
        <v>5215</v>
      </c>
      <c r="M287" s="110">
        <v>1210</v>
      </c>
      <c r="N287" s="110">
        <v>1210</v>
      </c>
      <c r="O287" s="111"/>
      <c r="P287" s="112"/>
      <c r="Q287" s="110"/>
      <c r="R287" s="110" t="s">
        <v>236</v>
      </c>
      <c r="S287" s="110"/>
      <c r="T287" s="110">
        <f t="shared" si="4"/>
        <v>1210</v>
      </c>
      <c r="U287" s="110"/>
      <c r="V287" s="110"/>
      <c r="W287" s="110"/>
      <c r="X287" s="110"/>
      <c r="Y287" s="110"/>
      <c r="AA287" s="113" t="e">
        <v>#N/A</v>
      </c>
      <c r="AB287" s="113" t="e">
        <v>#N/A</v>
      </c>
    </row>
    <row r="288" spans="1:28">
      <c r="A288" s="108">
        <v>287</v>
      </c>
      <c r="B288" s="108" t="s">
        <v>225</v>
      </c>
      <c r="C288" s="109">
        <v>46043</v>
      </c>
      <c r="D288" s="110" t="s">
        <v>226</v>
      </c>
      <c r="E288" s="110" t="s">
        <v>4254</v>
      </c>
      <c r="F288" s="110" t="s">
        <v>236</v>
      </c>
      <c r="G288" s="110">
        <v>21</v>
      </c>
      <c r="H288" s="110" t="s">
        <v>5216</v>
      </c>
      <c r="I288" s="110">
        <v>9160399275</v>
      </c>
      <c r="J288" s="110"/>
      <c r="K288" s="119" t="s">
        <v>5217</v>
      </c>
      <c r="L288" s="110" t="s">
        <v>5217</v>
      </c>
      <c r="M288" s="110">
        <v>2550</v>
      </c>
      <c r="N288" s="110">
        <v>2550</v>
      </c>
      <c r="O288" s="111"/>
      <c r="P288" s="112"/>
      <c r="Q288" s="110"/>
      <c r="R288" s="110" t="s">
        <v>236</v>
      </c>
      <c r="S288" s="110"/>
      <c r="T288" s="110">
        <f t="shared" si="4"/>
        <v>2550</v>
      </c>
      <c r="U288" s="110"/>
      <c r="V288" s="110"/>
      <c r="W288" s="110"/>
      <c r="X288" s="110"/>
      <c r="Y288" s="110"/>
      <c r="AA288" s="113" t="e">
        <v>#N/A</v>
      </c>
      <c r="AB288" s="113" t="e">
        <v>#N/A</v>
      </c>
    </row>
    <row r="289" spans="1:28">
      <c r="A289" s="108">
        <v>288</v>
      </c>
      <c r="B289" s="108"/>
      <c r="C289" s="109">
        <v>46043</v>
      </c>
      <c r="D289" s="110" t="s">
        <v>226</v>
      </c>
      <c r="E289" s="110" t="s">
        <v>4254</v>
      </c>
      <c r="F289" s="110" t="s">
        <v>767</v>
      </c>
      <c r="G289" s="110">
        <v>21</v>
      </c>
      <c r="H289" s="110" t="s">
        <v>5218</v>
      </c>
      <c r="I289" s="110">
        <v>9705367706</v>
      </c>
      <c r="J289" s="110"/>
      <c r="K289" s="119" t="s">
        <v>5219</v>
      </c>
      <c r="L289" s="110" t="s">
        <v>5219</v>
      </c>
      <c r="M289" s="116">
        <v>14660</v>
      </c>
      <c r="N289" s="110">
        <v>661</v>
      </c>
      <c r="O289" s="111"/>
      <c r="P289" s="112" t="s">
        <v>774</v>
      </c>
      <c r="Q289" s="110"/>
      <c r="R289" s="110" t="s">
        <v>772</v>
      </c>
      <c r="S289" s="110"/>
      <c r="T289" s="110">
        <f t="shared" si="4"/>
        <v>661</v>
      </c>
      <c r="U289" s="110"/>
      <c r="V289" s="110"/>
      <c r="W289" s="110"/>
      <c r="X289" s="114" t="s">
        <v>774</v>
      </c>
      <c r="Y289" s="114" t="s">
        <v>1465</v>
      </c>
      <c r="AA289" s="113" t="s">
        <v>4472</v>
      </c>
      <c r="AB289" s="113" t="s">
        <v>4916</v>
      </c>
    </row>
    <row r="290" spans="1:28">
      <c r="A290" s="108">
        <v>289</v>
      </c>
      <c r="B290" s="108" t="s">
        <v>225</v>
      </c>
      <c r="C290" s="109">
        <v>46043</v>
      </c>
      <c r="D290" s="110" t="s">
        <v>226</v>
      </c>
      <c r="E290" s="110" t="s">
        <v>4254</v>
      </c>
      <c r="F290" s="110" t="s">
        <v>767</v>
      </c>
      <c r="G290" s="110">
        <v>21</v>
      </c>
      <c r="H290" s="110" t="s">
        <v>5220</v>
      </c>
      <c r="I290" s="110">
        <v>6300720836</v>
      </c>
      <c r="J290" s="110"/>
      <c r="K290" s="119" t="s">
        <v>5221</v>
      </c>
      <c r="L290" s="110" t="s">
        <v>5221</v>
      </c>
      <c r="M290" s="116">
        <v>18010</v>
      </c>
      <c r="N290" s="110">
        <v>1005</v>
      </c>
      <c r="O290" s="111"/>
      <c r="P290" s="112" t="s">
        <v>340</v>
      </c>
      <c r="Q290" s="110"/>
      <c r="R290" s="110" t="s">
        <v>772</v>
      </c>
      <c r="S290" s="110"/>
      <c r="T290" s="110">
        <f t="shared" si="4"/>
        <v>1005</v>
      </c>
      <c r="U290" s="110"/>
      <c r="V290" s="110"/>
      <c r="W290" s="110"/>
      <c r="X290" s="114" t="s">
        <v>340</v>
      </c>
      <c r="Y290" s="114" t="s">
        <v>1254</v>
      </c>
      <c r="AA290" s="113" t="s">
        <v>4484</v>
      </c>
      <c r="AB290" s="113" t="s">
        <v>4485</v>
      </c>
    </row>
    <row r="291" spans="1:28">
      <c r="A291" s="108">
        <v>290</v>
      </c>
      <c r="B291" s="108"/>
      <c r="C291" s="109">
        <v>46042</v>
      </c>
      <c r="D291" s="110" t="s">
        <v>226</v>
      </c>
      <c r="E291" s="110" t="s">
        <v>4254</v>
      </c>
      <c r="F291" s="110" t="s">
        <v>310</v>
      </c>
      <c r="G291" s="110">
        <v>20</v>
      </c>
      <c r="H291" s="110" t="s">
        <v>5222</v>
      </c>
      <c r="I291" s="110">
        <v>8096059631</v>
      </c>
      <c r="J291" s="110"/>
      <c r="K291" s="119" t="s">
        <v>5223</v>
      </c>
      <c r="L291" s="110" t="s">
        <v>5223</v>
      </c>
      <c r="M291" s="110">
        <v>13450</v>
      </c>
      <c r="N291" s="110">
        <v>13450</v>
      </c>
      <c r="O291" s="110" t="s">
        <v>239</v>
      </c>
      <c r="P291" s="110" t="s">
        <v>239</v>
      </c>
      <c r="Q291" s="110" t="s">
        <v>239</v>
      </c>
      <c r="R291" s="110" t="s">
        <v>3580</v>
      </c>
      <c r="S291" s="110"/>
      <c r="T291" s="110">
        <f t="shared" si="4"/>
        <v>13450</v>
      </c>
      <c r="U291" s="110"/>
      <c r="V291" s="110"/>
      <c r="W291" s="110"/>
      <c r="X291" s="114" t="s">
        <v>315</v>
      </c>
      <c r="Y291" s="114" t="s">
        <v>832</v>
      </c>
      <c r="Z291" s="113" t="s">
        <v>5105</v>
      </c>
      <c r="AA291" s="113" t="s">
        <v>11</v>
      </c>
      <c r="AB291" s="113" t="s">
        <v>4254</v>
      </c>
    </row>
    <row r="292" spans="1:28">
      <c r="A292" s="108">
        <v>291</v>
      </c>
      <c r="B292" s="108"/>
      <c r="C292" s="109">
        <v>46042</v>
      </c>
      <c r="D292" s="110" t="s">
        <v>226</v>
      </c>
      <c r="E292" s="110" t="s">
        <v>4254</v>
      </c>
      <c r="F292" s="110" t="s">
        <v>310</v>
      </c>
      <c r="G292" s="110">
        <v>20</v>
      </c>
      <c r="H292" s="110" t="s">
        <v>5224</v>
      </c>
      <c r="I292" s="110">
        <v>9182765784</v>
      </c>
      <c r="J292" s="110"/>
      <c r="K292" s="119" t="s">
        <v>5225</v>
      </c>
      <c r="L292" s="110" t="s">
        <v>5225</v>
      </c>
      <c r="M292" s="110">
        <v>4700</v>
      </c>
      <c r="N292" s="110">
        <v>4700</v>
      </c>
      <c r="O292" s="111"/>
      <c r="P292" s="112"/>
      <c r="Q292" s="110"/>
      <c r="R292" s="110" t="s">
        <v>3580</v>
      </c>
      <c r="S292" s="110"/>
      <c r="T292" s="110">
        <f t="shared" si="4"/>
        <v>4700</v>
      </c>
      <c r="U292" s="110"/>
      <c r="V292" s="110"/>
      <c r="W292" s="110"/>
      <c r="X292" s="114" t="s">
        <v>328</v>
      </c>
      <c r="Y292" s="114" t="s">
        <v>2418</v>
      </c>
      <c r="AA292" s="113" t="s">
        <v>4983</v>
      </c>
      <c r="AB292" s="113" t="s">
        <v>4479</v>
      </c>
    </row>
    <row r="293" spans="1:28">
      <c r="A293" s="108">
        <v>292</v>
      </c>
      <c r="B293" s="108"/>
      <c r="C293" s="109">
        <v>46042</v>
      </c>
      <c r="D293" s="110" t="s">
        <v>226</v>
      </c>
      <c r="E293" s="110" t="s">
        <v>4254</v>
      </c>
      <c r="F293" s="110" t="s">
        <v>310</v>
      </c>
      <c r="G293" s="110">
        <v>20</v>
      </c>
      <c r="H293" s="110" t="s">
        <v>5226</v>
      </c>
      <c r="I293" s="110">
        <v>6305966577</v>
      </c>
      <c r="J293" s="110"/>
      <c r="K293" s="119" t="s">
        <v>5227</v>
      </c>
      <c r="L293" s="110" t="s">
        <v>5227</v>
      </c>
      <c r="M293" s="110">
        <v>9000</v>
      </c>
      <c r="N293" s="110">
        <v>9000</v>
      </c>
      <c r="O293" s="110" t="s">
        <v>239</v>
      </c>
      <c r="P293" s="110" t="s">
        <v>239</v>
      </c>
      <c r="Q293" s="110" t="s">
        <v>239</v>
      </c>
      <c r="R293" s="110" t="s">
        <v>3580</v>
      </c>
      <c r="S293" s="110"/>
      <c r="T293" s="110">
        <f t="shared" si="4"/>
        <v>9000</v>
      </c>
      <c r="U293" s="110"/>
      <c r="V293" s="110"/>
      <c r="W293" s="110"/>
      <c r="X293" s="114" t="s">
        <v>315</v>
      </c>
      <c r="Y293" s="114" t="s">
        <v>832</v>
      </c>
      <c r="AA293" s="113" t="s">
        <v>11</v>
      </c>
      <c r="AB293" s="113" t="s">
        <v>4254</v>
      </c>
    </row>
    <row r="294" spans="1:28">
      <c r="A294" s="108">
        <v>293</v>
      </c>
      <c r="B294" s="108"/>
      <c r="C294" s="109">
        <v>46042</v>
      </c>
      <c r="D294" s="110" t="s">
        <v>226</v>
      </c>
      <c r="E294" s="110" t="s">
        <v>4254</v>
      </c>
      <c r="F294" s="110" t="s">
        <v>310</v>
      </c>
      <c r="G294" s="110">
        <v>20</v>
      </c>
      <c r="H294" s="110" t="s">
        <v>5228</v>
      </c>
      <c r="I294" s="110">
        <v>7995921314</v>
      </c>
      <c r="J294" s="110"/>
      <c r="K294" s="119" t="s">
        <v>5229</v>
      </c>
      <c r="L294" s="110" t="s">
        <v>5229</v>
      </c>
      <c r="M294" s="110">
        <v>16600</v>
      </c>
      <c r="N294" s="110">
        <v>16600</v>
      </c>
      <c r="O294" s="111"/>
      <c r="P294" s="112"/>
      <c r="Q294" s="110"/>
      <c r="R294" s="110" t="s">
        <v>3580</v>
      </c>
      <c r="S294" s="110">
        <f>10000</f>
        <v>10000</v>
      </c>
      <c r="T294" s="110">
        <f t="shared" si="4"/>
        <v>6600</v>
      </c>
      <c r="U294" s="110" t="s">
        <v>5230</v>
      </c>
      <c r="V294" s="110"/>
      <c r="W294" s="110"/>
      <c r="X294" s="114" t="s">
        <v>5100</v>
      </c>
      <c r="Y294" s="114" t="s">
        <v>5018</v>
      </c>
      <c r="AA294" s="113" t="s">
        <v>4472</v>
      </c>
      <c r="AB294" s="113" t="s">
        <v>4461</v>
      </c>
    </row>
    <row r="295" spans="1:28">
      <c r="A295" s="108">
        <v>294</v>
      </c>
      <c r="B295" s="108"/>
      <c r="C295" s="109">
        <v>46042</v>
      </c>
      <c r="D295" s="110" t="s">
        <v>226</v>
      </c>
      <c r="E295" s="110" t="s">
        <v>4254</v>
      </c>
      <c r="F295" s="110" t="s">
        <v>310</v>
      </c>
      <c r="G295" s="110">
        <v>20</v>
      </c>
      <c r="H295" s="110" t="s">
        <v>5231</v>
      </c>
      <c r="I295" s="110">
        <v>9948060010</v>
      </c>
      <c r="J295" s="110"/>
      <c r="K295" s="119" t="s">
        <v>5232</v>
      </c>
      <c r="L295" s="110" t="s">
        <v>5232</v>
      </c>
      <c r="M295" s="116">
        <v>8410</v>
      </c>
      <c r="N295" s="110">
        <v>3410</v>
      </c>
      <c r="O295" s="111">
        <v>46044</v>
      </c>
      <c r="P295" s="112" t="s">
        <v>5100</v>
      </c>
      <c r="Q295" s="110" t="s">
        <v>52</v>
      </c>
      <c r="R295" s="110" t="s">
        <v>3580</v>
      </c>
      <c r="S295" s="110">
        <v>3400</v>
      </c>
      <c r="T295" s="110">
        <f t="shared" si="4"/>
        <v>10</v>
      </c>
      <c r="U295" s="111">
        <v>46044</v>
      </c>
      <c r="V295" s="110" t="s">
        <v>5233</v>
      </c>
      <c r="W295" s="110" t="s">
        <v>54</v>
      </c>
      <c r="X295" s="114" t="s">
        <v>5100</v>
      </c>
      <c r="Y295" s="114" t="s">
        <v>2293</v>
      </c>
      <c r="AA295" s="113" t="s">
        <v>11</v>
      </c>
      <c r="AB295" s="113" t="s">
        <v>4464</v>
      </c>
    </row>
    <row r="296" spans="1:28">
      <c r="A296" s="108">
        <v>295</v>
      </c>
      <c r="B296" s="108" t="s">
        <v>225</v>
      </c>
      <c r="C296" s="109">
        <v>46044</v>
      </c>
      <c r="D296" s="110" t="s">
        <v>226</v>
      </c>
      <c r="E296" s="110" t="s">
        <v>4254</v>
      </c>
      <c r="F296" s="110" t="s">
        <v>236</v>
      </c>
      <c r="G296" s="110">
        <v>22</v>
      </c>
      <c r="H296" s="110" t="s">
        <v>5234</v>
      </c>
      <c r="I296" s="110">
        <v>9110764285</v>
      </c>
      <c r="J296" s="110"/>
      <c r="K296" s="119" t="s">
        <v>5235</v>
      </c>
      <c r="L296" s="110" t="s">
        <v>5235</v>
      </c>
      <c r="M296" s="110">
        <v>6550</v>
      </c>
      <c r="N296" s="110">
        <v>6554</v>
      </c>
      <c r="O296" s="111"/>
      <c r="P296" s="112"/>
      <c r="Q296" s="110"/>
      <c r="R296" s="110" t="s">
        <v>236</v>
      </c>
      <c r="S296" s="110"/>
      <c r="T296" s="110">
        <f t="shared" si="4"/>
        <v>6554</v>
      </c>
      <c r="U296" s="110"/>
      <c r="V296" s="110"/>
      <c r="W296" s="110"/>
      <c r="X296" s="110"/>
      <c r="Y296" s="110"/>
      <c r="AA296" s="113" t="e">
        <v>#N/A</v>
      </c>
      <c r="AB296" s="113" t="e">
        <v>#N/A</v>
      </c>
    </row>
    <row r="297" spans="1:28">
      <c r="A297" s="108">
        <v>296</v>
      </c>
      <c r="B297" s="108" t="s">
        <v>225</v>
      </c>
      <c r="C297" s="109">
        <v>46044</v>
      </c>
      <c r="D297" s="110" t="s">
        <v>226</v>
      </c>
      <c r="E297" s="110" t="s">
        <v>4254</v>
      </c>
      <c r="F297" s="110" t="s">
        <v>236</v>
      </c>
      <c r="G297" s="110">
        <v>22</v>
      </c>
      <c r="H297" s="110" t="s">
        <v>5236</v>
      </c>
      <c r="I297" s="110">
        <v>9581654127</v>
      </c>
      <c r="J297" s="110"/>
      <c r="K297" s="119" t="s">
        <v>5237</v>
      </c>
      <c r="L297" s="110" t="s">
        <v>5237</v>
      </c>
      <c r="M297" s="110">
        <v>2160</v>
      </c>
      <c r="N297" s="110">
        <v>2169</v>
      </c>
      <c r="O297" s="111"/>
      <c r="P297" s="112"/>
      <c r="Q297" s="110"/>
      <c r="R297" s="110" t="s">
        <v>236</v>
      </c>
      <c r="S297" s="110"/>
      <c r="T297" s="110">
        <f t="shared" si="4"/>
        <v>2169</v>
      </c>
      <c r="U297" s="110"/>
      <c r="V297" s="110"/>
      <c r="W297" s="110"/>
      <c r="X297" s="110"/>
      <c r="Y297" s="110"/>
      <c r="AA297" s="113" t="e">
        <v>#N/A</v>
      </c>
      <c r="AB297" s="113" t="e">
        <v>#N/A</v>
      </c>
    </row>
    <row r="298" spans="1:28">
      <c r="A298" s="108">
        <v>297</v>
      </c>
      <c r="B298" s="108" t="s">
        <v>225</v>
      </c>
      <c r="C298" s="109">
        <v>46044</v>
      </c>
      <c r="D298" s="110" t="s">
        <v>226</v>
      </c>
      <c r="E298" s="110" t="s">
        <v>4254</v>
      </c>
      <c r="F298" s="110" t="s">
        <v>236</v>
      </c>
      <c r="G298" s="110">
        <v>22</v>
      </c>
      <c r="H298" s="110" t="s">
        <v>5238</v>
      </c>
      <c r="I298" s="110">
        <v>7730940941</v>
      </c>
      <c r="J298" s="110"/>
      <c r="K298" s="119" t="s">
        <v>5239</v>
      </c>
      <c r="L298" s="110" t="s">
        <v>5239</v>
      </c>
      <c r="M298" s="110">
        <v>765</v>
      </c>
      <c r="N298" s="110">
        <v>770</v>
      </c>
      <c r="O298" s="111"/>
      <c r="P298" s="112"/>
      <c r="Q298" s="110"/>
      <c r="R298" s="110" t="s">
        <v>236</v>
      </c>
      <c r="S298" s="110"/>
      <c r="T298" s="110">
        <f t="shared" si="4"/>
        <v>770</v>
      </c>
      <c r="U298" s="110"/>
      <c r="V298" s="110"/>
      <c r="W298" s="110"/>
      <c r="X298" s="110"/>
      <c r="Y298" s="110"/>
      <c r="AA298" s="113" t="e">
        <v>#N/A</v>
      </c>
      <c r="AB298" s="113" t="e">
        <v>#N/A</v>
      </c>
    </row>
    <row r="299" spans="1:28">
      <c r="A299" s="108">
        <v>298</v>
      </c>
      <c r="B299" s="108" t="s">
        <v>225</v>
      </c>
      <c r="C299" s="109">
        <v>46045</v>
      </c>
      <c r="D299" s="110" t="s">
        <v>226</v>
      </c>
      <c r="E299" s="110" t="s">
        <v>4254</v>
      </c>
      <c r="F299" s="110" t="s">
        <v>236</v>
      </c>
      <c r="G299" s="110">
        <v>23</v>
      </c>
      <c r="H299" s="110" t="s">
        <v>5240</v>
      </c>
      <c r="I299" s="110">
        <v>8951608712</v>
      </c>
      <c r="J299" s="110"/>
      <c r="K299" s="119" t="s">
        <v>5241</v>
      </c>
      <c r="L299" s="110" t="s">
        <v>5241</v>
      </c>
      <c r="M299" s="110">
        <v>3240</v>
      </c>
      <c r="N299" s="110">
        <v>3250</v>
      </c>
      <c r="O299" s="111"/>
      <c r="P299" s="112"/>
      <c r="Q299" s="110"/>
      <c r="R299" s="110" t="s">
        <v>236</v>
      </c>
      <c r="S299" s="110"/>
      <c r="T299" s="110">
        <f t="shared" si="4"/>
        <v>3250</v>
      </c>
      <c r="U299" s="110"/>
      <c r="V299" s="110"/>
      <c r="W299" s="110"/>
      <c r="X299" s="110"/>
      <c r="Y299" s="110"/>
      <c r="AA299" s="113" t="e">
        <v>#N/A</v>
      </c>
      <c r="AB299" s="113" t="e">
        <v>#N/A</v>
      </c>
    </row>
    <row r="300" spans="1:28">
      <c r="A300" s="108">
        <v>299</v>
      </c>
      <c r="B300" s="108" t="s">
        <v>225</v>
      </c>
      <c r="C300" s="109">
        <v>46045</v>
      </c>
      <c r="D300" s="110" t="s">
        <v>226</v>
      </c>
      <c r="E300" s="110" t="s">
        <v>4254</v>
      </c>
      <c r="F300" s="110" t="s">
        <v>236</v>
      </c>
      <c r="G300" s="110">
        <v>23</v>
      </c>
      <c r="H300" s="110" t="s">
        <v>5242</v>
      </c>
      <c r="I300" s="110">
        <v>9943873529</v>
      </c>
      <c r="J300" s="110"/>
      <c r="K300" s="119" t="s">
        <v>5243</v>
      </c>
      <c r="L300" s="110" t="s">
        <v>5243</v>
      </c>
      <c r="M300" s="110">
        <v>1150</v>
      </c>
      <c r="N300" s="110">
        <v>1159</v>
      </c>
      <c r="O300" s="111"/>
      <c r="P300" s="112"/>
      <c r="Q300" s="110"/>
      <c r="R300" s="110" t="s">
        <v>236</v>
      </c>
      <c r="S300" s="110"/>
      <c r="T300" s="110">
        <f t="shared" si="4"/>
        <v>1159</v>
      </c>
      <c r="U300" s="110"/>
      <c r="V300" s="110"/>
      <c r="W300" s="110"/>
      <c r="X300" s="110"/>
      <c r="Y300" s="110"/>
      <c r="AA300" s="113" t="e">
        <v>#N/A</v>
      </c>
      <c r="AB300" s="113" t="e">
        <v>#N/A</v>
      </c>
    </row>
    <row r="301" spans="1:28">
      <c r="A301" s="108">
        <v>300</v>
      </c>
      <c r="B301" s="108"/>
      <c r="C301" s="109">
        <v>46043</v>
      </c>
      <c r="D301" s="110" t="s">
        <v>226</v>
      </c>
      <c r="E301" s="110" t="s">
        <v>4254</v>
      </c>
      <c r="F301" s="110" t="s">
        <v>767</v>
      </c>
      <c r="G301" s="110">
        <v>21</v>
      </c>
      <c r="H301" s="110" t="s">
        <v>5244</v>
      </c>
      <c r="I301" s="110">
        <v>7013387243</v>
      </c>
      <c r="J301" s="110"/>
      <c r="K301" s="119" t="s">
        <v>5245</v>
      </c>
      <c r="L301" s="110" t="s">
        <v>5245</v>
      </c>
      <c r="M301" s="110">
        <v>15105</v>
      </c>
      <c r="N301" s="110">
        <v>15105</v>
      </c>
      <c r="O301" s="111">
        <v>46046</v>
      </c>
      <c r="P301" s="112" t="s">
        <v>972</v>
      </c>
      <c r="Q301" s="110" t="s">
        <v>52</v>
      </c>
      <c r="R301" s="110" t="s">
        <v>772</v>
      </c>
      <c r="S301" s="110">
        <v>15100</v>
      </c>
      <c r="T301" s="110">
        <f t="shared" si="4"/>
        <v>5</v>
      </c>
      <c r="U301" s="111">
        <v>46046</v>
      </c>
      <c r="V301" s="110" t="s">
        <v>5246</v>
      </c>
      <c r="W301" s="110" t="s">
        <v>54</v>
      </c>
      <c r="X301" s="114" t="s">
        <v>972</v>
      </c>
      <c r="Y301" s="114" t="s">
        <v>796</v>
      </c>
      <c r="AA301" s="113" t="s">
        <v>4472</v>
      </c>
      <c r="AB301" s="113" t="s">
        <v>5146</v>
      </c>
    </row>
    <row r="302" spans="1:28">
      <c r="A302" s="108">
        <v>301</v>
      </c>
      <c r="B302" s="108"/>
      <c r="C302" s="109">
        <v>46043</v>
      </c>
      <c r="D302" s="110" t="s">
        <v>226</v>
      </c>
      <c r="E302" s="110" t="s">
        <v>4254</v>
      </c>
      <c r="F302" s="110" t="s">
        <v>767</v>
      </c>
      <c r="G302" s="110">
        <v>21</v>
      </c>
      <c r="H302" s="114" t="s">
        <v>5247</v>
      </c>
      <c r="I302" s="114" t="s">
        <v>5248</v>
      </c>
      <c r="J302" s="114"/>
      <c r="K302" s="114" t="s">
        <v>5249</v>
      </c>
      <c r="L302" s="114" t="s">
        <v>5249</v>
      </c>
      <c r="M302" s="116">
        <v>15869</v>
      </c>
      <c r="N302" s="116">
        <v>15869</v>
      </c>
      <c r="O302" s="111">
        <v>46059</v>
      </c>
      <c r="P302" s="112" t="s">
        <v>972</v>
      </c>
      <c r="Q302" s="110" t="s">
        <v>52</v>
      </c>
      <c r="R302" s="110" t="s">
        <v>772</v>
      </c>
      <c r="S302" s="110">
        <v>15800</v>
      </c>
      <c r="T302" s="110">
        <f t="shared" si="4"/>
        <v>69</v>
      </c>
      <c r="U302" s="111">
        <v>46059</v>
      </c>
      <c r="V302" s="110" t="s">
        <v>5250</v>
      </c>
      <c r="W302" s="110" t="s">
        <v>54</v>
      </c>
      <c r="X302" s="114" t="s">
        <v>972</v>
      </c>
      <c r="Y302" s="114" t="s">
        <v>5251</v>
      </c>
      <c r="AA302" s="113" t="s">
        <v>11</v>
      </c>
      <c r="AB302" s="113" t="s">
        <v>5211</v>
      </c>
    </row>
    <row r="303" spans="1:28">
      <c r="A303" s="108">
        <v>302</v>
      </c>
      <c r="B303" s="108"/>
      <c r="C303" s="109">
        <v>46027</v>
      </c>
      <c r="D303" s="110" t="s">
        <v>226</v>
      </c>
      <c r="E303" s="110" t="s">
        <v>5252</v>
      </c>
      <c r="F303" s="110" t="s">
        <v>236</v>
      </c>
      <c r="G303" s="110">
        <v>5</v>
      </c>
      <c r="H303" s="110" t="s">
        <v>5253</v>
      </c>
      <c r="I303" s="110">
        <v>8121264641</v>
      </c>
      <c r="J303" s="110"/>
      <c r="K303" s="119" t="s">
        <v>5254</v>
      </c>
      <c r="L303" s="110" t="s">
        <v>5254</v>
      </c>
      <c r="M303" s="110">
        <v>12</v>
      </c>
      <c r="N303" s="110">
        <v>12</v>
      </c>
      <c r="O303" s="110" t="s">
        <v>239</v>
      </c>
      <c r="P303" s="110" t="s">
        <v>239</v>
      </c>
      <c r="Q303" s="110" t="s">
        <v>239</v>
      </c>
      <c r="R303" s="110" t="s">
        <v>236</v>
      </c>
      <c r="S303" s="110"/>
      <c r="T303" s="110">
        <f t="shared" si="4"/>
        <v>12</v>
      </c>
      <c r="U303" s="110"/>
      <c r="V303" s="110"/>
      <c r="W303" s="110"/>
      <c r="X303" s="110" t="s">
        <v>5255</v>
      </c>
      <c r="Y303" s="110"/>
      <c r="AA303" s="113" t="e">
        <v>#N/A</v>
      </c>
      <c r="AB303" s="113" t="e">
        <v>#N/A</v>
      </c>
    </row>
    <row r="304" spans="1:28">
      <c r="A304" s="108">
        <v>303</v>
      </c>
      <c r="B304" s="108" t="s">
        <v>225</v>
      </c>
      <c r="C304" s="109">
        <v>46027</v>
      </c>
      <c r="D304" s="110" t="s">
        <v>226</v>
      </c>
      <c r="E304" s="110" t="s">
        <v>5252</v>
      </c>
      <c r="F304" s="110" t="s">
        <v>236</v>
      </c>
      <c r="G304" s="110">
        <v>5</v>
      </c>
      <c r="H304" s="110" t="s">
        <v>5256</v>
      </c>
      <c r="I304" s="110">
        <v>8951303472</v>
      </c>
      <c r="J304" s="110"/>
      <c r="K304" s="119" t="s">
        <v>5257</v>
      </c>
      <c r="L304" s="110" t="s">
        <v>5257</v>
      </c>
      <c r="M304" s="110">
        <v>2010</v>
      </c>
      <c r="N304" s="110">
        <v>2019</v>
      </c>
      <c r="O304" s="110" t="s">
        <v>239</v>
      </c>
      <c r="P304" s="110" t="s">
        <v>239</v>
      </c>
      <c r="Q304" s="110" t="s">
        <v>239</v>
      </c>
      <c r="R304" s="110" t="s">
        <v>236</v>
      </c>
      <c r="S304" s="110"/>
      <c r="T304" s="110">
        <f t="shared" si="4"/>
        <v>2019</v>
      </c>
      <c r="U304" s="110"/>
      <c r="V304" s="110"/>
      <c r="W304" s="110"/>
      <c r="X304" s="110" t="s">
        <v>5255</v>
      </c>
      <c r="Y304" s="110"/>
      <c r="AA304" s="113" t="e">
        <v>#N/A</v>
      </c>
      <c r="AB304" s="113" t="e">
        <v>#N/A</v>
      </c>
    </row>
    <row r="305" spans="1:28">
      <c r="A305" s="108">
        <v>304</v>
      </c>
      <c r="B305" s="108" t="s">
        <v>225</v>
      </c>
      <c r="C305" s="109">
        <v>46027</v>
      </c>
      <c r="D305" s="110" t="s">
        <v>226</v>
      </c>
      <c r="E305" s="110" t="s">
        <v>5252</v>
      </c>
      <c r="F305" s="110" t="s">
        <v>236</v>
      </c>
      <c r="G305" s="110">
        <v>5</v>
      </c>
      <c r="H305" s="110" t="s">
        <v>5258</v>
      </c>
      <c r="I305" s="110">
        <v>9603581501</v>
      </c>
      <c r="J305" s="110"/>
      <c r="K305" s="119" t="s">
        <v>5259</v>
      </c>
      <c r="L305" s="110" t="s">
        <v>5259</v>
      </c>
      <c r="M305" s="110">
        <v>542</v>
      </c>
      <c r="N305" s="110">
        <v>549</v>
      </c>
      <c r="O305" s="110" t="s">
        <v>239</v>
      </c>
      <c r="P305" s="110" t="s">
        <v>239</v>
      </c>
      <c r="Q305" s="110" t="s">
        <v>239</v>
      </c>
      <c r="R305" s="110" t="s">
        <v>236</v>
      </c>
      <c r="S305" s="110"/>
      <c r="T305" s="110">
        <f t="shared" si="4"/>
        <v>549</v>
      </c>
      <c r="U305" s="110"/>
      <c r="V305" s="110"/>
      <c r="W305" s="110"/>
      <c r="X305" s="110" t="s">
        <v>5255</v>
      </c>
      <c r="Y305" s="110"/>
      <c r="AA305" s="113" t="e">
        <v>#N/A</v>
      </c>
      <c r="AB305" s="113" t="e">
        <v>#N/A</v>
      </c>
    </row>
    <row r="306" spans="1:28">
      <c r="A306" s="108">
        <v>305</v>
      </c>
      <c r="B306" s="108" t="s">
        <v>225</v>
      </c>
      <c r="C306" s="109">
        <v>46027</v>
      </c>
      <c r="D306" s="110" t="s">
        <v>226</v>
      </c>
      <c r="E306" s="110" t="s">
        <v>5252</v>
      </c>
      <c r="F306" s="110" t="s">
        <v>236</v>
      </c>
      <c r="G306" s="110">
        <v>5</v>
      </c>
      <c r="H306" s="110" t="s">
        <v>5260</v>
      </c>
      <c r="I306" s="110">
        <v>9840797200</v>
      </c>
      <c r="J306" s="110"/>
      <c r="K306" s="119" t="s">
        <v>5261</v>
      </c>
      <c r="L306" s="110" t="s">
        <v>5261</v>
      </c>
      <c r="M306" s="110">
        <v>2920</v>
      </c>
      <c r="N306" s="110">
        <v>2930</v>
      </c>
      <c r="O306" s="110" t="s">
        <v>239</v>
      </c>
      <c r="P306" s="110" t="s">
        <v>239</v>
      </c>
      <c r="Q306" s="110" t="s">
        <v>239</v>
      </c>
      <c r="R306" s="110" t="s">
        <v>236</v>
      </c>
      <c r="S306" s="110"/>
      <c r="T306" s="110">
        <f t="shared" si="4"/>
        <v>2930</v>
      </c>
      <c r="U306" s="110"/>
      <c r="V306" s="110"/>
      <c r="W306" s="110"/>
      <c r="X306" s="110" t="s">
        <v>5255</v>
      </c>
      <c r="Y306" s="110"/>
      <c r="AA306" s="113" t="e">
        <v>#N/A</v>
      </c>
      <c r="AB306" s="113" t="e">
        <v>#N/A</v>
      </c>
    </row>
    <row r="307" spans="1:28">
      <c r="A307" s="108">
        <v>306</v>
      </c>
      <c r="B307" s="108" t="s">
        <v>225</v>
      </c>
      <c r="C307" s="109">
        <v>46027</v>
      </c>
      <c r="D307" s="110" t="s">
        <v>226</v>
      </c>
      <c r="E307" s="110" t="s">
        <v>5252</v>
      </c>
      <c r="F307" s="110" t="s">
        <v>236</v>
      </c>
      <c r="G307" s="110">
        <v>5</v>
      </c>
      <c r="H307" s="110" t="s">
        <v>5262</v>
      </c>
      <c r="I307" s="110">
        <v>9989988102</v>
      </c>
      <c r="J307" s="110"/>
      <c r="K307" s="119" t="s">
        <v>5263</v>
      </c>
      <c r="L307" s="110" t="s">
        <v>5263</v>
      </c>
      <c r="M307" s="110">
        <v>108</v>
      </c>
      <c r="N307" s="110">
        <v>118</v>
      </c>
      <c r="O307" s="110" t="s">
        <v>239</v>
      </c>
      <c r="P307" s="110" t="s">
        <v>239</v>
      </c>
      <c r="Q307" s="110" t="s">
        <v>239</v>
      </c>
      <c r="R307" s="110" t="s">
        <v>236</v>
      </c>
      <c r="S307" s="110"/>
      <c r="T307" s="110">
        <f t="shared" si="4"/>
        <v>118</v>
      </c>
      <c r="U307" s="110"/>
      <c r="V307" s="110"/>
      <c r="W307" s="110"/>
      <c r="X307" s="110" t="s">
        <v>5255</v>
      </c>
      <c r="Y307" s="110"/>
      <c r="AA307" s="113" t="e">
        <v>#N/A</v>
      </c>
      <c r="AB307" s="113" t="e">
        <v>#N/A</v>
      </c>
    </row>
    <row r="308" spans="1:28">
      <c r="A308" s="108">
        <v>307</v>
      </c>
      <c r="B308" s="108" t="s">
        <v>225</v>
      </c>
      <c r="C308" s="109">
        <v>46047</v>
      </c>
      <c r="D308" s="110" t="s">
        <v>226</v>
      </c>
      <c r="E308" s="110" t="s">
        <v>4254</v>
      </c>
      <c r="F308" s="110" t="s">
        <v>294</v>
      </c>
      <c r="G308" s="110">
        <v>25</v>
      </c>
      <c r="H308" s="110" t="s">
        <v>1308</v>
      </c>
      <c r="I308" s="110">
        <v>9902514544</v>
      </c>
      <c r="J308" s="110"/>
      <c r="K308" s="119" t="s">
        <v>1309</v>
      </c>
      <c r="L308" s="110" t="s">
        <v>1309</v>
      </c>
      <c r="M308" s="116">
        <v>35799</v>
      </c>
      <c r="N308" s="116">
        <v>11300</v>
      </c>
      <c r="O308" s="111">
        <v>46064</v>
      </c>
      <c r="P308" s="112" t="s">
        <v>5156</v>
      </c>
      <c r="Q308" s="110" t="s">
        <v>52</v>
      </c>
      <c r="R308" s="116" t="s">
        <v>298</v>
      </c>
      <c r="S308" s="110">
        <v>11300</v>
      </c>
      <c r="T308" s="110">
        <f t="shared" si="4"/>
        <v>0</v>
      </c>
      <c r="U308" s="111">
        <v>46064</v>
      </c>
      <c r="V308" s="110" t="s">
        <v>5264</v>
      </c>
      <c r="W308" s="110" t="s">
        <v>54</v>
      </c>
      <c r="X308" s="114" t="s">
        <v>5156</v>
      </c>
      <c r="Y308" s="114" t="s">
        <v>1311</v>
      </c>
      <c r="AA308" s="113" t="s">
        <v>4484</v>
      </c>
      <c r="AB308" s="113" t="s">
        <v>4485</v>
      </c>
    </row>
    <row r="309" spans="1:28">
      <c r="A309" s="108">
        <v>308</v>
      </c>
      <c r="B309" s="108" t="s">
        <v>225</v>
      </c>
      <c r="C309" s="109">
        <v>46050</v>
      </c>
      <c r="D309" s="110" t="s">
        <v>226</v>
      </c>
      <c r="E309" s="110" t="s">
        <v>4254</v>
      </c>
      <c r="F309" s="110" t="s">
        <v>364</v>
      </c>
      <c r="G309" s="110">
        <v>28</v>
      </c>
      <c r="H309" s="110" t="s">
        <v>5265</v>
      </c>
      <c r="I309" s="110">
        <v>9100984952</v>
      </c>
      <c r="J309" s="110"/>
      <c r="K309" s="119" t="s">
        <v>2611</v>
      </c>
      <c r="L309" s="110" t="s">
        <v>2611</v>
      </c>
      <c r="M309" s="116">
        <v>16690</v>
      </c>
      <c r="N309" s="110">
        <v>16699</v>
      </c>
      <c r="O309" s="111">
        <v>46058</v>
      </c>
      <c r="P309" s="143" t="s">
        <v>1733</v>
      </c>
      <c r="Q309" s="110" t="s">
        <v>52</v>
      </c>
      <c r="R309" s="110" t="s">
        <v>1733</v>
      </c>
      <c r="S309" s="110">
        <v>16690</v>
      </c>
      <c r="T309" s="110">
        <f t="shared" si="4"/>
        <v>9</v>
      </c>
      <c r="U309" s="111">
        <v>46058</v>
      </c>
      <c r="V309" s="110" t="s">
        <v>5266</v>
      </c>
      <c r="W309" s="110" t="s">
        <v>54</v>
      </c>
      <c r="X309" s="114" t="s">
        <v>1733</v>
      </c>
      <c r="Y309" s="114" t="s">
        <v>1733</v>
      </c>
      <c r="AA309" s="113" t="s">
        <v>11</v>
      </c>
      <c r="AB309" s="113" t="s">
        <v>4254</v>
      </c>
    </row>
    <row r="310" spans="1:28">
      <c r="A310" s="108">
        <v>309</v>
      </c>
      <c r="B310" s="108" t="s">
        <v>225</v>
      </c>
      <c r="C310" s="109">
        <v>46050</v>
      </c>
      <c r="D310" s="110" t="s">
        <v>226</v>
      </c>
      <c r="E310" s="110" t="s">
        <v>4254</v>
      </c>
      <c r="F310" s="110" t="s">
        <v>364</v>
      </c>
      <c r="G310" s="110">
        <v>28</v>
      </c>
      <c r="H310" s="110" t="s">
        <v>5267</v>
      </c>
      <c r="I310" s="110">
        <v>8074406443</v>
      </c>
      <c r="J310" s="110"/>
      <c r="K310" s="119" t="s">
        <v>5268</v>
      </c>
      <c r="L310" s="110" t="s">
        <v>5268</v>
      </c>
      <c r="M310" s="116">
        <v>12420</v>
      </c>
      <c r="N310" s="110">
        <v>12425</v>
      </c>
      <c r="O310" s="111"/>
      <c r="P310" s="143" t="s">
        <v>369</v>
      </c>
      <c r="Q310" s="110" t="s">
        <v>52</v>
      </c>
      <c r="R310" s="110"/>
      <c r="S310" s="110"/>
      <c r="T310" s="110">
        <f t="shared" si="4"/>
        <v>12425</v>
      </c>
      <c r="U310" s="110"/>
      <c r="V310" s="110"/>
      <c r="W310" s="110"/>
      <c r="X310" s="114" t="s">
        <v>369</v>
      </c>
      <c r="Y310" s="114" t="s">
        <v>369</v>
      </c>
      <c r="Z310" s="113" t="s">
        <v>5269</v>
      </c>
      <c r="AA310" s="113" t="s">
        <v>11</v>
      </c>
      <c r="AB310" s="113" t="s">
        <v>4254</v>
      </c>
    </row>
    <row r="311" spans="1:28">
      <c r="A311" s="108">
        <v>310</v>
      </c>
      <c r="B311" s="108" t="s">
        <v>225</v>
      </c>
      <c r="C311" s="109">
        <v>46050</v>
      </c>
      <c r="D311" s="110" t="s">
        <v>226</v>
      </c>
      <c r="E311" s="110" t="s">
        <v>4254</v>
      </c>
      <c r="F311" s="110" t="s">
        <v>364</v>
      </c>
      <c r="G311" s="110">
        <v>28</v>
      </c>
      <c r="H311" s="110" t="s">
        <v>5270</v>
      </c>
      <c r="I311" s="110">
        <v>7659923742</v>
      </c>
      <c r="J311" s="110"/>
      <c r="K311" s="119" t="s">
        <v>5271</v>
      </c>
      <c r="L311" s="110" t="s">
        <v>5271</v>
      </c>
      <c r="M311" s="116">
        <v>5730</v>
      </c>
      <c r="N311" s="110">
        <v>5732</v>
      </c>
      <c r="O311" s="111"/>
      <c r="P311" s="143" t="s">
        <v>5255</v>
      </c>
      <c r="Q311" s="110" t="s">
        <v>239</v>
      </c>
      <c r="R311" s="110"/>
      <c r="S311" s="110"/>
      <c r="T311" s="110">
        <f t="shared" si="4"/>
        <v>5732</v>
      </c>
      <c r="U311" s="110"/>
      <c r="V311" s="110"/>
      <c r="W311" s="110"/>
      <c r="X311" s="114" t="s">
        <v>5255</v>
      </c>
      <c r="Y311" s="114" t="s">
        <v>5255</v>
      </c>
      <c r="AA311" s="113" t="s">
        <v>4983</v>
      </c>
      <c r="AB311" s="113" t="s">
        <v>4254</v>
      </c>
    </row>
    <row r="312" spans="1:28">
      <c r="A312" s="108">
        <v>311</v>
      </c>
      <c r="B312" s="108" t="s">
        <v>225</v>
      </c>
      <c r="C312" s="109">
        <v>46050</v>
      </c>
      <c r="D312" s="110" t="s">
        <v>226</v>
      </c>
      <c r="E312" s="110" t="s">
        <v>4254</v>
      </c>
      <c r="F312" s="110" t="s">
        <v>364</v>
      </c>
      <c r="G312" s="110">
        <v>28</v>
      </c>
      <c r="H312" s="110" t="s">
        <v>5272</v>
      </c>
      <c r="I312" s="110">
        <v>9703371176</v>
      </c>
      <c r="J312" s="110"/>
      <c r="K312" s="119" t="s">
        <v>5273</v>
      </c>
      <c r="L312" s="110" t="s">
        <v>5273</v>
      </c>
      <c r="M312" s="116">
        <v>4640</v>
      </c>
      <c r="N312" s="110">
        <v>4640</v>
      </c>
      <c r="O312" s="111"/>
      <c r="P312" s="143" t="s">
        <v>315</v>
      </c>
      <c r="Q312" s="110" t="s">
        <v>52</v>
      </c>
      <c r="R312" s="110"/>
      <c r="S312" s="110"/>
      <c r="T312" s="110">
        <f t="shared" si="4"/>
        <v>4640</v>
      </c>
      <c r="U312" s="110"/>
      <c r="V312" s="110"/>
      <c r="W312" s="110"/>
      <c r="X312" s="114" t="s">
        <v>315</v>
      </c>
      <c r="Y312" s="114" t="s">
        <v>315</v>
      </c>
      <c r="AA312" s="113" t="s">
        <v>4472</v>
      </c>
      <c r="AB312" s="113" t="s">
        <v>4969</v>
      </c>
    </row>
    <row r="313" spans="1:28">
      <c r="A313" s="108">
        <v>312</v>
      </c>
      <c r="B313" s="108" t="s">
        <v>225</v>
      </c>
      <c r="C313" s="109">
        <v>46050</v>
      </c>
      <c r="D313" s="110" t="s">
        <v>226</v>
      </c>
      <c r="E313" s="110" t="s">
        <v>4254</v>
      </c>
      <c r="F313" s="110" t="s">
        <v>767</v>
      </c>
      <c r="G313" s="110">
        <v>28</v>
      </c>
      <c r="H313" s="110" t="s">
        <v>5274</v>
      </c>
      <c r="I313" s="110">
        <v>9441182318</v>
      </c>
      <c r="J313" s="110"/>
      <c r="K313" s="119" t="s">
        <v>5275</v>
      </c>
      <c r="L313" s="110" t="s">
        <v>5275</v>
      </c>
      <c r="M313" s="116">
        <v>1911</v>
      </c>
      <c r="N313" s="110">
        <v>1912</v>
      </c>
      <c r="O313" s="111"/>
      <c r="P313" s="112"/>
      <c r="Q313" s="110"/>
      <c r="R313" s="110" t="s">
        <v>772</v>
      </c>
      <c r="S313" s="110"/>
      <c r="T313" s="110">
        <f t="shared" si="4"/>
        <v>1912</v>
      </c>
      <c r="U313" s="110"/>
      <c r="V313" s="110"/>
      <c r="W313" s="110"/>
      <c r="X313" s="114" t="s">
        <v>972</v>
      </c>
      <c r="Y313" s="114" t="s">
        <v>5276</v>
      </c>
      <c r="AA313" s="113" t="s">
        <v>4472</v>
      </c>
      <c r="AB313" s="113" t="s">
        <v>5146</v>
      </c>
    </row>
    <row r="314" spans="1:28">
      <c r="A314" s="108">
        <v>313</v>
      </c>
      <c r="B314" s="108" t="s">
        <v>225</v>
      </c>
      <c r="C314" s="109">
        <v>46050</v>
      </c>
      <c r="D314" s="110" t="s">
        <v>226</v>
      </c>
      <c r="E314" s="110" t="s">
        <v>4254</v>
      </c>
      <c r="F314" s="110" t="s">
        <v>767</v>
      </c>
      <c r="G314" s="110">
        <v>28</v>
      </c>
      <c r="H314" s="110" t="s">
        <v>5277</v>
      </c>
      <c r="I314" s="110">
        <v>8897273999</v>
      </c>
      <c r="J314" s="110"/>
      <c r="K314" s="119" t="s">
        <v>5278</v>
      </c>
      <c r="L314" s="110" t="s">
        <v>5278</v>
      </c>
      <c r="M314" s="116">
        <v>18701</v>
      </c>
      <c r="N314" s="110">
        <v>18709</v>
      </c>
      <c r="O314" s="111">
        <v>46076</v>
      </c>
      <c r="P314" s="112" t="s">
        <v>790</v>
      </c>
      <c r="Q314" s="110" t="s">
        <v>52</v>
      </c>
      <c r="R314" s="110" t="s">
        <v>772</v>
      </c>
      <c r="S314" s="110">
        <f>10000+8709</f>
        <v>18709</v>
      </c>
      <c r="T314" s="110">
        <f t="shared" si="4"/>
        <v>0</v>
      </c>
      <c r="U314" s="111">
        <v>46076</v>
      </c>
      <c r="V314" s="110" t="s">
        <v>5279</v>
      </c>
      <c r="W314" s="110" t="s">
        <v>54</v>
      </c>
      <c r="X314" s="114" t="s">
        <v>790</v>
      </c>
      <c r="Y314" s="114" t="s">
        <v>1208</v>
      </c>
      <c r="AA314" s="113" t="s">
        <v>11</v>
      </c>
      <c r="AB314" s="113" t="s">
        <v>4254</v>
      </c>
    </row>
    <row r="315" spans="1:28">
      <c r="A315" s="108">
        <v>314</v>
      </c>
      <c r="B315" s="108" t="s">
        <v>225</v>
      </c>
      <c r="C315" s="109">
        <v>46050</v>
      </c>
      <c r="D315" s="110" t="s">
        <v>226</v>
      </c>
      <c r="E315" s="110" t="s">
        <v>4254</v>
      </c>
      <c r="F315" s="110" t="s">
        <v>767</v>
      </c>
      <c r="G315" s="110">
        <v>28</v>
      </c>
      <c r="H315" s="110" t="s">
        <v>5280</v>
      </c>
      <c r="I315" s="110">
        <v>9704248023</v>
      </c>
      <c r="J315" s="110"/>
      <c r="K315" s="119" t="s">
        <v>5281</v>
      </c>
      <c r="L315" s="110" t="s">
        <v>5281</v>
      </c>
      <c r="M315" s="116">
        <v>9590</v>
      </c>
      <c r="N315" s="110">
        <v>9596</v>
      </c>
      <c r="O315" s="111">
        <v>46056</v>
      </c>
      <c r="P315" s="112" t="s">
        <v>790</v>
      </c>
      <c r="Q315" s="110" t="s">
        <v>52</v>
      </c>
      <c r="R315" s="110" t="s">
        <v>772</v>
      </c>
      <c r="S315" s="110">
        <v>9591</v>
      </c>
      <c r="T315" s="110">
        <f t="shared" si="4"/>
        <v>5</v>
      </c>
      <c r="U315" s="111">
        <v>46056</v>
      </c>
      <c r="V315" s="110" t="s">
        <v>5282</v>
      </c>
      <c r="W315" s="110"/>
      <c r="X315" s="114" t="s">
        <v>790</v>
      </c>
      <c r="Y315" s="114" t="s">
        <v>1032</v>
      </c>
      <c r="AA315" s="113" t="s">
        <v>4472</v>
      </c>
      <c r="AB315" s="113" t="s">
        <v>4916</v>
      </c>
    </row>
    <row r="316" spans="1:28" s="150" customFormat="1">
      <c r="A316" s="108">
        <v>315</v>
      </c>
      <c r="B316" s="144"/>
      <c r="C316" s="145">
        <v>46022</v>
      </c>
      <c r="D316" s="144" t="s">
        <v>933</v>
      </c>
      <c r="E316" s="144" t="s">
        <v>5283</v>
      </c>
      <c r="F316" s="144" t="s">
        <v>2642</v>
      </c>
      <c r="G316" s="144" t="s">
        <v>5284</v>
      </c>
      <c r="H316" s="144" t="s">
        <v>5285</v>
      </c>
      <c r="I316" s="144">
        <v>9866292738</v>
      </c>
      <c r="J316" s="144"/>
      <c r="K316" s="146" t="s">
        <v>5286</v>
      </c>
      <c r="L316" s="144" t="s">
        <v>5286</v>
      </c>
      <c r="M316" s="147">
        <v>13145.39</v>
      </c>
      <c r="N316" s="147">
        <v>13145.39</v>
      </c>
      <c r="O316" s="145"/>
      <c r="P316" s="148" t="s">
        <v>5287</v>
      </c>
      <c r="Q316" s="144" t="s">
        <v>52</v>
      </c>
      <c r="R316" s="144" t="s">
        <v>2585</v>
      </c>
      <c r="S316" s="144"/>
      <c r="T316" s="110">
        <f t="shared" si="4"/>
        <v>13145.39</v>
      </c>
      <c r="U316" s="144"/>
      <c r="V316" s="144"/>
      <c r="W316" s="144"/>
      <c r="X316" s="149" t="s">
        <v>5287</v>
      </c>
      <c r="Y316" s="149"/>
      <c r="AA316" s="150" t="e">
        <v>#N/A</v>
      </c>
      <c r="AB316" s="150" t="e">
        <v>#N/A</v>
      </c>
    </row>
    <row r="317" spans="1:28" s="150" customFormat="1">
      <c r="A317" s="108">
        <v>316</v>
      </c>
      <c r="B317" s="144"/>
      <c r="C317" s="145">
        <v>46022</v>
      </c>
      <c r="D317" s="144" t="s">
        <v>933</v>
      </c>
      <c r="E317" s="144" t="s">
        <v>5283</v>
      </c>
      <c r="F317" s="144" t="s">
        <v>2642</v>
      </c>
      <c r="G317" s="144" t="s">
        <v>5284</v>
      </c>
      <c r="H317" s="144" t="s">
        <v>5288</v>
      </c>
      <c r="I317" s="144">
        <v>8801007102</v>
      </c>
      <c r="J317" s="144"/>
      <c r="K317" s="146" t="s">
        <v>5286</v>
      </c>
      <c r="L317" s="146" t="s">
        <v>5286</v>
      </c>
      <c r="M317" s="147">
        <v>6034.1</v>
      </c>
      <c r="N317" s="147">
        <v>6034.1</v>
      </c>
      <c r="O317" s="145"/>
      <c r="P317" s="148" t="s">
        <v>5255</v>
      </c>
      <c r="Q317" s="144" t="s">
        <v>239</v>
      </c>
      <c r="R317" s="144"/>
      <c r="S317" s="144"/>
      <c r="T317" s="110">
        <f t="shared" si="4"/>
        <v>6034.1</v>
      </c>
      <c r="U317" s="144"/>
      <c r="V317" s="144"/>
      <c r="W317" s="144"/>
      <c r="X317" s="149"/>
      <c r="Y317" s="149"/>
      <c r="AA317" s="150" t="e">
        <v>#N/A</v>
      </c>
      <c r="AB317" s="150" t="e">
        <v>#N/A</v>
      </c>
    </row>
    <row r="318" spans="1:28" s="150" customFormat="1" ht="15">
      <c r="A318" s="108">
        <v>317</v>
      </c>
      <c r="B318" s="144"/>
      <c r="C318" s="145">
        <v>46022</v>
      </c>
      <c r="D318" s="144" t="s">
        <v>933</v>
      </c>
      <c r="E318" s="144" t="s">
        <v>5283</v>
      </c>
      <c r="F318" s="144" t="s">
        <v>5289</v>
      </c>
      <c r="G318" s="144"/>
      <c r="H318" s="144" t="s">
        <v>5290</v>
      </c>
      <c r="I318" s="144">
        <v>6303935498</v>
      </c>
      <c r="J318" s="144"/>
      <c r="K318" s="146" t="s">
        <v>5291</v>
      </c>
      <c r="L318" s="146" t="s">
        <v>5291</v>
      </c>
      <c r="M318" s="147">
        <v>15602</v>
      </c>
      <c r="N318" s="147">
        <v>15602</v>
      </c>
      <c r="O318" s="145"/>
      <c r="P318" s="151" t="s">
        <v>5292</v>
      </c>
      <c r="Q318" s="144" t="s">
        <v>52</v>
      </c>
      <c r="R318" s="144"/>
      <c r="S318" s="144"/>
      <c r="T318" s="110">
        <f t="shared" si="4"/>
        <v>15602</v>
      </c>
      <c r="U318" s="144"/>
      <c r="V318" s="144"/>
      <c r="W318" s="144" t="s">
        <v>54</v>
      </c>
      <c r="X318" s="149" t="s">
        <v>5293</v>
      </c>
      <c r="Y318" s="149" t="s">
        <v>5293</v>
      </c>
      <c r="Z318" s="152" t="s">
        <v>5294</v>
      </c>
      <c r="AA318" s="150" t="e">
        <v>#N/A</v>
      </c>
      <c r="AB318" s="150" t="e">
        <v>#N/A</v>
      </c>
    </row>
    <row r="319" spans="1:28">
      <c r="A319" s="108">
        <v>318</v>
      </c>
      <c r="B319" s="108"/>
      <c r="C319" s="145">
        <v>46022</v>
      </c>
      <c r="D319" s="110" t="s">
        <v>933</v>
      </c>
      <c r="E319" s="144" t="s">
        <v>5283</v>
      </c>
      <c r="F319" s="110" t="s">
        <v>5289</v>
      </c>
      <c r="G319" s="110"/>
      <c r="H319" s="110" t="s">
        <v>5295</v>
      </c>
      <c r="I319" s="110">
        <v>9899731472</v>
      </c>
      <c r="J319" s="110"/>
      <c r="K319" s="119" t="s">
        <v>5296</v>
      </c>
      <c r="L319" s="119" t="s">
        <v>5296</v>
      </c>
      <c r="M319" s="116">
        <v>400</v>
      </c>
      <c r="N319" s="116">
        <v>400</v>
      </c>
      <c r="O319" s="111"/>
      <c r="P319" s="112" t="s">
        <v>5255</v>
      </c>
      <c r="Q319" s="110" t="s">
        <v>239</v>
      </c>
      <c r="R319" s="110"/>
      <c r="S319" s="110"/>
      <c r="T319" s="110">
        <f t="shared" si="4"/>
        <v>400</v>
      </c>
      <c r="U319" s="110"/>
      <c r="V319" s="110"/>
      <c r="W319" s="110"/>
      <c r="X319" s="114" t="s">
        <v>5255</v>
      </c>
      <c r="Y319" s="114"/>
      <c r="AA319" s="113" t="e">
        <v>#N/A</v>
      </c>
      <c r="AB319" s="113" t="e">
        <v>#N/A</v>
      </c>
    </row>
    <row r="320" spans="1:28" ht="15">
      <c r="A320" s="108">
        <v>319</v>
      </c>
      <c r="B320" s="108"/>
      <c r="C320" s="145">
        <v>46022</v>
      </c>
      <c r="D320" s="110" t="s">
        <v>933</v>
      </c>
      <c r="E320" s="144" t="s">
        <v>5283</v>
      </c>
      <c r="F320" s="110" t="s">
        <v>5289</v>
      </c>
      <c r="G320" s="110"/>
      <c r="H320" s="110" t="s">
        <v>5297</v>
      </c>
      <c r="I320" s="110">
        <v>9849761990</v>
      </c>
      <c r="J320" s="110"/>
      <c r="K320" s="119" t="s">
        <v>5298</v>
      </c>
      <c r="L320" s="119" t="s">
        <v>5298</v>
      </c>
      <c r="M320" s="116">
        <v>13793</v>
      </c>
      <c r="N320" s="116">
        <v>13793</v>
      </c>
      <c r="O320" s="111"/>
      <c r="P320" s="153" t="s">
        <v>5299</v>
      </c>
      <c r="Q320" s="110" t="s">
        <v>52</v>
      </c>
      <c r="R320" s="110"/>
      <c r="S320" s="110">
        <v>13793</v>
      </c>
      <c r="T320" s="110">
        <f t="shared" si="4"/>
        <v>0</v>
      </c>
      <c r="U320" s="110"/>
      <c r="V320" s="100" t="s">
        <v>5300</v>
      </c>
      <c r="W320" s="110" t="s">
        <v>54</v>
      </c>
      <c r="X320" s="114" t="s">
        <v>5301</v>
      </c>
      <c r="Y320" s="114" t="s">
        <v>5301</v>
      </c>
      <c r="Z320" s="152" t="s">
        <v>5302</v>
      </c>
      <c r="AA320" s="113" t="e">
        <v>#N/A</v>
      </c>
      <c r="AB320" s="113" t="e">
        <v>#N/A</v>
      </c>
    </row>
    <row r="321" spans="1:28">
      <c r="A321" s="108">
        <v>320</v>
      </c>
      <c r="B321" s="108"/>
      <c r="C321" s="145">
        <v>46022</v>
      </c>
      <c r="D321" s="110" t="s">
        <v>933</v>
      </c>
      <c r="E321" s="144" t="s">
        <v>5283</v>
      </c>
      <c r="F321" s="110" t="s">
        <v>5289</v>
      </c>
      <c r="G321" s="110"/>
      <c r="H321" s="110" t="s">
        <v>5303</v>
      </c>
      <c r="I321" s="110" t="s">
        <v>5304</v>
      </c>
      <c r="J321" s="110"/>
      <c r="K321" s="119" t="s">
        <v>5305</v>
      </c>
      <c r="L321" s="119" t="s">
        <v>5305</v>
      </c>
      <c r="M321" s="116">
        <v>1474</v>
      </c>
      <c r="N321" s="116">
        <v>1474</v>
      </c>
      <c r="O321" s="111"/>
      <c r="P321" s="112" t="s">
        <v>5255</v>
      </c>
      <c r="Q321" s="110" t="s">
        <v>239</v>
      </c>
      <c r="R321" s="110"/>
      <c r="S321" s="110"/>
      <c r="T321" s="110">
        <f t="shared" si="4"/>
        <v>1474</v>
      </c>
      <c r="U321" s="110"/>
      <c r="V321" s="110"/>
      <c r="W321" s="110"/>
      <c r="X321" s="114" t="s">
        <v>5255</v>
      </c>
      <c r="Y321" s="114" t="s">
        <v>5255</v>
      </c>
      <c r="AA321" s="113" t="e">
        <v>#N/A</v>
      </c>
      <c r="AB321" s="113" t="e">
        <v>#N/A</v>
      </c>
    </row>
    <row r="322" spans="1:28" ht="15">
      <c r="A322" s="108">
        <v>321</v>
      </c>
      <c r="B322" s="108"/>
      <c r="C322" s="145">
        <v>46022</v>
      </c>
      <c r="D322" s="110" t="s">
        <v>933</v>
      </c>
      <c r="E322" s="144" t="s">
        <v>5283</v>
      </c>
      <c r="F322" s="110" t="s">
        <v>5289</v>
      </c>
      <c r="G322" s="110"/>
      <c r="H322" s="110" t="s">
        <v>5306</v>
      </c>
      <c r="I322" s="110">
        <v>8297330022</v>
      </c>
      <c r="J322" s="110"/>
      <c r="K322" s="119" t="s">
        <v>5307</v>
      </c>
      <c r="L322" s="119" t="s">
        <v>5307</v>
      </c>
      <c r="M322" s="116">
        <v>11902</v>
      </c>
      <c r="N322" s="116">
        <v>11902</v>
      </c>
      <c r="O322" s="111"/>
      <c r="P322" s="143" t="s">
        <v>5308</v>
      </c>
      <c r="Q322" s="110" t="s">
        <v>52</v>
      </c>
      <c r="R322" s="110"/>
      <c r="S322" s="110">
        <v>11902</v>
      </c>
      <c r="T322" s="110">
        <f t="shared" si="4"/>
        <v>0</v>
      </c>
      <c r="U322" s="110"/>
      <c r="V322" s="100" t="s">
        <v>5300</v>
      </c>
      <c r="W322" s="110" t="s">
        <v>54</v>
      </c>
      <c r="X322" s="114" t="s">
        <v>5308</v>
      </c>
      <c r="Y322" s="114"/>
      <c r="Z322" s="152" t="s">
        <v>5294</v>
      </c>
      <c r="AA322" s="152" t="e">
        <v>#N/A</v>
      </c>
      <c r="AB322" s="113" t="e">
        <v>#N/A</v>
      </c>
    </row>
    <row r="323" spans="1:28">
      <c r="A323" s="108">
        <v>322</v>
      </c>
      <c r="B323" s="108"/>
      <c r="C323" s="145">
        <v>46022</v>
      </c>
      <c r="D323" s="110" t="s">
        <v>933</v>
      </c>
      <c r="E323" s="144" t="s">
        <v>5283</v>
      </c>
      <c r="F323" s="110" t="s">
        <v>5289</v>
      </c>
      <c r="G323" s="110"/>
      <c r="H323" s="110" t="s">
        <v>5309</v>
      </c>
      <c r="I323" s="110">
        <v>9966553319</v>
      </c>
      <c r="J323" s="110"/>
      <c r="K323" s="119" t="s">
        <v>5310</v>
      </c>
      <c r="L323" s="119" t="s">
        <v>5310</v>
      </c>
      <c r="M323" s="116">
        <v>2032</v>
      </c>
      <c r="N323" s="116">
        <v>2032</v>
      </c>
      <c r="O323" s="111"/>
      <c r="P323" s="143" t="s">
        <v>5293</v>
      </c>
      <c r="Q323" s="110" t="s">
        <v>52</v>
      </c>
      <c r="R323" s="110"/>
      <c r="S323" s="110"/>
      <c r="T323" s="110">
        <f t="shared" si="4"/>
        <v>2032</v>
      </c>
      <c r="U323" s="110"/>
      <c r="V323" s="110"/>
      <c r="W323" s="110"/>
      <c r="X323" s="114" t="s">
        <v>5293</v>
      </c>
      <c r="Y323" s="114"/>
      <c r="AA323" s="113" t="e">
        <v>#N/A</v>
      </c>
      <c r="AB323" s="113" t="e">
        <v>#N/A</v>
      </c>
    </row>
    <row r="324" spans="1:28" ht="15">
      <c r="A324" s="108">
        <v>323</v>
      </c>
      <c r="B324" s="108"/>
      <c r="C324" s="145">
        <v>46022</v>
      </c>
      <c r="D324" s="110" t="s">
        <v>933</v>
      </c>
      <c r="E324" s="144" t="s">
        <v>5283</v>
      </c>
      <c r="F324" s="110" t="s">
        <v>5289</v>
      </c>
      <c r="G324" s="110"/>
      <c r="H324" s="110" t="s">
        <v>5311</v>
      </c>
      <c r="I324" s="110">
        <v>9703339633</v>
      </c>
      <c r="J324" s="110"/>
      <c r="K324" s="119" t="s">
        <v>5312</v>
      </c>
      <c r="L324" s="119" t="s">
        <v>5312</v>
      </c>
      <c r="M324" s="116">
        <v>10730</v>
      </c>
      <c r="N324" s="116">
        <v>10730</v>
      </c>
      <c r="O324" s="111"/>
      <c r="P324" s="153" t="s">
        <v>5313</v>
      </c>
      <c r="Q324" s="110" t="s">
        <v>52</v>
      </c>
      <c r="R324" s="110"/>
      <c r="S324" s="110">
        <v>10730</v>
      </c>
      <c r="T324" s="110">
        <f t="shared" ref="T324:T387" si="5">N324-S324</f>
        <v>0</v>
      </c>
      <c r="U324" s="110"/>
      <c r="V324" s="100" t="s">
        <v>5314</v>
      </c>
      <c r="W324" s="110" t="s">
        <v>54</v>
      </c>
      <c r="X324" s="114" t="s">
        <v>5315</v>
      </c>
      <c r="Y324" s="114"/>
      <c r="AA324" s="113" t="e">
        <v>#N/A</v>
      </c>
      <c r="AB324" s="113" t="e">
        <v>#N/A</v>
      </c>
    </row>
    <row r="325" spans="1:28" ht="15">
      <c r="A325" s="108">
        <v>324</v>
      </c>
      <c r="B325" s="108"/>
      <c r="C325" s="145">
        <v>46022</v>
      </c>
      <c r="D325" s="110" t="s">
        <v>933</v>
      </c>
      <c r="E325" s="144" t="s">
        <v>5283</v>
      </c>
      <c r="F325" s="110" t="s">
        <v>5289</v>
      </c>
      <c r="G325" s="110"/>
      <c r="H325" s="110" t="s">
        <v>5316</v>
      </c>
      <c r="I325" s="110">
        <v>8179147899</v>
      </c>
      <c r="J325" s="110"/>
      <c r="K325" s="119" t="s">
        <v>5317</v>
      </c>
      <c r="L325" s="119" t="s">
        <v>5317</v>
      </c>
      <c r="M325" s="116">
        <v>14336</v>
      </c>
      <c r="N325" s="116">
        <v>14336</v>
      </c>
      <c r="O325" s="111"/>
      <c r="P325" s="114" t="s">
        <v>5308</v>
      </c>
      <c r="Q325" s="110" t="s">
        <v>52</v>
      </c>
      <c r="R325" s="110"/>
      <c r="S325" s="110">
        <v>14336</v>
      </c>
      <c r="T325" s="110">
        <f t="shared" si="5"/>
        <v>0</v>
      </c>
      <c r="U325" s="110"/>
      <c r="V325" s="110"/>
      <c r="W325" s="110" t="s">
        <v>54</v>
      </c>
      <c r="X325" s="114" t="s">
        <v>5308</v>
      </c>
      <c r="Y325" s="114"/>
      <c r="Z325" s="152"/>
      <c r="AA325" s="152" t="e">
        <v>#N/A</v>
      </c>
      <c r="AB325" s="113" t="e">
        <v>#N/A</v>
      </c>
    </row>
    <row r="326" spans="1:28">
      <c r="A326" s="108">
        <v>325</v>
      </c>
      <c r="B326" s="108"/>
      <c r="C326" s="145">
        <v>46022</v>
      </c>
      <c r="D326" s="110" t="s">
        <v>933</v>
      </c>
      <c r="E326" s="144" t="s">
        <v>5283</v>
      </c>
      <c r="F326" s="110" t="s">
        <v>5289</v>
      </c>
      <c r="G326" s="110"/>
      <c r="H326" s="110" t="s">
        <v>5318</v>
      </c>
      <c r="I326" s="110" t="s">
        <v>5319</v>
      </c>
      <c r="J326" s="110"/>
      <c r="K326" s="119" t="s">
        <v>5320</v>
      </c>
      <c r="L326" s="119" t="s">
        <v>5320</v>
      </c>
      <c r="M326" s="116">
        <v>534.49</v>
      </c>
      <c r="N326" s="116">
        <v>534.49</v>
      </c>
      <c r="O326" s="111"/>
      <c r="P326" s="114" t="s">
        <v>5255</v>
      </c>
      <c r="Q326" s="110" t="s">
        <v>239</v>
      </c>
      <c r="R326" s="110"/>
      <c r="S326" s="110"/>
      <c r="T326" s="110">
        <f t="shared" si="5"/>
        <v>534.49</v>
      </c>
      <c r="U326" s="110"/>
      <c r="V326" s="110"/>
      <c r="W326" s="110"/>
      <c r="X326" s="114" t="s">
        <v>5255</v>
      </c>
      <c r="Y326" s="114"/>
      <c r="AA326" s="113" t="e">
        <v>#N/A</v>
      </c>
      <c r="AB326" s="113" t="e">
        <v>#N/A</v>
      </c>
    </row>
    <row r="327" spans="1:28" ht="15">
      <c r="A327" s="108">
        <v>326</v>
      </c>
      <c r="B327" s="108" t="s">
        <v>225</v>
      </c>
      <c r="C327" s="145">
        <v>46022</v>
      </c>
      <c r="D327" s="110" t="s">
        <v>933</v>
      </c>
      <c r="E327" s="144" t="s">
        <v>5283</v>
      </c>
      <c r="F327" s="110" t="s">
        <v>2642</v>
      </c>
      <c r="G327" s="110" t="s">
        <v>5284</v>
      </c>
      <c r="H327" s="110" t="s">
        <v>5321</v>
      </c>
      <c r="I327" s="110">
        <v>9494234796</v>
      </c>
      <c r="J327" s="110"/>
      <c r="K327" s="119" t="s">
        <v>5322</v>
      </c>
      <c r="L327" s="119" t="s">
        <v>5322</v>
      </c>
      <c r="M327" s="116">
        <v>14870</v>
      </c>
      <c r="N327" s="116">
        <v>14870</v>
      </c>
      <c r="O327" s="111"/>
      <c r="P327" s="112"/>
      <c r="Q327" s="110"/>
      <c r="R327" s="110"/>
      <c r="S327" s="110"/>
      <c r="T327" s="110">
        <f t="shared" si="5"/>
        <v>14870</v>
      </c>
      <c r="U327" s="110"/>
      <c r="V327" s="100" t="s">
        <v>5300</v>
      </c>
      <c r="W327" s="110"/>
      <c r="X327" s="110"/>
      <c r="Y327" s="114"/>
      <c r="AA327" s="113" t="e">
        <v>#N/A</v>
      </c>
      <c r="AB327" s="113" t="e">
        <v>#N/A</v>
      </c>
    </row>
    <row r="328" spans="1:28" ht="15">
      <c r="A328" s="108">
        <v>327</v>
      </c>
      <c r="B328" s="108" t="s">
        <v>225</v>
      </c>
      <c r="C328" s="145">
        <v>45688</v>
      </c>
      <c r="D328" s="110" t="s">
        <v>933</v>
      </c>
      <c r="E328" s="144" t="s">
        <v>5283</v>
      </c>
      <c r="F328" s="110" t="s">
        <v>5323</v>
      </c>
      <c r="G328" s="110"/>
      <c r="H328" s="154" t="s">
        <v>5324</v>
      </c>
      <c r="I328" s="110">
        <v>7795115991</v>
      </c>
      <c r="J328" s="110"/>
      <c r="K328" s="119" t="s">
        <v>5325</v>
      </c>
      <c r="L328" s="119" t="s">
        <v>5325</v>
      </c>
      <c r="M328" s="116">
        <v>23655</v>
      </c>
      <c r="N328" s="110">
        <v>23665</v>
      </c>
      <c r="O328" s="111">
        <v>46070</v>
      </c>
      <c r="P328" s="112" t="s">
        <v>76</v>
      </c>
      <c r="Q328" s="110" t="s">
        <v>52</v>
      </c>
      <c r="R328" s="110" t="s">
        <v>76</v>
      </c>
      <c r="S328" s="110">
        <f>20000+1655</f>
        <v>21655</v>
      </c>
      <c r="T328" s="110">
        <f t="shared" si="5"/>
        <v>2010</v>
      </c>
      <c r="U328" s="111">
        <v>46086</v>
      </c>
      <c r="V328" s="110" t="s">
        <v>5326</v>
      </c>
      <c r="W328" s="110" t="s">
        <v>54</v>
      </c>
      <c r="X328" s="114" t="s">
        <v>1095</v>
      </c>
      <c r="Y328" s="114" t="s">
        <v>5327</v>
      </c>
      <c r="AA328" s="113" t="e">
        <v>#N/A</v>
      </c>
      <c r="AB328" s="113" t="e">
        <v>#N/A</v>
      </c>
    </row>
    <row r="329" spans="1:28" ht="15">
      <c r="A329" s="108">
        <v>328</v>
      </c>
      <c r="B329" s="108"/>
      <c r="C329" s="145">
        <v>46022</v>
      </c>
      <c r="D329" s="110" t="s">
        <v>933</v>
      </c>
      <c r="E329" s="144" t="s">
        <v>5283</v>
      </c>
      <c r="F329" s="110" t="s">
        <v>2642</v>
      </c>
      <c r="G329" s="110"/>
      <c r="H329" s="155" t="s">
        <v>5328</v>
      </c>
      <c r="I329" s="110">
        <v>9573916833</v>
      </c>
      <c r="J329" s="110"/>
      <c r="K329" s="155" t="s">
        <v>5329</v>
      </c>
      <c r="L329" s="155" t="s">
        <v>5329</v>
      </c>
      <c r="M329" s="156">
        <v>13173</v>
      </c>
      <c r="N329" s="156">
        <v>13173</v>
      </c>
      <c r="O329" s="111"/>
      <c r="P329" s="100" t="s">
        <v>5330</v>
      </c>
      <c r="Q329" s="110"/>
      <c r="R329" s="110"/>
      <c r="S329" s="110"/>
      <c r="T329" s="110">
        <f t="shared" si="5"/>
        <v>13173</v>
      </c>
      <c r="U329" s="110"/>
      <c r="V329" s="110"/>
      <c r="W329" s="110"/>
      <c r="X329" s="114"/>
      <c r="Y329" s="114"/>
      <c r="AA329" s="113" t="e">
        <v>#N/A</v>
      </c>
      <c r="AB329" s="113" t="e">
        <v>#N/A</v>
      </c>
    </row>
    <row r="330" spans="1:28" ht="15">
      <c r="A330" s="108">
        <v>329</v>
      </c>
      <c r="B330" s="108"/>
      <c r="C330" s="145">
        <v>46022</v>
      </c>
      <c r="D330" s="110" t="s">
        <v>933</v>
      </c>
      <c r="E330" s="144" t="s">
        <v>5283</v>
      </c>
      <c r="F330" s="110" t="s">
        <v>2642</v>
      </c>
      <c r="G330" s="110"/>
      <c r="H330" s="155" t="s">
        <v>5328</v>
      </c>
      <c r="I330" s="110">
        <v>9573916833</v>
      </c>
      <c r="J330" s="110"/>
      <c r="K330" s="155" t="s">
        <v>5331</v>
      </c>
      <c r="L330" s="155" t="s">
        <v>5331</v>
      </c>
      <c r="M330" s="156">
        <v>10828</v>
      </c>
      <c r="N330" s="156">
        <v>10828</v>
      </c>
      <c r="O330" s="111"/>
      <c r="P330" s="100" t="s">
        <v>5330</v>
      </c>
      <c r="Q330" s="110"/>
      <c r="R330" s="110"/>
      <c r="S330" s="110"/>
      <c r="T330" s="110">
        <f t="shared" si="5"/>
        <v>10828</v>
      </c>
      <c r="U330" s="110"/>
      <c r="V330" s="110"/>
      <c r="W330" s="110"/>
      <c r="X330" s="114"/>
      <c r="Y330" s="114"/>
      <c r="AA330" s="113" t="e">
        <v>#N/A</v>
      </c>
      <c r="AB330" s="113" t="e">
        <v>#N/A</v>
      </c>
    </row>
    <row r="331" spans="1:28">
      <c r="A331" s="108">
        <v>330</v>
      </c>
      <c r="B331" s="108" t="s">
        <v>225</v>
      </c>
      <c r="C331" s="145">
        <v>46053</v>
      </c>
      <c r="D331" s="110" t="s">
        <v>933</v>
      </c>
      <c r="E331" s="110" t="s">
        <v>4254</v>
      </c>
      <c r="F331" s="110" t="s">
        <v>2642</v>
      </c>
      <c r="G331" s="110" t="s">
        <v>5284</v>
      </c>
      <c r="H331" s="110" t="s">
        <v>5332</v>
      </c>
      <c r="I331" s="110">
        <v>9603144144</v>
      </c>
      <c r="J331" s="110"/>
      <c r="K331" s="119" t="s">
        <v>5333</v>
      </c>
      <c r="L331" s="119" t="s">
        <v>5333</v>
      </c>
      <c r="M331" s="116">
        <v>34669</v>
      </c>
      <c r="N331" s="110">
        <v>34680</v>
      </c>
      <c r="O331" s="111">
        <v>46069</v>
      </c>
      <c r="P331" s="112" t="s">
        <v>5334</v>
      </c>
      <c r="Q331" s="110" t="s">
        <v>52</v>
      </c>
      <c r="R331" s="110" t="s">
        <v>1403</v>
      </c>
      <c r="S331" s="110">
        <v>34650</v>
      </c>
      <c r="T331" s="110">
        <f t="shared" si="5"/>
        <v>30</v>
      </c>
      <c r="U331" s="111">
        <v>46069</v>
      </c>
      <c r="V331" s="110" t="s">
        <v>5335</v>
      </c>
      <c r="W331" s="110" t="s">
        <v>54</v>
      </c>
      <c r="X331" s="110" t="s">
        <v>5308</v>
      </c>
      <c r="Y331" s="114" t="s">
        <v>5336</v>
      </c>
      <c r="AA331" s="113" t="e">
        <v>#N/A</v>
      </c>
      <c r="AB331" s="113" t="e">
        <v>#N/A</v>
      </c>
    </row>
    <row r="332" spans="1:28" ht="15">
      <c r="A332" s="108">
        <v>331</v>
      </c>
      <c r="B332" s="108"/>
      <c r="C332" s="109">
        <v>46053</v>
      </c>
      <c r="D332" s="110" t="s">
        <v>933</v>
      </c>
      <c r="E332" s="110" t="s">
        <v>4254</v>
      </c>
      <c r="F332" s="110" t="s">
        <v>5289</v>
      </c>
      <c r="G332" s="110"/>
      <c r="H332" s="100" t="s">
        <v>5337</v>
      </c>
      <c r="I332" s="152">
        <v>9985777588</v>
      </c>
      <c r="J332" s="110"/>
      <c r="K332" s="100" t="s">
        <v>5338</v>
      </c>
      <c r="L332" s="100" t="s">
        <v>5338</v>
      </c>
      <c r="M332" s="152">
        <v>15896</v>
      </c>
      <c r="N332" s="152">
        <v>15896</v>
      </c>
      <c r="O332" s="111">
        <v>46078</v>
      </c>
      <c r="P332" s="112" t="s">
        <v>5334</v>
      </c>
      <c r="Q332" s="110" t="s">
        <v>52</v>
      </c>
      <c r="R332" s="100" t="s">
        <v>2585</v>
      </c>
      <c r="S332" s="110">
        <v>14000</v>
      </c>
      <c r="T332" s="110">
        <f t="shared" si="5"/>
        <v>1896</v>
      </c>
      <c r="U332" s="111">
        <v>46080</v>
      </c>
      <c r="V332" s="110" t="s">
        <v>5339</v>
      </c>
      <c r="W332" s="110" t="s">
        <v>54</v>
      </c>
      <c r="X332" s="114"/>
      <c r="Y332" s="114"/>
      <c r="AA332" s="113" t="e">
        <v>#N/A</v>
      </c>
      <c r="AB332" s="113" t="e">
        <v>#N/A</v>
      </c>
    </row>
    <row r="333" spans="1:28" ht="15">
      <c r="A333" s="108">
        <v>332</v>
      </c>
      <c r="B333" s="108"/>
      <c r="C333" s="109">
        <v>46053</v>
      </c>
      <c r="D333" s="110" t="s">
        <v>933</v>
      </c>
      <c r="E333" s="110" t="s">
        <v>4254</v>
      </c>
      <c r="F333" s="110" t="s">
        <v>5289</v>
      </c>
      <c r="G333" s="110"/>
      <c r="H333" s="100" t="s">
        <v>5290</v>
      </c>
      <c r="I333" s="152">
        <v>6303935498</v>
      </c>
      <c r="J333" s="110"/>
      <c r="K333" s="100" t="s">
        <v>5291</v>
      </c>
      <c r="L333" s="100" t="s">
        <v>5291</v>
      </c>
      <c r="M333" s="152">
        <v>20948</v>
      </c>
      <c r="N333" s="152">
        <v>20948</v>
      </c>
      <c r="O333" s="111">
        <v>46079</v>
      </c>
      <c r="P333" s="157" t="s">
        <v>5340</v>
      </c>
      <c r="Q333" s="110" t="s">
        <v>52</v>
      </c>
      <c r="R333" s="100" t="s">
        <v>2585</v>
      </c>
      <c r="S333" s="110">
        <v>20948</v>
      </c>
      <c r="T333" s="110">
        <f t="shared" si="5"/>
        <v>0</v>
      </c>
      <c r="U333" s="111">
        <v>46081</v>
      </c>
      <c r="V333" s="110" t="s">
        <v>5341</v>
      </c>
      <c r="W333" s="110" t="s">
        <v>54</v>
      </c>
      <c r="X333" s="156" t="s">
        <v>5334</v>
      </c>
      <c r="Y333" s="156" t="s">
        <v>5334</v>
      </c>
      <c r="AA333" s="113" t="e">
        <v>#N/A</v>
      </c>
      <c r="AB333" s="113" t="e">
        <v>#N/A</v>
      </c>
    </row>
    <row r="334" spans="1:28" ht="15">
      <c r="A334" s="108">
        <v>333</v>
      </c>
      <c r="B334" s="108"/>
      <c r="C334" s="109">
        <v>46053</v>
      </c>
      <c r="D334" s="110" t="s">
        <v>933</v>
      </c>
      <c r="E334" s="110" t="s">
        <v>4254</v>
      </c>
      <c r="F334" s="110" t="s">
        <v>5289</v>
      </c>
      <c r="G334" s="110"/>
      <c r="H334" s="100" t="s">
        <v>5342</v>
      </c>
      <c r="I334" s="152">
        <v>8790467673</v>
      </c>
      <c r="J334" s="110"/>
      <c r="K334" s="100" t="s">
        <v>5343</v>
      </c>
      <c r="L334" s="100" t="s">
        <v>5343</v>
      </c>
      <c r="M334" s="152">
        <v>14390</v>
      </c>
      <c r="N334" s="152">
        <v>14390</v>
      </c>
      <c r="O334" s="111"/>
      <c r="P334" s="112"/>
      <c r="Q334" s="110"/>
      <c r="R334" s="100" t="s">
        <v>5344</v>
      </c>
      <c r="S334" s="110"/>
      <c r="T334" s="110">
        <f t="shared" si="5"/>
        <v>14390</v>
      </c>
      <c r="U334" s="110"/>
      <c r="V334" s="110"/>
      <c r="W334" s="110" t="s">
        <v>54</v>
      </c>
      <c r="X334" s="114"/>
      <c r="Y334" s="114"/>
      <c r="Z334" s="152" t="s">
        <v>5345</v>
      </c>
      <c r="AA334" s="113" t="e">
        <v>#N/A</v>
      </c>
      <c r="AB334" s="113" t="e">
        <v>#N/A</v>
      </c>
    </row>
    <row r="335" spans="1:28" ht="15">
      <c r="A335" s="108">
        <v>334</v>
      </c>
      <c r="B335" s="108"/>
      <c r="C335" s="109">
        <v>46053</v>
      </c>
      <c r="D335" s="110" t="s">
        <v>933</v>
      </c>
      <c r="E335" s="110" t="s">
        <v>4254</v>
      </c>
      <c r="F335" s="100" t="s">
        <v>2642</v>
      </c>
      <c r="G335" s="110"/>
      <c r="H335" s="100" t="s">
        <v>5321</v>
      </c>
      <c r="I335" s="152">
        <v>9494234796</v>
      </c>
      <c r="J335" s="110"/>
      <c r="K335" s="100" t="s">
        <v>5322</v>
      </c>
      <c r="L335" s="100" t="s">
        <v>5322</v>
      </c>
      <c r="M335" s="152">
        <v>18412</v>
      </c>
      <c r="N335" s="152">
        <v>18412</v>
      </c>
      <c r="O335" s="111">
        <v>46077</v>
      </c>
      <c r="P335" s="112" t="s">
        <v>5346</v>
      </c>
      <c r="Q335" s="110" t="s">
        <v>52</v>
      </c>
      <c r="R335" s="100" t="s">
        <v>5347</v>
      </c>
      <c r="S335" s="110">
        <v>18412</v>
      </c>
      <c r="T335" s="110">
        <f t="shared" si="5"/>
        <v>0</v>
      </c>
      <c r="U335" s="111">
        <v>46077</v>
      </c>
      <c r="V335" s="110" t="s">
        <v>5348</v>
      </c>
      <c r="W335" s="110" t="s">
        <v>54</v>
      </c>
      <c r="X335" s="114" t="s">
        <v>5347</v>
      </c>
      <c r="Y335" s="114" t="s">
        <v>5347</v>
      </c>
      <c r="AA335" s="113" t="e">
        <v>#N/A</v>
      </c>
      <c r="AB335" s="113" t="e">
        <v>#N/A</v>
      </c>
    </row>
    <row r="336" spans="1:28" ht="15">
      <c r="A336" s="108">
        <v>335</v>
      </c>
      <c r="B336" s="108"/>
      <c r="C336" s="109">
        <v>46053</v>
      </c>
      <c r="D336" s="110" t="s">
        <v>933</v>
      </c>
      <c r="E336" s="110" t="s">
        <v>4254</v>
      </c>
      <c r="F336" s="100" t="s">
        <v>2642</v>
      </c>
      <c r="G336" s="110"/>
      <c r="H336" s="100" t="s">
        <v>5349</v>
      </c>
      <c r="I336" s="152">
        <v>9357555666</v>
      </c>
      <c r="J336" s="110"/>
      <c r="K336" s="100" t="s">
        <v>5350</v>
      </c>
      <c r="L336" s="100" t="s">
        <v>5350</v>
      </c>
      <c r="M336" s="152">
        <v>728</v>
      </c>
      <c r="N336" s="152">
        <v>728</v>
      </c>
      <c r="O336" s="111"/>
      <c r="P336" s="112" t="s">
        <v>5255</v>
      </c>
      <c r="Q336" s="110" t="s">
        <v>239</v>
      </c>
      <c r="R336" s="100" t="s">
        <v>5255</v>
      </c>
      <c r="S336" s="110"/>
      <c r="T336" s="110">
        <f t="shared" si="5"/>
        <v>728</v>
      </c>
      <c r="U336" s="110"/>
      <c r="V336" s="110"/>
      <c r="W336" s="110"/>
      <c r="X336" s="114" t="s">
        <v>5255</v>
      </c>
      <c r="Y336" s="114" t="s">
        <v>5255</v>
      </c>
      <c r="AA336" s="113" t="e">
        <v>#N/A</v>
      </c>
      <c r="AB336" s="113" t="e">
        <v>#N/A</v>
      </c>
    </row>
    <row r="337" spans="1:29" ht="15">
      <c r="A337" s="108">
        <v>336</v>
      </c>
      <c r="B337" s="108"/>
      <c r="C337" s="109">
        <v>46053</v>
      </c>
      <c r="D337" s="110" t="s">
        <v>933</v>
      </c>
      <c r="E337" s="110" t="s">
        <v>4254</v>
      </c>
      <c r="F337" s="100" t="s">
        <v>2642</v>
      </c>
      <c r="G337" s="110"/>
      <c r="H337" s="100" t="s">
        <v>5351</v>
      </c>
      <c r="I337" s="152">
        <v>6301982548</v>
      </c>
      <c r="J337" s="110"/>
      <c r="K337" s="100" t="s">
        <v>5352</v>
      </c>
      <c r="L337" s="100" t="s">
        <v>5352</v>
      </c>
      <c r="M337" s="152">
        <v>30435</v>
      </c>
      <c r="N337" s="152">
        <v>30435</v>
      </c>
      <c r="O337" s="111">
        <v>46070</v>
      </c>
      <c r="P337" s="112" t="s">
        <v>5299</v>
      </c>
      <c r="Q337" s="110" t="s">
        <v>52</v>
      </c>
      <c r="R337" s="100" t="s">
        <v>1403</v>
      </c>
      <c r="S337" s="110">
        <v>30000</v>
      </c>
      <c r="T337" s="110">
        <f t="shared" si="5"/>
        <v>435</v>
      </c>
      <c r="U337" s="111">
        <v>46072</v>
      </c>
      <c r="V337" s="100" t="s">
        <v>5353</v>
      </c>
      <c r="W337" s="110" t="s">
        <v>54</v>
      </c>
      <c r="X337" s="114" t="s">
        <v>5354</v>
      </c>
      <c r="Y337" s="114" t="s">
        <v>5354</v>
      </c>
      <c r="AA337" s="113" t="e">
        <v>#N/A</v>
      </c>
      <c r="AB337" s="113" t="e">
        <v>#N/A</v>
      </c>
    </row>
    <row r="338" spans="1:29" ht="15">
      <c r="A338" s="108">
        <v>337</v>
      </c>
      <c r="B338" s="108"/>
      <c r="C338" s="109">
        <v>46053</v>
      </c>
      <c r="D338" s="110" t="s">
        <v>933</v>
      </c>
      <c r="E338" s="110" t="s">
        <v>4254</v>
      </c>
      <c r="F338" s="100" t="s">
        <v>2642</v>
      </c>
      <c r="G338" s="110"/>
      <c r="H338" s="100" t="s">
        <v>5355</v>
      </c>
      <c r="I338" s="152">
        <v>9848941174</v>
      </c>
      <c r="J338" s="110"/>
      <c r="K338" s="100" t="s">
        <v>5356</v>
      </c>
      <c r="L338" s="100" t="s">
        <v>5356</v>
      </c>
      <c r="M338" s="152">
        <v>30518</v>
      </c>
      <c r="N338" s="152">
        <v>30518</v>
      </c>
      <c r="O338" s="111">
        <v>46063</v>
      </c>
      <c r="P338" s="158" t="s">
        <v>1403</v>
      </c>
      <c r="Q338" s="110" t="s">
        <v>52</v>
      </c>
      <c r="R338" s="100" t="s">
        <v>1403</v>
      </c>
      <c r="S338" s="110">
        <v>10000</v>
      </c>
      <c r="T338" s="110">
        <f t="shared" si="5"/>
        <v>20518</v>
      </c>
      <c r="U338" s="110"/>
      <c r="V338" s="110"/>
      <c r="W338" s="110"/>
      <c r="X338" s="114" t="s">
        <v>1403</v>
      </c>
      <c r="Y338" s="114" t="s">
        <v>1403</v>
      </c>
      <c r="AA338" s="113" t="e">
        <v>#N/A</v>
      </c>
      <c r="AB338" s="113" t="e">
        <v>#N/A</v>
      </c>
    </row>
    <row r="339" spans="1:29" ht="15">
      <c r="A339" s="108">
        <v>338</v>
      </c>
      <c r="B339" s="108"/>
      <c r="C339" s="109">
        <v>46053</v>
      </c>
      <c r="D339" s="110" t="s">
        <v>933</v>
      </c>
      <c r="E339" s="110" t="s">
        <v>4254</v>
      </c>
      <c r="F339" s="100" t="s">
        <v>2642</v>
      </c>
      <c r="G339" s="110"/>
      <c r="H339" s="100" t="s">
        <v>5357</v>
      </c>
      <c r="I339" s="152">
        <v>9346634303</v>
      </c>
      <c r="J339" s="110"/>
      <c r="K339" s="100" t="s">
        <v>5358</v>
      </c>
      <c r="L339" s="100" t="s">
        <v>5358</v>
      </c>
      <c r="M339" s="152">
        <v>19228</v>
      </c>
      <c r="N339" s="152">
        <v>19228</v>
      </c>
      <c r="O339" s="111">
        <v>46063</v>
      </c>
      <c r="P339" s="100" t="s">
        <v>5359</v>
      </c>
      <c r="Q339" s="110" t="s">
        <v>52</v>
      </c>
      <c r="R339" s="100" t="s">
        <v>1403</v>
      </c>
      <c r="S339" s="110">
        <v>5000</v>
      </c>
      <c r="T339" s="110">
        <f t="shared" si="5"/>
        <v>14228</v>
      </c>
      <c r="U339" s="111">
        <v>46091</v>
      </c>
      <c r="V339" s="110" t="s">
        <v>5360</v>
      </c>
      <c r="W339" s="110"/>
      <c r="X339" s="158" t="s">
        <v>5359</v>
      </c>
      <c r="Y339" s="158" t="s">
        <v>5359</v>
      </c>
      <c r="AA339" s="113" t="e">
        <v>#N/A</v>
      </c>
      <c r="AB339" s="113" t="e">
        <v>#N/A</v>
      </c>
    </row>
    <row r="340" spans="1:29" ht="15">
      <c r="A340" s="108">
        <v>339</v>
      </c>
      <c r="B340" s="108"/>
      <c r="C340" s="109">
        <v>46053</v>
      </c>
      <c r="D340" s="110" t="s">
        <v>933</v>
      </c>
      <c r="E340" s="110" t="s">
        <v>4254</v>
      </c>
      <c r="F340" s="100" t="s">
        <v>2642</v>
      </c>
      <c r="G340" s="110"/>
      <c r="H340" s="100" t="s">
        <v>5361</v>
      </c>
      <c r="I340" s="152">
        <v>9963617314</v>
      </c>
      <c r="J340" s="110"/>
      <c r="K340" s="100" t="s">
        <v>5362</v>
      </c>
      <c r="L340" s="100" t="s">
        <v>5362</v>
      </c>
      <c r="M340" s="152">
        <v>5316</v>
      </c>
      <c r="N340" s="152">
        <v>5316</v>
      </c>
      <c r="O340" s="111">
        <v>46063</v>
      </c>
      <c r="P340" s="158" t="s">
        <v>5363</v>
      </c>
      <c r="Q340" s="110" t="s">
        <v>52</v>
      </c>
      <c r="R340" s="100" t="s">
        <v>1403</v>
      </c>
      <c r="S340" s="110"/>
      <c r="T340" s="110">
        <f t="shared" si="5"/>
        <v>5316</v>
      </c>
      <c r="U340" s="110"/>
      <c r="V340" s="110"/>
      <c r="W340" s="110"/>
      <c r="X340" s="158" t="s">
        <v>5363</v>
      </c>
      <c r="Y340" s="158" t="s">
        <v>5363</v>
      </c>
      <c r="AA340" s="113" t="e">
        <v>#N/A</v>
      </c>
      <c r="AB340" s="113" t="e">
        <v>#N/A</v>
      </c>
    </row>
    <row r="341" spans="1:29" ht="15">
      <c r="A341" s="108">
        <v>340</v>
      </c>
      <c r="B341" s="108"/>
      <c r="C341" s="109">
        <v>46053</v>
      </c>
      <c r="D341" s="110" t="s">
        <v>933</v>
      </c>
      <c r="E341" s="110" t="s">
        <v>4254</v>
      </c>
      <c r="F341" s="100" t="s">
        <v>2642</v>
      </c>
      <c r="G341" s="110"/>
      <c r="H341" s="100" t="s">
        <v>5364</v>
      </c>
      <c r="I341" s="152">
        <v>9515235106</v>
      </c>
      <c r="J341" s="110"/>
      <c r="K341" s="100" t="s">
        <v>5365</v>
      </c>
      <c r="L341" s="100" t="s">
        <v>5365</v>
      </c>
      <c r="M341" s="152">
        <v>5607</v>
      </c>
      <c r="N341" s="152">
        <v>5607</v>
      </c>
      <c r="O341" s="111">
        <v>46063</v>
      </c>
      <c r="P341" s="158" t="s">
        <v>5347</v>
      </c>
      <c r="Q341" s="110" t="s">
        <v>52</v>
      </c>
      <c r="R341" s="100" t="s">
        <v>1403</v>
      </c>
      <c r="S341" s="110"/>
      <c r="T341" s="110">
        <f t="shared" si="5"/>
        <v>5607</v>
      </c>
      <c r="U341" s="110"/>
      <c r="V341" s="110"/>
      <c r="W341" s="110"/>
      <c r="X341" s="158" t="s">
        <v>5347</v>
      </c>
      <c r="Y341" s="158" t="s">
        <v>5354</v>
      </c>
      <c r="AA341" s="113" t="e">
        <v>#N/A</v>
      </c>
      <c r="AB341" s="113" t="e">
        <v>#N/A</v>
      </c>
    </row>
    <row r="342" spans="1:29" ht="15">
      <c r="A342" s="108">
        <v>341</v>
      </c>
      <c r="B342" s="108"/>
      <c r="C342" s="109">
        <v>46053</v>
      </c>
      <c r="D342" s="110" t="s">
        <v>933</v>
      </c>
      <c r="E342" s="110" t="s">
        <v>4254</v>
      </c>
      <c r="F342" s="100" t="s">
        <v>2642</v>
      </c>
      <c r="G342" s="110"/>
      <c r="H342" s="100" t="s">
        <v>5366</v>
      </c>
      <c r="I342" s="152">
        <v>9059786143</v>
      </c>
      <c r="J342" s="110"/>
      <c r="K342" s="100" t="s">
        <v>5367</v>
      </c>
      <c r="L342" s="100" t="s">
        <v>5367</v>
      </c>
      <c r="M342" s="152">
        <v>4167</v>
      </c>
      <c r="N342" s="152">
        <v>4167</v>
      </c>
      <c r="O342" s="111"/>
      <c r="P342" s="112" t="s">
        <v>5255</v>
      </c>
      <c r="Q342" s="110" t="s">
        <v>239</v>
      </c>
      <c r="R342" s="100" t="s">
        <v>1403</v>
      </c>
      <c r="S342" s="110"/>
      <c r="T342" s="110">
        <f t="shared" si="5"/>
        <v>4167</v>
      </c>
      <c r="U342" s="110"/>
      <c r="V342" s="110"/>
      <c r="W342" s="110"/>
      <c r="X342" s="114" t="s">
        <v>5255</v>
      </c>
      <c r="Y342" s="114" t="s">
        <v>5255</v>
      </c>
      <c r="AA342" s="113" t="e">
        <v>#N/A</v>
      </c>
      <c r="AB342" s="113" t="e">
        <v>#N/A</v>
      </c>
    </row>
    <row r="343" spans="1:29">
      <c r="A343" s="108">
        <v>342</v>
      </c>
      <c r="B343" s="108" t="s">
        <v>225</v>
      </c>
      <c r="C343" s="109">
        <v>46055</v>
      </c>
      <c r="D343" s="110" t="s">
        <v>226</v>
      </c>
      <c r="E343" s="110" t="s">
        <v>5252</v>
      </c>
      <c r="F343" s="110" t="s">
        <v>336</v>
      </c>
      <c r="G343" s="110">
        <v>2</v>
      </c>
      <c r="H343" s="110" t="s">
        <v>5368</v>
      </c>
      <c r="I343" s="110">
        <v>9885436331</v>
      </c>
      <c r="J343" s="110"/>
      <c r="K343" s="119" t="s">
        <v>338</v>
      </c>
      <c r="L343" s="119" t="s">
        <v>338</v>
      </c>
      <c r="M343" s="116">
        <v>45060</v>
      </c>
      <c r="N343" s="110">
        <v>28679</v>
      </c>
      <c r="O343" s="111">
        <v>46059</v>
      </c>
      <c r="P343" s="112" t="s">
        <v>698</v>
      </c>
      <c r="Q343" s="110" t="s">
        <v>52</v>
      </c>
      <c r="R343" s="110" t="s">
        <v>340</v>
      </c>
      <c r="S343" s="110">
        <v>28650</v>
      </c>
      <c r="T343" s="110">
        <f t="shared" si="5"/>
        <v>29</v>
      </c>
      <c r="U343" s="111">
        <v>46059</v>
      </c>
      <c r="V343" s="110" t="s">
        <v>5369</v>
      </c>
      <c r="W343" s="110" t="s">
        <v>54</v>
      </c>
      <c r="X343" s="114" t="s">
        <v>698</v>
      </c>
      <c r="Y343" s="114" t="s">
        <v>342</v>
      </c>
      <c r="AA343" s="113" t="s">
        <v>11</v>
      </c>
      <c r="AB343" s="113" t="s">
        <v>4461</v>
      </c>
    </row>
    <row r="344" spans="1:29">
      <c r="A344" s="108">
        <v>343</v>
      </c>
      <c r="B344" s="108" t="s">
        <v>225</v>
      </c>
      <c r="C344" s="109">
        <v>46055</v>
      </c>
      <c r="D344" s="110" t="s">
        <v>226</v>
      </c>
      <c r="E344" s="110" t="s">
        <v>5252</v>
      </c>
      <c r="F344" s="110" t="s">
        <v>336</v>
      </c>
      <c r="G344" s="110">
        <v>2</v>
      </c>
      <c r="H344" s="110" t="s">
        <v>5370</v>
      </c>
      <c r="I344" s="110">
        <v>8147023091</v>
      </c>
      <c r="J344" s="110"/>
      <c r="K344" s="119" t="s">
        <v>5371</v>
      </c>
      <c r="L344" s="119" t="s">
        <v>5371</v>
      </c>
      <c r="M344" s="116">
        <v>11559</v>
      </c>
      <c r="N344" s="110">
        <v>11570</v>
      </c>
      <c r="O344" s="111">
        <v>46058</v>
      </c>
      <c r="P344" s="112" t="s">
        <v>2585</v>
      </c>
      <c r="Q344" s="110" t="s">
        <v>52</v>
      </c>
      <c r="R344" s="110" t="s">
        <v>340</v>
      </c>
      <c r="S344" s="110">
        <v>11500</v>
      </c>
      <c r="T344" s="110">
        <f t="shared" si="5"/>
        <v>70</v>
      </c>
      <c r="U344" s="111">
        <v>46058</v>
      </c>
      <c r="V344" s="110" t="s">
        <v>5372</v>
      </c>
      <c r="W344" s="110" t="s">
        <v>54</v>
      </c>
      <c r="X344" s="114" t="s">
        <v>2585</v>
      </c>
      <c r="Y344" s="114" t="s">
        <v>342</v>
      </c>
      <c r="AA344" s="113" t="s">
        <v>4983</v>
      </c>
      <c r="AB344" s="113" t="s">
        <v>4479</v>
      </c>
    </row>
    <row r="345" spans="1:29">
      <c r="A345" s="108">
        <v>344</v>
      </c>
      <c r="B345" s="108" t="s">
        <v>225</v>
      </c>
      <c r="C345" s="109">
        <v>46055</v>
      </c>
      <c r="D345" s="110" t="s">
        <v>226</v>
      </c>
      <c r="E345" s="110" t="s">
        <v>5252</v>
      </c>
      <c r="F345" s="110" t="s">
        <v>336</v>
      </c>
      <c r="G345" s="110">
        <v>2</v>
      </c>
      <c r="H345" s="110" t="s">
        <v>5373</v>
      </c>
      <c r="I345" s="110">
        <v>8093727531</v>
      </c>
      <c r="J345" s="110"/>
      <c r="K345" s="119" t="s">
        <v>5374</v>
      </c>
      <c r="L345" s="119" t="s">
        <v>5374</v>
      </c>
      <c r="M345" s="116">
        <v>2330</v>
      </c>
      <c r="N345" s="110">
        <v>2331</v>
      </c>
      <c r="O345" s="111">
        <v>46049</v>
      </c>
      <c r="P345" s="112" t="s">
        <v>1809</v>
      </c>
      <c r="Q345" s="159" t="s">
        <v>239</v>
      </c>
      <c r="R345" s="110" t="s">
        <v>340</v>
      </c>
      <c r="S345" s="110">
        <v>330</v>
      </c>
      <c r="T345" s="110">
        <f t="shared" si="5"/>
        <v>2001</v>
      </c>
      <c r="U345" s="110"/>
      <c r="V345" s="110" t="s">
        <v>5375</v>
      </c>
      <c r="W345" s="110" t="s">
        <v>54</v>
      </c>
      <c r="X345" s="114" t="s">
        <v>1809</v>
      </c>
      <c r="Y345" s="114" t="s">
        <v>3175</v>
      </c>
      <c r="AA345" s="113" t="e">
        <v>#N/A</v>
      </c>
      <c r="AB345" s="113" t="e">
        <v>#N/A</v>
      </c>
    </row>
    <row r="346" spans="1:29">
      <c r="A346" s="108">
        <v>345</v>
      </c>
      <c r="B346" s="108" t="s">
        <v>225</v>
      </c>
      <c r="C346" s="109">
        <v>46055</v>
      </c>
      <c r="D346" s="110" t="s">
        <v>226</v>
      </c>
      <c r="E346" s="110" t="s">
        <v>5252</v>
      </c>
      <c r="F346" s="160" t="s">
        <v>236</v>
      </c>
      <c r="G346" s="110">
        <v>2</v>
      </c>
      <c r="H346" s="110" t="s">
        <v>5376</v>
      </c>
      <c r="I346" s="110">
        <v>9701399955</v>
      </c>
      <c r="J346" s="110"/>
      <c r="K346" s="119" t="s">
        <v>5377</v>
      </c>
      <c r="L346" s="119" t="s">
        <v>5377</v>
      </c>
      <c r="M346" s="116">
        <v>6030</v>
      </c>
      <c r="N346" s="110">
        <v>6030</v>
      </c>
      <c r="O346" s="110" t="s">
        <v>239</v>
      </c>
      <c r="P346" s="110" t="s">
        <v>239</v>
      </c>
      <c r="Q346" s="110" t="s">
        <v>239</v>
      </c>
      <c r="R346" s="110" t="s">
        <v>236</v>
      </c>
      <c r="S346" s="110"/>
      <c r="T346" s="110">
        <f t="shared" si="5"/>
        <v>6030</v>
      </c>
      <c r="U346" s="110"/>
      <c r="V346" s="110"/>
      <c r="W346" s="110"/>
      <c r="X346" s="114" t="s">
        <v>5255</v>
      </c>
      <c r="Y346" s="114" t="s">
        <v>5255</v>
      </c>
      <c r="AA346" s="113" t="e">
        <v>#N/A</v>
      </c>
      <c r="AB346" s="113" t="e">
        <v>#N/A</v>
      </c>
      <c r="AC346" s="113">
        <v>1</v>
      </c>
    </row>
    <row r="347" spans="1:29">
      <c r="A347" s="108">
        <v>346</v>
      </c>
      <c r="B347" s="108" t="s">
        <v>225</v>
      </c>
      <c r="C347" s="109">
        <v>46055</v>
      </c>
      <c r="D347" s="110" t="s">
        <v>226</v>
      </c>
      <c r="E347" s="110" t="s">
        <v>5252</v>
      </c>
      <c r="F347" s="160" t="s">
        <v>236</v>
      </c>
      <c r="G347" s="110">
        <v>2</v>
      </c>
      <c r="H347" s="110" t="s">
        <v>5378</v>
      </c>
      <c r="I347" s="110">
        <v>9824974062</v>
      </c>
      <c r="J347" s="110"/>
      <c r="K347" s="119" t="s">
        <v>5379</v>
      </c>
      <c r="L347" s="119" t="s">
        <v>5379</v>
      </c>
      <c r="M347" s="116">
        <v>1932</v>
      </c>
      <c r="N347" s="110">
        <v>1932</v>
      </c>
      <c r="O347" s="110" t="s">
        <v>239</v>
      </c>
      <c r="P347" s="110" t="s">
        <v>239</v>
      </c>
      <c r="Q347" s="110" t="s">
        <v>239</v>
      </c>
      <c r="R347" s="110" t="s">
        <v>236</v>
      </c>
      <c r="S347" s="110"/>
      <c r="T347" s="110">
        <f t="shared" si="5"/>
        <v>1932</v>
      </c>
      <c r="U347" s="110"/>
      <c r="V347" s="110"/>
      <c r="W347" s="110"/>
      <c r="X347" s="114" t="s">
        <v>5255</v>
      </c>
      <c r="Y347" s="114" t="s">
        <v>5255</v>
      </c>
      <c r="AA347" s="113" t="e">
        <v>#N/A</v>
      </c>
      <c r="AB347" s="113" t="e">
        <v>#N/A</v>
      </c>
      <c r="AC347" s="113">
        <v>1</v>
      </c>
    </row>
    <row r="348" spans="1:29">
      <c r="A348" s="108">
        <v>347</v>
      </c>
      <c r="B348" s="108" t="s">
        <v>225</v>
      </c>
      <c r="C348" s="109">
        <v>46055</v>
      </c>
      <c r="D348" s="110" t="s">
        <v>226</v>
      </c>
      <c r="E348" s="110" t="s">
        <v>5252</v>
      </c>
      <c r="F348" s="160" t="s">
        <v>236</v>
      </c>
      <c r="G348" s="110">
        <v>2</v>
      </c>
      <c r="H348" s="110" t="s">
        <v>5380</v>
      </c>
      <c r="I348" s="110">
        <v>9538045032</v>
      </c>
      <c r="J348" s="110"/>
      <c r="K348" s="119" t="s">
        <v>5381</v>
      </c>
      <c r="L348" s="119" t="s">
        <v>5381</v>
      </c>
      <c r="M348" s="116">
        <v>4470</v>
      </c>
      <c r="N348" s="110">
        <v>4470</v>
      </c>
      <c r="O348" s="110" t="s">
        <v>239</v>
      </c>
      <c r="P348" s="110" t="s">
        <v>239</v>
      </c>
      <c r="Q348" s="110" t="s">
        <v>239</v>
      </c>
      <c r="R348" s="110" t="s">
        <v>236</v>
      </c>
      <c r="S348" s="110"/>
      <c r="T348" s="110">
        <f t="shared" si="5"/>
        <v>4470</v>
      </c>
      <c r="U348" s="110"/>
      <c r="V348" s="110"/>
      <c r="W348" s="110"/>
      <c r="X348" s="114" t="s">
        <v>5255</v>
      </c>
      <c r="Y348" s="114" t="s">
        <v>5255</v>
      </c>
      <c r="AA348" s="113" t="e">
        <v>#N/A</v>
      </c>
      <c r="AB348" s="113" t="e">
        <v>#N/A</v>
      </c>
      <c r="AC348" s="113">
        <v>1</v>
      </c>
    </row>
    <row r="349" spans="1:29">
      <c r="A349" s="108">
        <v>348</v>
      </c>
      <c r="B349" s="108" t="s">
        <v>225</v>
      </c>
      <c r="C349" s="109">
        <v>46055</v>
      </c>
      <c r="D349" s="110" t="s">
        <v>226</v>
      </c>
      <c r="E349" s="110" t="s">
        <v>5252</v>
      </c>
      <c r="F349" s="160" t="s">
        <v>236</v>
      </c>
      <c r="G349" s="110">
        <v>2</v>
      </c>
      <c r="H349" s="110" t="s">
        <v>5382</v>
      </c>
      <c r="I349" s="110">
        <v>9618991586</v>
      </c>
      <c r="J349" s="110"/>
      <c r="K349" s="119" t="s">
        <v>5383</v>
      </c>
      <c r="L349" s="119" t="s">
        <v>5383</v>
      </c>
      <c r="M349" s="116">
        <v>1420</v>
      </c>
      <c r="N349" s="110">
        <v>1420</v>
      </c>
      <c r="O349" s="110" t="s">
        <v>239</v>
      </c>
      <c r="P349" s="110" t="s">
        <v>239</v>
      </c>
      <c r="Q349" s="110" t="s">
        <v>239</v>
      </c>
      <c r="R349" s="110" t="s">
        <v>236</v>
      </c>
      <c r="S349" s="110"/>
      <c r="T349" s="110">
        <f t="shared" si="5"/>
        <v>1420</v>
      </c>
      <c r="U349" s="110"/>
      <c r="V349" s="110"/>
      <c r="W349" s="110"/>
      <c r="X349" s="114" t="s">
        <v>5255</v>
      </c>
      <c r="Y349" s="114" t="s">
        <v>5255</v>
      </c>
      <c r="AA349" s="113" t="e">
        <v>#N/A</v>
      </c>
      <c r="AB349" s="113" t="e">
        <v>#N/A</v>
      </c>
      <c r="AC349" s="113">
        <v>1</v>
      </c>
    </row>
    <row r="350" spans="1:29">
      <c r="A350" s="108">
        <v>349</v>
      </c>
      <c r="B350" s="108" t="s">
        <v>225</v>
      </c>
      <c r="C350" s="109">
        <v>46055</v>
      </c>
      <c r="D350" s="110" t="s">
        <v>226</v>
      </c>
      <c r="E350" s="110" t="s">
        <v>5252</v>
      </c>
      <c r="F350" s="160" t="s">
        <v>236</v>
      </c>
      <c r="G350" s="110">
        <v>2</v>
      </c>
      <c r="H350" s="110" t="s">
        <v>5384</v>
      </c>
      <c r="I350" s="110">
        <v>9885133844</v>
      </c>
      <c r="J350" s="110"/>
      <c r="K350" s="119" t="s">
        <v>5385</v>
      </c>
      <c r="L350" s="119" t="s">
        <v>5385</v>
      </c>
      <c r="M350" s="116">
        <v>835</v>
      </c>
      <c r="N350" s="110">
        <v>835</v>
      </c>
      <c r="O350" s="110" t="s">
        <v>239</v>
      </c>
      <c r="P350" s="110" t="s">
        <v>239</v>
      </c>
      <c r="Q350" s="110" t="s">
        <v>239</v>
      </c>
      <c r="R350" s="110" t="s">
        <v>236</v>
      </c>
      <c r="S350" s="110"/>
      <c r="T350" s="110">
        <f t="shared" si="5"/>
        <v>835</v>
      </c>
      <c r="U350" s="110"/>
      <c r="V350" s="110"/>
      <c r="W350" s="110"/>
      <c r="X350" s="114" t="s">
        <v>5255</v>
      </c>
      <c r="Y350" s="114" t="s">
        <v>5255</v>
      </c>
      <c r="AA350" s="113" t="e">
        <v>#N/A</v>
      </c>
      <c r="AB350" s="113" t="e">
        <v>#N/A</v>
      </c>
      <c r="AC350" s="113">
        <v>1</v>
      </c>
    </row>
    <row r="351" spans="1:29">
      <c r="A351" s="108">
        <v>350</v>
      </c>
      <c r="B351" s="108" t="s">
        <v>225</v>
      </c>
      <c r="C351" s="109">
        <v>46055</v>
      </c>
      <c r="D351" s="110" t="s">
        <v>226</v>
      </c>
      <c r="E351" s="110" t="s">
        <v>5252</v>
      </c>
      <c r="F351" s="160" t="s">
        <v>236</v>
      </c>
      <c r="G351" s="110">
        <v>2</v>
      </c>
      <c r="H351" s="110" t="s">
        <v>5386</v>
      </c>
      <c r="I351" s="110">
        <v>9403300333</v>
      </c>
      <c r="J351" s="110"/>
      <c r="K351" s="119" t="s">
        <v>5387</v>
      </c>
      <c r="L351" s="119" t="s">
        <v>5387</v>
      </c>
      <c r="M351" s="116">
        <v>510</v>
      </c>
      <c r="N351" s="110">
        <v>510</v>
      </c>
      <c r="O351" s="110" t="s">
        <v>239</v>
      </c>
      <c r="P351" s="110" t="s">
        <v>239</v>
      </c>
      <c r="Q351" s="110" t="s">
        <v>239</v>
      </c>
      <c r="R351" s="110" t="s">
        <v>236</v>
      </c>
      <c r="S351" s="110"/>
      <c r="T351" s="110">
        <f t="shared" si="5"/>
        <v>510</v>
      </c>
      <c r="U351" s="110"/>
      <c r="V351" s="110"/>
      <c r="W351" s="110"/>
      <c r="X351" s="114" t="s">
        <v>5255</v>
      </c>
      <c r="Y351" s="114" t="s">
        <v>5255</v>
      </c>
      <c r="AA351" s="113" t="e">
        <v>#N/A</v>
      </c>
      <c r="AB351" s="113" t="e">
        <v>#N/A</v>
      </c>
      <c r="AC351" s="113">
        <v>1</v>
      </c>
    </row>
    <row r="352" spans="1:29">
      <c r="A352" s="108">
        <v>351</v>
      </c>
      <c r="B352" s="108" t="s">
        <v>225</v>
      </c>
      <c r="C352" s="109">
        <v>46055</v>
      </c>
      <c r="D352" s="110" t="s">
        <v>226</v>
      </c>
      <c r="E352" s="110" t="s">
        <v>5252</v>
      </c>
      <c r="F352" s="160" t="s">
        <v>236</v>
      </c>
      <c r="G352" s="110">
        <v>2</v>
      </c>
      <c r="H352" s="110" t="s">
        <v>5388</v>
      </c>
      <c r="I352" s="110">
        <v>9629587682</v>
      </c>
      <c r="J352" s="110"/>
      <c r="K352" s="119" t="s">
        <v>5389</v>
      </c>
      <c r="L352" s="119" t="s">
        <v>5389</v>
      </c>
      <c r="M352" s="116">
        <v>1525</v>
      </c>
      <c r="N352" s="110">
        <v>1525</v>
      </c>
      <c r="O352" s="110" t="s">
        <v>239</v>
      </c>
      <c r="P352" s="110" t="s">
        <v>239</v>
      </c>
      <c r="Q352" s="110" t="s">
        <v>239</v>
      </c>
      <c r="R352" s="110" t="s">
        <v>236</v>
      </c>
      <c r="S352" s="110"/>
      <c r="T352" s="110">
        <f t="shared" si="5"/>
        <v>1525</v>
      </c>
      <c r="U352" s="110"/>
      <c r="V352" s="110"/>
      <c r="W352" s="110"/>
      <c r="X352" s="114" t="s">
        <v>5255</v>
      </c>
      <c r="Y352" s="114" t="s">
        <v>5255</v>
      </c>
      <c r="AA352" s="113" t="e">
        <v>#N/A</v>
      </c>
      <c r="AB352" s="113" t="e">
        <v>#N/A</v>
      </c>
      <c r="AC352" s="113">
        <v>1</v>
      </c>
    </row>
    <row r="353" spans="1:29">
      <c r="A353" s="108">
        <v>352</v>
      </c>
      <c r="B353" s="108" t="s">
        <v>225</v>
      </c>
      <c r="C353" s="109">
        <v>46055</v>
      </c>
      <c r="D353" s="110" t="s">
        <v>226</v>
      </c>
      <c r="E353" s="110" t="s">
        <v>5252</v>
      </c>
      <c r="F353" s="160" t="s">
        <v>236</v>
      </c>
      <c r="G353" s="110">
        <v>2</v>
      </c>
      <c r="H353" s="110" t="s">
        <v>5390</v>
      </c>
      <c r="I353" s="110">
        <v>9844411444</v>
      </c>
      <c r="J353" s="110"/>
      <c r="K353" s="119" t="s">
        <v>5391</v>
      </c>
      <c r="L353" s="119" t="s">
        <v>5391</v>
      </c>
      <c r="M353" s="116">
        <v>1160</v>
      </c>
      <c r="N353" s="110">
        <v>1160</v>
      </c>
      <c r="O353" s="110" t="s">
        <v>239</v>
      </c>
      <c r="P353" s="110" t="s">
        <v>239</v>
      </c>
      <c r="Q353" s="110" t="s">
        <v>239</v>
      </c>
      <c r="R353" s="110" t="s">
        <v>236</v>
      </c>
      <c r="S353" s="110"/>
      <c r="T353" s="110">
        <f t="shared" si="5"/>
        <v>1160</v>
      </c>
      <c r="U353" s="110"/>
      <c r="V353" s="110"/>
      <c r="W353" s="110"/>
      <c r="X353" s="114" t="s">
        <v>5255</v>
      </c>
      <c r="Y353" s="114" t="s">
        <v>5255</v>
      </c>
      <c r="AA353" s="113" t="e">
        <v>#N/A</v>
      </c>
      <c r="AB353" s="113" t="e">
        <v>#N/A</v>
      </c>
      <c r="AC353" s="113">
        <v>1</v>
      </c>
    </row>
    <row r="354" spans="1:29">
      <c r="A354" s="108">
        <v>353</v>
      </c>
      <c r="B354" s="108" t="s">
        <v>298</v>
      </c>
      <c r="C354" s="109">
        <v>46055</v>
      </c>
      <c r="D354" s="110" t="s">
        <v>226</v>
      </c>
      <c r="E354" s="110" t="s">
        <v>5252</v>
      </c>
      <c r="F354" s="110" t="s">
        <v>294</v>
      </c>
      <c r="G354" s="110">
        <v>2</v>
      </c>
      <c r="H354" s="110" t="s">
        <v>4477</v>
      </c>
      <c r="I354" s="110">
        <v>9703918164</v>
      </c>
      <c r="J354" s="110"/>
      <c r="K354" s="119" t="s">
        <v>297</v>
      </c>
      <c r="L354" s="119" t="s">
        <v>297</v>
      </c>
      <c r="M354" s="116">
        <v>24200</v>
      </c>
      <c r="N354" s="116">
        <v>24201</v>
      </c>
      <c r="O354" s="111">
        <v>46078</v>
      </c>
      <c r="P354" s="112" t="s">
        <v>298</v>
      </c>
      <c r="Q354" s="110" t="s">
        <v>52</v>
      </c>
      <c r="R354" s="116" t="s">
        <v>298</v>
      </c>
      <c r="S354" s="110">
        <f>10000+14201</f>
        <v>24201</v>
      </c>
      <c r="T354" s="110">
        <f t="shared" si="5"/>
        <v>0</v>
      </c>
      <c r="U354" s="111">
        <v>46071</v>
      </c>
      <c r="V354" s="110" t="s">
        <v>5392</v>
      </c>
      <c r="W354" s="110" t="s">
        <v>54</v>
      </c>
      <c r="X354" s="114" t="s">
        <v>298</v>
      </c>
      <c r="Y354" s="114" t="s">
        <v>298</v>
      </c>
      <c r="AA354" s="113" t="s">
        <v>11</v>
      </c>
      <c r="AB354" s="113" t="s">
        <v>4479</v>
      </c>
    </row>
    <row r="355" spans="1:29">
      <c r="A355" s="108">
        <v>354</v>
      </c>
      <c r="B355" s="108" t="s">
        <v>225</v>
      </c>
      <c r="C355" s="109">
        <v>46058</v>
      </c>
      <c r="D355" s="110" t="s">
        <v>226</v>
      </c>
      <c r="E355" s="110" t="s">
        <v>5252</v>
      </c>
      <c r="F355" s="110" t="s">
        <v>364</v>
      </c>
      <c r="G355" s="110">
        <v>5</v>
      </c>
      <c r="H355" s="110" t="s">
        <v>5393</v>
      </c>
      <c r="I355" s="110">
        <v>8019995445</v>
      </c>
      <c r="J355" s="110"/>
      <c r="K355" s="119" t="s">
        <v>5394</v>
      </c>
      <c r="L355" s="119" t="s">
        <v>5394</v>
      </c>
      <c r="M355" s="116">
        <v>14720</v>
      </c>
      <c r="N355" s="110">
        <v>14725</v>
      </c>
      <c r="O355" s="110" t="s">
        <v>239</v>
      </c>
      <c r="P355" s="110" t="s">
        <v>239</v>
      </c>
      <c r="Q355" s="110" t="s">
        <v>239</v>
      </c>
      <c r="R355" s="110" t="s">
        <v>5346</v>
      </c>
      <c r="S355" s="110"/>
      <c r="T355" s="110">
        <f t="shared" si="5"/>
        <v>14725</v>
      </c>
      <c r="U355" s="110"/>
      <c r="V355" s="110"/>
      <c r="W355" s="110"/>
      <c r="X355" s="114" t="s">
        <v>666</v>
      </c>
      <c r="Y355" s="114" t="s">
        <v>666</v>
      </c>
      <c r="Z355" s="113" t="s">
        <v>5269</v>
      </c>
      <c r="AA355" s="113" t="e">
        <v>#N/A</v>
      </c>
      <c r="AB355" s="113" t="e">
        <v>#N/A</v>
      </c>
    </row>
    <row r="356" spans="1:29">
      <c r="A356" s="108">
        <v>355</v>
      </c>
      <c r="B356" s="108" t="s">
        <v>225</v>
      </c>
      <c r="C356" s="109">
        <v>46058</v>
      </c>
      <c r="D356" s="110" t="s">
        <v>226</v>
      </c>
      <c r="E356" s="110" t="s">
        <v>5252</v>
      </c>
      <c r="F356" s="110" t="s">
        <v>767</v>
      </c>
      <c r="G356" s="110">
        <v>5</v>
      </c>
      <c r="H356" s="110" t="s">
        <v>5395</v>
      </c>
      <c r="I356" s="110">
        <v>9394876181</v>
      </c>
      <c r="J356" s="110"/>
      <c r="K356" s="119" t="s">
        <v>5396</v>
      </c>
      <c r="L356" s="119" t="s">
        <v>5396</v>
      </c>
      <c r="M356" s="116">
        <v>14950</v>
      </c>
      <c r="N356" s="110">
        <v>14960</v>
      </c>
      <c r="O356" s="111">
        <v>46078</v>
      </c>
      <c r="P356" s="112" t="s">
        <v>772</v>
      </c>
      <c r="Q356" s="110" t="s">
        <v>52</v>
      </c>
      <c r="R356" s="116" t="s">
        <v>772</v>
      </c>
      <c r="S356" s="110">
        <v>5000</v>
      </c>
      <c r="T356" s="110">
        <f t="shared" si="5"/>
        <v>9960</v>
      </c>
      <c r="U356" s="111">
        <v>46079</v>
      </c>
      <c r="V356" s="110" t="s">
        <v>5397</v>
      </c>
      <c r="W356" s="110"/>
      <c r="X356" s="114" t="s">
        <v>972</v>
      </c>
      <c r="Y356" s="114" t="s">
        <v>796</v>
      </c>
      <c r="AA356" s="113" t="e">
        <v>#N/A</v>
      </c>
      <c r="AB356" s="113" t="e">
        <v>#N/A</v>
      </c>
    </row>
    <row r="357" spans="1:29">
      <c r="A357" s="108">
        <v>356</v>
      </c>
      <c r="B357" s="108" t="s">
        <v>225</v>
      </c>
      <c r="C357" s="109">
        <v>46058</v>
      </c>
      <c r="D357" s="110" t="s">
        <v>226</v>
      </c>
      <c r="E357" s="110" t="s">
        <v>5252</v>
      </c>
      <c r="F357" s="110" t="s">
        <v>767</v>
      </c>
      <c r="G357" s="110">
        <v>5</v>
      </c>
      <c r="H357" s="110" t="s">
        <v>5398</v>
      </c>
      <c r="I357" s="110">
        <v>9059013939</v>
      </c>
      <c r="J357" s="110"/>
      <c r="K357" s="119" t="s">
        <v>5399</v>
      </c>
      <c r="L357" s="119" t="s">
        <v>5399</v>
      </c>
      <c r="M357" s="116">
        <v>9821</v>
      </c>
      <c r="N357" s="110">
        <v>9830</v>
      </c>
      <c r="O357" s="111"/>
      <c r="P357" s="112" t="s">
        <v>772</v>
      </c>
      <c r="Q357" s="110" t="s">
        <v>52</v>
      </c>
      <c r="R357" s="116" t="s">
        <v>772</v>
      </c>
      <c r="S357" s="110"/>
      <c r="T357" s="110">
        <f t="shared" si="5"/>
        <v>9830</v>
      </c>
      <c r="U357" s="110"/>
      <c r="V357" s="110"/>
      <c r="W357" s="110"/>
      <c r="X357" s="114" t="s">
        <v>790</v>
      </c>
      <c r="Y357" s="114" t="s">
        <v>796</v>
      </c>
      <c r="AA357" s="113" t="e">
        <v>#N/A</v>
      </c>
      <c r="AB357" s="113" t="e">
        <v>#N/A</v>
      </c>
    </row>
    <row r="358" spans="1:29">
      <c r="A358" s="108">
        <v>357</v>
      </c>
      <c r="B358" s="108" t="s">
        <v>225</v>
      </c>
      <c r="C358" s="109">
        <v>46058</v>
      </c>
      <c r="D358" s="110" t="s">
        <v>226</v>
      </c>
      <c r="E358" s="110" t="s">
        <v>5252</v>
      </c>
      <c r="F358" s="110" t="s">
        <v>5400</v>
      </c>
      <c r="G358" s="110">
        <v>5</v>
      </c>
      <c r="H358" s="110" t="s">
        <v>5401</v>
      </c>
      <c r="I358" s="110">
        <v>9000886030</v>
      </c>
      <c r="J358" s="110"/>
      <c r="K358" s="119" t="s">
        <v>5402</v>
      </c>
      <c r="L358" s="119" t="s">
        <v>5402</v>
      </c>
      <c r="M358" s="116">
        <v>21202</v>
      </c>
      <c r="N358" s="110">
        <v>21210</v>
      </c>
      <c r="O358" s="111"/>
      <c r="P358" s="161" t="s">
        <v>232</v>
      </c>
      <c r="Q358" s="110" t="s">
        <v>52</v>
      </c>
      <c r="R358" s="116" t="s">
        <v>232</v>
      </c>
      <c r="S358" s="110"/>
      <c r="T358" s="110">
        <f t="shared" si="5"/>
        <v>21210</v>
      </c>
      <c r="U358" s="110"/>
      <c r="V358" s="110"/>
      <c r="W358" s="110"/>
      <c r="X358" s="114" t="s">
        <v>5403</v>
      </c>
      <c r="Y358" s="114" t="s">
        <v>5403</v>
      </c>
      <c r="Z358" s="113" t="s">
        <v>5404</v>
      </c>
      <c r="AA358" s="113" t="e">
        <v>#N/A</v>
      </c>
      <c r="AB358" s="113" t="e">
        <v>#N/A</v>
      </c>
    </row>
    <row r="359" spans="1:29">
      <c r="A359" s="108">
        <v>358</v>
      </c>
      <c r="B359" s="108" t="s">
        <v>225</v>
      </c>
      <c r="C359" s="109">
        <v>46058</v>
      </c>
      <c r="D359" s="110" t="s">
        <v>226</v>
      </c>
      <c r="E359" s="110" t="s">
        <v>5252</v>
      </c>
      <c r="F359" s="110" t="s">
        <v>364</v>
      </c>
      <c r="G359" s="110">
        <v>5</v>
      </c>
      <c r="H359" s="110" t="s">
        <v>5405</v>
      </c>
      <c r="I359" s="110">
        <v>9908275559</v>
      </c>
      <c r="J359" s="110"/>
      <c r="K359" s="119" t="s">
        <v>5406</v>
      </c>
      <c r="L359" s="119" t="s">
        <v>5406</v>
      </c>
      <c r="M359" s="116">
        <v>36160</v>
      </c>
      <c r="N359" s="110">
        <v>36180</v>
      </c>
      <c r="O359" s="111">
        <v>46071</v>
      </c>
      <c r="P359" s="112" t="s">
        <v>5346</v>
      </c>
      <c r="Q359" s="110" t="s">
        <v>52</v>
      </c>
      <c r="R359" s="110" t="s">
        <v>5346</v>
      </c>
      <c r="S359" s="110">
        <f>20000+16160</f>
        <v>36160</v>
      </c>
      <c r="T359" s="110">
        <f t="shared" si="5"/>
        <v>20</v>
      </c>
      <c r="U359" s="111">
        <v>46080</v>
      </c>
      <c r="V359" s="110" t="s">
        <v>5407</v>
      </c>
      <c r="W359" s="110"/>
      <c r="X359" s="110" t="s">
        <v>665</v>
      </c>
      <c r="Y359" s="110" t="s">
        <v>5408</v>
      </c>
      <c r="AA359" s="113" t="e">
        <v>#N/A</v>
      </c>
      <c r="AB359" s="113" t="e">
        <v>#N/A</v>
      </c>
    </row>
    <row r="360" spans="1:29">
      <c r="A360" s="108">
        <v>359</v>
      </c>
      <c r="B360" s="108" t="s">
        <v>225</v>
      </c>
      <c r="C360" s="109">
        <v>46058</v>
      </c>
      <c r="D360" s="110" t="s">
        <v>226</v>
      </c>
      <c r="E360" s="110" t="s">
        <v>5252</v>
      </c>
      <c r="F360" s="110" t="s">
        <v>336</v>
      </c>
      <c r="G360" s="110">
        <v>5</v>
      </c>
      <c r="H360" s="110" t="s">
        <v>5409</v>
      </c>
      <c r="I360" s="110">
        <v>9700777279</v>
      </c>
      <c r="J360" s="110"/>
      <c r="K360" s="119" t="s">
        <v>5410</v>
      </c>
      <c r="L360" s="119" t="s">
        <v>5410</v>
      </c>
      <c r="M360" s="116">
        <v>2864</v>
      </c>
      <c r="N360" s="110">
        <v>2865</v>
      </c>
      <c r="O360" s="110" t="s">
        <v>239</v>
      </c>
      <c r="P360" s="110" t="s">
        <v>239</v>
      </c>
      <c r="Q360" s="110" t="s">
        <v>239</v>
      </c>
      <c r="R360" s="110" t="s">
        <v>340</v>
      </c>
      <c r="S360" s="110"/>
      <c r="T360" s="110">
        <f t="shared" si="5"/>
        <v>2865</v>
      </c>
      <c r="U360" s="110"/>
      <c r="V360" s="110"/>
      <c r="W360" s="110"/>
      <c r="X360" s="114" t="s">
        <v>342</v>
      </c>
      <c r="Y360" s="114" t="s">
        <v>2585</v>
      </c>
      <c r="AA360" s="113" t="e">
        <v>#N/A</v>
      </c>
      <c r="AB360" s="113" t="e">
        <v>#N/A</v>
      </c>
    </row>
    <row r="361" spans="1:29">
      <c r="A361" s="108">
        <v>360</v>
      </c>
      <c r="B361" s="108" t="s">
        <v>298</v>
      </c>
      <c r="C361" s="109">
        <v>46058</v>
      </c>
      <c r="D361" s="110" t="s">
        <v>226</v>
      </c>
      <c r="E361" s="110" t="s">
        <v>5252</v>
      </c>
      <c r="F361" s="110" t="s">
        <v>336</v>
      </c>
      <c r="G361" s="110">
        <v>5</v>
      </c>
      <c r="H361" s="110" t="s">
        <v>5411</v>
      </c>
      <c r="I361" s="110">
        <v>9000500809</v>
      </c>
      <c r="J361" s="110"/>
      <c r="K361" s="119" t="s">
        <v>2076</v>
      </c>
      <c r="L361" s="119" t="s">
        <v>2076</v>
      </c>
      <c r="M361" s="116">
        <v>3911</v>
      </c>
      <c r="N361" s="110">
        <v>1920</v>
      </c>
      <c r="O361" s="111">
        <v>46062</v>
      </c>
      <c r="P361" s="112" t="s">
        <v>342</v>
      </c>
      <c r="Q361" s="110" t="s">
        <v>52</v>
      </c>
      <c r="R361" s="110" t="s">
        <v>340</v>
      </c>
      <c r="S361" s="110">
        <v>1920</v>
      </c>
      <c r="T361" s="110">
        <f t="shared" si="5"/>
        <v>0</v>
      </c>
      <c r="U361" s="111">
        <v>46062</v>
      </c>
      <c r="V361" s="110" t="s">
        <v>5412</v>
      </c>
      <c r="W361" s="110" t="s">
        <v>54</v>
      </c>
      <c r="X361" s="114" t="s">
        <v>342</v>
      </c>
      <c r="Y361" s="114" t="s">
        <v>698</v>
      </c>
      <c r="AA361" s="113" t="s">
        <v>11</v>
      </c>
      <c r="AB361" s="113" t="s">
        <v>4969</v>
      </c>
    </row>
    <row r="362" spans="1:29">
      <c r="A362" s="108">
        <v>361</v>
      </c>
      <c r="B362" s="108" t="s">
        <v>298</v>
      </c>
      <c r="C362" s="109">
        <v>46058</v>
      </c>
      <c r="D362" s="110" t="s">
        <v>226</v>
      </c>
      <c r="E362" s="110" t="s">
        <v>5252</v>
      </c>
      <c r="F362" s="110" t="s">
        <v>5413</v>
      </c>
      <c r="G362" s="110">
        <v>20</v>
      </c>
      <c r="H362" s="110" t="s">
        <v>623</v>
      </c>
      <c r="I362" s="110" t="s">
        <v>624</v>
      </c>
      <c r="J362" s="110"/>
      <c r="K362" s="119" t="s">
        <v>625</v>
      </c>
      <c r="L362" s="119" t="s">
        <v>625</v>
      </c>
      <c r="M362" s="116">
        <v>4180</v>
      </c>
      <c r="N362" s="116">
        <v>4180</v>
      </c>
      <c r="O362" s="111">
        <v>46058</v>
      </c>
      <c r="P362" s="112" t="s">
        <v>5414</v>
      </c>
      <c r="Q362" s="110" t="s">
        <v>52</v>
      </c>
      <c r="R362" s="110" t="s">
        <v>626</v>
      </c>
      <c r="S362" s="110">
        <v>4180</v>
      </c>
      <c r="T362" s="110">
        <f t="shared" si="5"/>
        <v>0</v>
      </c>
      <c r="U362" s="111">
        <v>46058</v>
      </c>
      <c r="V362" s="110" t="s">
        <v>5415</v>
      </c>
      <c r="W362" s="110" t="s">
        <v>54</v>
      </c>
      <c r="X362" s="114" t="s">
        <v>626</v>
      </c>
      <c r="Y362" s="114" t="s">
        <v>626</v>
      </c>
      <c r="AA362" s="113" t="s">
        <v>4983</v>
      </c>
      <c r="AB362" s="113" t="s">
        <v>4916</v>
      </c>
    </row>
    <row r="363" spans="1:29">
      <c r="A363" s="108">
        <v>362</v>
      </c>
      <c r="B363" s="108" t="s">
        <v>225</v>
      </c>
      <c r="C363" s="109">
        <v>46059</v>
      </c>
      <c r="D363" s="110" t="s">
        <v>226</v>
      </c>
      <c r="E363" s="110" t="s">
        <v>5252</v>
      </c>
      <c r="F363" s="110" t="s">
        <v>5413</v>
      </c>
      <c r="G363" s="110">
        <v>21</v>
      </c>
      <c r="H363" s="110" t="s">
        <v>636</v>
      </c>
      <c r="I363" s="110" t="s">
        <v>637</v>
      </c>
      <c r="J363" s="110"/>
      <c r="K363" s="119" t="s">
        <v>638</v>
      </c>
      <c r="L363" s="119" t="s">
        <v>638</v>
      </c>
      <c r="M363" s="116">
        <v>8820</v>
      </c>
      <c r="N363" s="116">
        <v>8820</v>
      </c>
      <c r="O363" s="111">
        <v>46064</v>
      </c>
      <c r="P363" s="112" t="s">
        <v>5414</v>
      </c>
      <c r="Q363" s="110" t="s">
        <v>52</v>
      </c>
      <c r="R363" s="110" t="s">
        <v>626</v>
      </c>
      <c r="S363" s="110">
        <v>8820</v>
      </c>
      <c r="T363" s="110">
        <f t="shared" si="5"/>
        <v>0</v>
      </c>
      <c r="U363" s="111">
        <v>46064</v>
      </c>
      <c r="V363" s="110" t="s">
        <v>5416</v>
      </c>
      <c r="W363" s="110" t="s">
        <v>54</v>
      </c>
      <c r="X363" s="114" t="s">
        <v>5414</v>
      </c>
      <c r="Y363" s="114" t="s">
        <v>5414</v>
      </c>
      <c r="AA363" s="113" t="s">
        <v>11</v>
      </c>
      <c r="AB363" s="113" t="s">
        <v>4479</v>
      </c>
    </row>
    <row r="364" spans="1:29">
      <c r="A364" s="108">
        <v>363</v>
      </c>
      <c r="B364" s="108"/>
      <c r="C364" s="109">
        <v>46054</v>
      </c>
      <c r="D364" s="110" t="s">
        <v>28</v>
      </c>
      <c r="E364" s="110" t="s">
        <v>5252</v>
      </c>
      <c r="F364" s="110" t="s">
        <v>30</v>
      </c>
      <c r="G364" s="110">
        <v>14</v>
      </c>
      <c r="H364" s="110" t="s">
        <v>5417</v>
      </c>
      <c r="I364" s="110" t="s">
        <v>5418</v>
      </c>
      <c r="J364" s="110"/>
      <c r="K364" s="119" t="s">
        <v>5419</v>
      </c>
      <c r="L364" s="162"/>
      <c r="M364" s="116">
        <v>15625.71</v>
      </c>
      <c r="N364" s="116">
        <v>15625.71</v>
      </c>
      <c r="O364" s="111"/>
      <c r="P364" s="112" t="s">
        <v>27</v>
      </c>
      <c r="Q364" s="110" t="s">
        <v>35</v>
      </c>
      <c r="R364" s="110" t="s">
        <v>27</v>
      </c>
      <c r="S364" s="110"/>
      <c r="T364" s="110">
        <f t="shared" si="5"/>
        <v>15625.71</v>
      </c>
      <c r="U364" s="110"/>
      <c r="V364" s="110"/>
      <c r="W364" s="110"/>
      <c r="X364" s="114" t="s">
        <v>62</v>
      </c>
      <c r="Y364" s="114" t="s">
        <v>62</v>
      </c>
      <c r="AA364" s="113" t="e">
        <v>#N/A</v>
      </c>
      <c r="AB364" s="113" t="e">
        <v>#N/A</v>
      </c>
    </row>
    <row r="365" spans="1:29">
      <c r="A365" s="108">
        <v>364</v>
      </c>
      <c r="B365" s="108" t="s">
        <v>225</v>
      </c>
      <c r="C365" s="109">
        <v>46055</v>
      </c>
      <c r="D365" s="110" t="s">
        <v>28</v>
      </c>
      <c r="E365" s="110" t="s">
        <v>5252</v>
      </c>
      <c r="F365" s="110" t="s">
        <v>30</v>
      </c>
      <c r="G365" s="110">
        <v>15</v>
      </c>
      <c r="H365" s="110" t="s">
        <v>4684</v>
      </c>
      <c r="I365" s="110" t="s">
        <v>4685</v>
      </c>
      <c r="J365" s="110"/>
      <c r="K365" s="119" t="s">
        <v>4686</v>
      </c>
      <c r="L365" s="110" t="s">
        <v>4687</v>
      </c>
      <c r="M365" s="116">
        <v>28211.14</v>
      </c>
      <c r="N365" s="163">
        <v>28212</v>
      </c>
      <c r="O365" s="111"/>
      <c r="P365" s="112" t="s">
        <v>27</v>
      </c>
      <c r="Q365" s="110" t="s">
        <v>35</v>
      </c>
      <c r="R365" s="110" t="s">
        <v>27</v>
      </c>
      <c r="S365" s="110"/>
      <c r="T365" s="110">
        <f t="shared" si="5"/>
        <v>28212</v>
      </c>
      <c r="U365" s="110"/>
      <c r="V365" s="110"/>
      <c r="W365" s="110"/>
      <c r="X365" s="114" t="s">
        <v>5420</v>
      </c>
      <c r="Y365" s="114" t="s">
        <v>5420</v>
      </c>
      <c r="AA365" s="113" t="e">
        <v>#N/A</v>
      </c>
      <c r="AB365" s="113" t="e">
        <v>#N/A</v>
      </c>
    </row>
    <row r="366" spans="1:29">
      <c r="A366" s="108">
        <v>365</v>
      </c>
      <c r="B366" s="108"/>
      <c r="C366" s="109">
        <v>46052</v>
      </c>
      <c r="D366" s="110" t="s">
        <v>28</v>
      </c>
      <c r="E366" s="110" t="s">
        <v>5252</v>
      </c>
      <c r="F366" s="110" t="s">
        <v>30</v>
      </c>
      <c r="G366" s="110">
        <v>12</v>
      </c>
      <c r="H366" s="110" t="s">
        <v>216</v>
      </c>
      <c r="I366" s="110" t="s">
        <v>5421</v>
      </c>
      <c r="J366" s="110"/>
      <c r="K366" s="119" t="s">
        <v>217</v>
      </c>
      <c r="L366" s="110" t="s">
        <v>218</v>
      </c>
      <c r="M366" s="116">
        <v>23728.98</v>
      </c>
      <c r="N366" s="116">
        <v>23728.98</v>
      </c>
      <c r="O366" s="111"/>
      <c r="P366" s="112" t="s">
        <v>27</v>
      </c>
      <c r="Q366" s="110" t="s">
        <v>35</v>
      </c>
      <c r="R366" s="110" t="s">
        <v>27</v>
      </c>
      <c r="S366" s="110"/>
      <c r="T366" s="110">
        <f t="shared" si="5"/>
        <v>23728.98</v>
      </c>
      <c r="U366" s="110"/>
      <c r="V366" s="110"/>
      <c r="W366" s="110"/>
      <c r="X366" s="114" t="s">
        <v>5420</v>
      </c>
      <c r="Y366" s="114" t="s">
        <v>5420</v>
      </c>
      <c r="AA366" s="113" t="e">
        <v>#N/A</v>
      </c>
      <c r="AB366" s="113" t="e">
        <v>#N/A</v>
      </c>
    </row>
    <row r="367" spans="1:29">
      <c r="A367" s="108">
        <v>366</v>
      </c>
      <c r="B367" s="108" t="s">
        <v>225</v>
      </c>
      <c r="C367" s="109">
        <v>46054</v>
      </c>
      <c r="D367" s="110" t="s">
        <v>28</v>
      </c>
      <c r="E367" s="110" t="s">
        <v>5252</v>
      </c>
      <c r="F367" s="110" t="s">
        <v>30</v>
      </c>
      <c r="G367" s="110">
        <v>14</v>
      </c>
      <c r="H367" s="110" t="s">
        <v>5422</v>
      </c>
      <c r="I367" s="110" t="s">
        <v>5423</v>
      </c>
      <c r="J367" s="110"/>
      <c r="K367" s="119" t="s">
        <v>5424</v>
      </c>
      <c r="L367" s="162" t="s">
        <v>5425</v>
      </c>
      <c r="M367" s="116">
        <v>16875</v>
      </c>
      <c r="N367" s="163">
        <v>16890</v>
      </c>
      <c r="O367" s="111"/>
      <c r="P367" s="112" t="s">
        <v>27</v>
      </c>
      <c r="Q367" s="110" t="s">
        <v>35</v>
      </c>
      <c r="R367" s="110" t="s">
        <v>27</v>
      </c>
      <c r="S367" s="110"/>
      <c r="T367" s="110">
        <f t="shared" si="5"/>
        <v>16890</v>
      </c>
      <c r="U367" s="110"/>
      <c r="V367" s="110"/>
      <c r="W367" s="110"/>
      <c r="X367" s="114" t="s">
        <v>36</v>
      </c>
      <c r="Y367" s="114" t="s">
        <v>36</v>
      </c>
      <c r="AA367" s="113" t="e">
        <v>#N/A</v>
      </c>
      <c r="AB367" s="113" t="e">
        <v>#N/A</v>
      </c>
    </row>
    <row r="368" spans="1:29">
      <c r="A368" s="108">
        <v>367</v>
      </c>
      <c r="B368" s="108"/>
      <c r="C368" s="109">
        <v>46054</v>
      </c>
      <c r="D368" s="110" t="s">
        <v>28</v>
      </c>
      <c r="E368" s="110" t="s">
        <v>5252</v>
      </c>
      <c r="F368" s="110" t="s">
        <v>30</v>
      </c>
      <c r="G368" s="110">
        <v>14</v>
      </c>
      <c r="H368" s="110" t="s">
        <v>406</v>
      </c>
      <c r="I368" s="110" t="s">
        <v>5426</v>
      </c>
      <c r="J368" s="110"/>
      <c r="K368" s="119" t="s">
        <v>5427</v>
      </c>
      <c r="L368" s="162"/>
      <c r="M368" s="116">
        <v>22106.76</v>
      </c>
      <c r="N368" s="116">
        <v>22106.76</v>
      </c>
      <c r="O368" s="111"/>
      <c r="P368" s="112" t="s">
        <v>27</v>
      </c>
      <c r="Q368" s="110" t="s">
        <v>35</v>
      </c>
      <c r="R368" s="110" t="s">
        <v>27</v>
      </c>
      <c r="S368" s="110"/>
      <c r="T368" s="110">
        <f t="shared" si="5"/>
        <v>22106.76</v>
      </c>
      <c r="U368" s="110"/>
      <c r="V368" s="110"/>
      <c r="W368" s="110"/>
      <c r="X368" s="114" t="s">
        <v>82</v>
      </c>
      <c r="Y368" s="114" t="s">
        <v>82</v>
      </c>
      <c r="AA368" s="113" t="e">
        <v>#N/A</v>
      </c>
      <c r="AB368" s="113" t="e">
        <v>#N/A</v>
      </c>
    </row>
    <row r="369" spans="1:28">
      <c r="A369" s="108">
        <v>368</v>
      </c>
      <c r="B369" s="108"/>
      <c r="C369" s="109">
        <v>46054</v>
      </c>
      <c r="D369" s="110" t="s">
        <v>28</v>
      </c>
      <c r="E369" s="110" t="s">
        <v>5252</v>
      </c>
      <c r="F369" s="110" t="s">
        <v>30</v>
      </c>
      <c r="G369" s="110">
        <v>14</v>
      </c>
      <c r="H369" s="110" t="s">
        <v>5428</v>
      </c>
      <c r="I369" s="110" t="s">
        <v>5429</v>
      </c>
      <c r="J369" s="110"/>
      <c r="K369" s="119" t="s">
        <v>5430</v>
      </c>
      <c r="L369" s="162"/>
      <c r="M369" s="116">
        <v>20037.18</v>
      </c>
      <c r="N369" s="116">
        <v>20037.18</v>
      </c>
      <c r="O369" s="111"/>
      <c r="P369" s="112" t="s">
        <v>27</v>
      </c>
      <c r="Q369" s="110" t="s">
        <v>35</v>
      </c>
      <c r="R369" s="110" t="s">
        <v>27</v>
      </c>
      <c r="S369" s="110"/>
      <c r="T369" s="110">
        <f t="shared" si="5"/>
        <v>20037.18</v>
      </c>
      <c r="U369" s="110"/>
      <c r="V369" s="110"/>
      <c r="W369" s="110"/>
      <c r="X369" s="114" t="s">
        <v>4335</v>
      </c>
      <c r="Y369" s="114" t="s">
        <v>4335</v>
      </c>
      <c r="AA369" s="113" t="e">
        <v>#N/A</v>
      </c>
      <c r="AB369" s="113" t="e">
        <v>#N/A</v>
      </c>
    </row>
    <row r="370" spans="1:28">
      <c r="A370" s="108">
        <v>369</v>
      </c>
      <c r="B370" s="108"/>
      <c r="C370" s="109">
        <v>46052</v>
      </c>
      <c r="D370" s="110" t="s">
        <v>28</v>
      </c>
      <c r="E370" s="110" t="s">
        <v>5252</v>
      </c>
      <c r="F370" s="110" t="s">
        <v>30</v>
      </c>
      <c r="G370" s="110">
        <v>12</v>
      </c>
      <c r="H370" s="110" t="s">
        <v>220</v>
      </c>
      <c r="I370" s="110" t="s">
        <v>4260</v>
      </c>
      <c r="J370" s="110"/>
      <c r="K370" s="119" t="s">
        <v>221</v>
      </c>
      <c r="L370" s="110" t="s">
        <v>222</v>
      </c>
      <c r="M370" s="116">
        <v>21735.78</v>
      </c>
      <c r="N370" s="116">
        <v>21735.78</v>
      </c>
      <c r="O370" s="111"/>
      <c r="P370" s="112" t="s">
        <v>27</v>
      </c>
      <c r="Q370" s="110" t="s">
        <v>35</v>
      </c>
      <c r="R370" s="110" t="s">
        <v>27</v>
      </c>
      <c r="S370" s="110"/>
      <c r="T370" s="110">
        <f t="shared" si="5"/>
        <v>21735.78</v>
      </c>
      <c r="U370" s="110"/>
      <c r="V370" s="110"/>
      <c r="W370" s="110"/>
      <c r="X370" s="114" t="s">
        <v>69</v>
      </c>
      <c r="Y370" s="114" t="s">
        <v>69</v>
      </c>
      <c r="AA370" s="113" t="e">
        <v>#N/A</v>
      </c>
      <c r="AB370" s="113" t="e">
        <v>#N/A</v>
      </c>
    </row>
    <row r="371" spans="1:28">
      <c r="A371" s="108">
        <v>370</v>
      </c>
      <c r="B371" s="108" t="s">
        <v>225</v>
      </c>
      <c r="C371" s="109">
        <v>46058</v>
      </c>
      <c r="D371" s="110" t="s">
        <v>28</v>
      </c>
      <c r="E371" s="110" t="s">
        <v>5252</v>
      </c>
      <c r="F371" s="110" t="s">
        <v>30</v>
      </c>
      <c r="G371" s="110">
        <v>18</v>
      </c>
      <c r="H371" s="110" t="s">
        <v>5431</v>
      </c>
      <c r="I371" s="110" t="s">
        <v>5432</v>
      </c>
      <c r="J371" s="110"/>
      <c r="K371" s="119" t="s">
        <v>5433</v>
      </c>
      <c r="L371" s="162" t="s">
        <v>5434</v>
      </c>
      <c r="M371" s="116">
        <v>19101.189999999999</v>
      </c>
      <c r="N371" s="116">
        <v>19102</v>
      </c>
      <c r="O371" s="111"/>
      <c r="P371" s="112" t="s">
        <v>27</v>
      </c>
      <c r="Q371" s="110" t="s">
        <v>35</v>
      </c>
      <c r="R371" s="110" t="s">
        <v>27</v>
      </c>
      <c r="S371" s="110"/>
      <c r="T371" s="110">
        <f t="shared" si="5"/>
        <v>19102</v>
      </c>
      <c r="U371" s="110"/>
      <c r="V371" s="110"/>
      <c r="W371" s="110"/>
      <c r="X371" s="114" t="s">
        <v>117</v>
      </c>
      <c r="Y371" s="114" t="s">
        <v>117</v>
      </c>
      <c r="AA371" s="113" t="e">
        <v>#N/A</v>
      </c>
      <c r="AB371" s="113" t="e">
        <v>#N/A</v>
      </c>
    </row>
    <row r="372" spans="1:28">
      <c r="A372" s="108">
        <v>371</v>
      </c>
      <c r="B372" s="108" t="s">
        <v>5010</v>
      </c>
      <c r="C372" s="109">
        <v>46056</v>
      </c>
      <c r="D372" s="110" t="s">
        <v>28</v>
      </c>
      <c r="E372" s="110" t="s">
        <v>5252</v>
      </c>
      <c r="F372" s="110" t="s">
        <v>30</v>
      </c>
      <c r="G372" s="110">
        <v>15</v>
      </c>
      <c r="H372" s="110" t="s">
        <v>5435</v>
      </c>
      <c r="I372" s="110" t="s">
        <v>5436</v>
      </c>
      <c r="J372" s="110"/>
      <c r="K372" s="119" t="s">
        <v>5437</v>
      </c>
      <c r="L372" s="110"/>
      <c r="M372" s="116">
        <v>19184.939999999999</v>
      </c>
      <c r="N372" s="116">
        <v>19184.939999999999</v>
      </c>
      <c r="O372" s="111"/>
      <c r="P372" s="112" t="s">
        <v>27</v>
      </c>
      <c r="Q372" s="110" t="s">
        <v>35</v>
      </c>
      <c r="R372" s="110" t="s">
        <v>27</v>
      </c>
      <c r="S372" s="110"/>
      <c r="T372" s="110">
        <f t="shared" si="5"/>
        <v>19184.939999999999</v>
      </c>
      <c r="U372" s="110"/>
      <c r="V372" s="110"/>
      <c r="W372" s="110"/>
      <c r="X372" s="114" t="s">
        <v>5438</v>
      </c>
      <c r="Y372" s="114" t="s">
        <v>5438</v>
      </c>
      <c r="AA372" s="113" t="e">
        <v>#N/A</v>
      </c>
      <c r="AB372" s="113" t="e">
        <v>#N/A</v>
      </c>
    </row>
    <row r="373" spans="1:28">
      <c r="A373" s="108">
        <v>372</v>
      </c>
      <c r="B373" s="108" t="s">
        <v>225</v>
      </c>
      <c r="C373" s="109">
        <v>46055</v>
      </c>
      <c r="D373" s="110" t="s">
        <v>28</v>
      </c>
      <c r="E373" s="110" t="s">
        <v>5252</v>
      </c>
      <c r="F373" s="110" t="s">
        <v>30</v>
      </c>
      <c r="G373" s="110">
        <v>15</v>
      </c>
      <c r="H373" s="110" t="s">
        <v>614</v>
      </c>
      <c r="I373" s="110" t="s">
        <v>5439</v>
      </c>
      <c r="J373" s="110"/>
      <c r="K373" s="119" t="s">
        <v>615</v>
      </c>
      <c r="L373" s="110" t="s">
        <v>616</v>
      </c>
      <c r="M373" s="116">
        <v>17899.82</v>
      </c>
      <c r="N373" s="163">
        <v>17899.82</v>
      </c>
      <c r="O373" s="111"/>
      <c r="P373" s="112" t="s">
        <v>27</v>
      </c>
      <c r="Q373" s="110" t="s">
        <v>35</v>
      </c>
      <c r="R373" s="110" t="s">
        <v>27</v>
      </c>
      <c r="S373" s="110"/>
      <c r="T373" s="110">
        <f t="shared" si="5"/>
        <v>17899.82</v>
      </c>
      <c r="U373" s="110"/>
      <c r="V373" s="110"/>
      <c r="W373" s="110"/>
      <c r="X373" s="114" t="s">
        <v>36</v>
      </c>
      <c r="Y373" s="114" t="s">
        <v>36</v>
      </c>
      <c r="AA373" s="113" t="e">
        <v>#N/A</v>
      </c>
      <c r="AB373" s="113" t="e">
        <v>#N/A</v>
      </c>
    </row>
    <row r="374" spans="1:28">
      <c r="A374" s="108">
        <v>373</v>
      </c>
      <c r="B374" s="108" t="s">
        <v>225</v>
      </c>
      <c r="C374" s="109">
        <v>46055</v>
      </c>
      <c r="D374" s="110" t="s">
        <v>28</v>
      </c>
      <c r="E374" s="110" t="s">
        <v>5252</v>
      </c>
      <c r="F374" s="110" t="s">
        <v>30</v>
      </c>
      <c r="G374" s="110">
        <v>15</v>
      </c>
      <c r="H374" s="110" t="s">
        <v>1831</v>
      </c>
      <c r="I374" s="110" t="s">
        <v>5440</v>
      </c>
      <c r="J374" s="110"/>
      <c r="K374" s="119" t="s">
        <v>1833</v>
      </c>
      <c r="L374" s="110" t="s">
        <v>1834</v>
      </c>
      <c r="M374" s="116">
        <v>17637.740000000002</v>
      </c>
      <c r="N374" s="163">
        <v>17637.740000000002</v>
      </c>
      <c r="O374" s="111"/>
      <c r="P374" s="112" t="s">
        <v>27</v>
      </c>
      <c r="Q374" s="110" t="s">
        <v>35</v>
      </c>
      <c r="R374" s="110" t="s">
        <v>27</v>
      </c>
      <c r="S374" s="110"/>
      <c r="T374" s="110">
        <f t="shared" si="5"/>
        <v>17637.740000000002</v>
      </c>
      <c r="U374" s="110"/>
      <c r="V374" s="110"/>
      <c r="W374" s="110"/>
      <c r="X374" s="114" t="s">
        <v>117</v>
      </c>
      <c r="Y374" s="114" t="s">
        <v>117</v>
      </c>
      <c r="AA374" s="113" t="e">
        <v>#N/A</v>
      </c>
      <c r="AB374" s="113" t="e">
        <v>#N/A</v>
      </c>
    </row>
    <row r="375" spans="1:28">
      <c r="A375" s="108">
        <v>374</v>
      </c>
      <c r="B375" s="108" t="s">
        <v>225</v>
      </c>
      <c r="C375" s="109">
        <v>46055</v>
      </c>
      <c r="D375" s="110" t="s">
        <v>28</v>
      </c>
      <c r="E375" s="110" t="s">
        <v>5252</v>
      </c>
      <c r="F375" s="110" t="s">
        <v>30</v>
      </c>
      <c r="G375" s="110">
        <v>15</v>
      </c>
      <c r="H375" s="110" t="s">
        <v>5441</v>
      </c>
      <c r="I375" s="110" t="s">
        <v>5442</v>
      </c>
      <c r="J375" s="110"/>
      <c r="K375" s="119" t="s">
        <v>5443</v>
      </c>
      <c r="L375" s="110" t="s">
        <v>3987</v>
      </c>
      <c r="M375" s="116">
        <v>17266.43</v>
      </c>
      <c r="N375" s="163">
        <v>17267</v>
      </c>
      <c r="O375" s="111"/>
      <c r="P375" s="112" t="s">
        <v>27</v>
      </c>
      <c r="Q375" s="110" t="s">
        <v>35</v>
      </c>
      <c r="R375" s="110" t="s">
        <v>27</v>
      </c>
      <c r="S375" s="110"/>
      <c r="T375" s="110">
        <f t="shared" si="5"/>
        <v>17267</v>
      </c>
      <c r="U375" s="110"/>
      <c r="V375" s="110"/>
      <c r="W375" s="110"/>
      <c r="X375" s="114" t="s">
        <v>36</v>
      </c>
      <c r="Y375" s="114" t="s">
        <v>36</v>
      </c>
      <c r="AA375" s="113" t="e">
        <v>#N/A</v>
      </c>
      <c r="AB375" s="113" t="e">
        <v>#N/A</v>
      </c>
    </row>
    <row r="376" spans="1:28">
      <c r="A376" s="108">
        <v>375</v>
      </c>
      <c r="B376" s="108" t="s">
        <v>225</v>
      </c>
      <c r="C376" s="109">
        <v>46054</v>
      </c>
      <c r="D376" s="110" t="s">
        <v>28</v>
      </c>
      <c r="E376" s="110" t="s">
        <v>5252</v>
      </c>
      <c r="F376" s="110" t="s">
        <v>30</v>
      </c>
      <c r="G376" s="110">
        <v>14</v>
      </c>
      <c r="H376" s="110" t="s">
        <v>5444</v>
      </c>
      <c r="I376" s="110" t="s">
        <v>5445</v>
      </c>
      <c r="J376" s="110"/>
      <c r="K376" s="119" t="s">
        <v>5446</v>
      </c>
      <c r="L376" s="162" t="s">
        <v>5447</v>
      </c>
      <c r="M376" s="116">
        <v>18813.07</v>
      </c>
      <c r="N376" s="163">
        <v>18824</v>
      </c>
      <c r="O376" s="111"/>
      <c r="P376" s="112" t="s">
        <v>27</v>
      </c>
      <c r="Q376" s="110" t="s">
        <v>35</v>
      </c>
      <c r="R376" s="110" t="s">
        <v>27</v>
      </c>
      <c r="S376" s="110"/>
      <c r="T376" s="110">
        <f t="shared" si="5"/>
        <v>18824</v>
      </c>
      <c r="U376" s="110"/>
      <c r="V376" s="110"/>
      <c r="W376" s="110"/>
      <c r="X376" s="114" t="s">
        <v>36</v>
      </c>
      <c r="Y376" s="114" t="s">
        <v>36</v>
      </c>
      <c r="AA376" s="113" t="e">
        <v>#N/A</v>
      </c>
      <c r="AB376" s="113" t="e">
        <v>#N/A</v>
      </c>
    </row>
    <row r="377" spans="1:28">
      <c r="A377" s="108">
        <v>376</v>
      </c>
      <c r="B377" s="108"/>
      <c r="C377" s="109">
        <v>46054</v>
      </c>
      <c r="D377" s="110" t="s">
        <v>28</v>
      </c>
      <c r="E377" s="110" t="s">
        <v>5252</v>
      </c>
      <c r="F377" s="110" t="s">
        <v>30</v>
      </c>
      <c r="G377" s="110">
        <v>14</v>
      </c>
      <c r="H377" s="110" t="s">
        <v>5448</v>
      </c>
      <c r="I377" s="110" t="s">
        <v>5449</v>
      </c>
      <c r="J377" s="110"/>
      <c r="K377" s="119" t="s">
        <v>5450</v>
      </c>
      <c r="L377" s="162"/>
      <c r="M377" s="116">
        <v>12687.05</v>
      </c>
      <c r="N377" s="116">
        <v>12687.05</v>
      </c>
      <c r="O377" s="111"/>
      <c r="P377" s="112" t="s">
        <v>27</v>
      </c>
      <c r="Q377" s="110" t="s">
        <v>35</v>
      </c>
      <c r="R377" s="110" t="s">
        <v>27</v>
      </c>
      <c r="S377" s="110"/>
      <c r="T377" s="110">
        <f t="shared" si="5"/>
        <v>12687.05</v>
      </c>
      <c r="U377" s="110"/>
      <c r="V377" s="110"/>
      <c r="W377" s="110"/>
      <c r="X377" s="114" t="s">
        <v>4335</v>
      </c>
      <c r="Y377" s="114" t="s">
        <v>4335</v>
      </c>
      <c r="AA377" s="113" t="e">
        <v>#N/A</v>
      </c>
      <c r="AB377" s="113" t="e">
        <v>#N/A</v>
      </c>
    </row>
    <row r="378" spans="1:28">
      <c r="A378" s="108">
        <v>377</v>
      </c>
      <c r="B378" s="108" t="s">
        <v>225</v>
      </c>
      <c r="C378" s="109">
        <v>46058</v>
      </c>
      <c r="D378" s="110" t="s">
        <v>28</v>
      </c>
      <c r="E378" s="110" t="s">
        <v>5252</v>
      </c>
      <c r="F378" s="110" t="s">
        <v>30</v>
      </c>
      <c r="G378" s="110">
        <v>18</v>
      </c>
      <c r="H378" s="110" t="s">
        <v>5451</v>
      </c>
      <c r="I378" s="110" t="s">
        <v>5452</v>
      </c>
      <c r="J378" s="110"/>
      <c r="K378" s="119" t="s">
        <v>5453</v>
      </c>
      <c r="L378" s="162" t="s">
        <v>5454</v>
      </c>
      <c r="M378" s="116">
        <v>14541.94</v>
      </c>
      <c r="N378" s="116">
        <v>14541.94</v>
      </c>
      <c r="O378" s="111"/>
      <c r="P378" s="112" t="s">
        <v>27</v>
      </c>
      <c r="Q378" s="110" t="s">
        <v>35</v>
      </c>
      <c r="R378" s="110" t="s">
        <v>27</v>
      </c>
      <c r="S378" s="110"/>
      <c r="T378" s="110">
        <f t="shared" si="5"/>
        <v>14541.94</v>
      </c>
      <c r="U378" s="110"/>
      <c r="V378" s="110"/>
      <c r="W378" s="110"/>
      <c r="X378" s="114" t="s">
        <v>117</v>
      </c>
      <c r="Y378" s="114" t="s">
        <v>117</v>
      </c>
      <c r="AA378" s="113" t="e">
        <v>#N/A</v>
      </c>
      <c r="AB378" s="113" t="e">
        <v>#N/A</v>
      </c>
    </row>
    <row r="379" spans="1:28">
      <c r="A379" s="108">
        <v>378</v>
      </c>
      <c r="B379" s="108" t="s">
        <v>5010</v>
      </c>
      <c r="C379" s="109">
        <v>46058</v>
      </c>
      <c r="D379" s="110" t="s">
        <v>28</v>
      </c>
      <c r="E379" s="110" t="s">
        <v>5252</v>
      </c>
      <c r="F379" s="110" t="s">
        <v>30</v>
      </c>
      <c r="G379" s="110">
        <v>18</v>
      </c>
      <c r="H379" s="110" t="s">
        <v>5455</v>
      </c>
      <c r="I379" s="110" t="s">
        <v>5456</v>
      </c>
      <c r="J379" s="110"/>
      <c r="K379" s="119" t="s">
        <v>5457</v>
      </c>
      <c r="L379" s="162"/>
      <c r="M379" s="116">
        <v>12532.44</v>
      </c>
      <c r="N379" s="116">
        <v>12532.44</v>
      </c>
      <c r="O379" s="111"/>
      <c r="P379" s="112" t="s">
        <v>27</v>
      </c>
      <c r="Q379" s="110" t="s">
        <v>35</v>
      </c>
      <c r="R379" s="110" t="s">
        <v>27</v>
      </c>
      <c r="S379" s="110"/>
      <c r="T379" s="110">
        <f t="shared" si="5"/>
        <v>12532.44</v>
      </c>
      <c r="U379" s="110"/>
      <c r="V379" s="110"/>
      <c r="W379" s="110"/>
      <c r="X379" s="114" t="s">
        <v>76</v>
      </c>
      <c r="Y379" s="114" t="s">
        <v>76</v>
      </c>
      <c r="AA379" s="113" t="e">
        <v>#N/A</v>
      </c>
      <c r="AB379" s="113" t="e">
        <v>#N/A</v>
      </c>
    </row>
    <row r="380" spans="1:28">
      <c r="A380" s="108">
        <v>379</v>
      </c>
      <c r="B380" s="108" t="s">
        <v>5010</v>
      </c>
      <c r="C380" s="109">
        <v>46056</v>
      </c>
      <c r="D380" s="110" t="s">
        <v>28</v>
      </c>
      <c r="E380" s="110" t="s">
        <v>5252</v>
      </c>
      <c r="F380" s="110" t="s">
        <v>30</v>
      </c>
      <c r="G380" s="110">
        <v>15</v>
      </c>
      <c r="H380" s="110" t="s">
        <v>4715</v>
      </c>
      <c r="I380" s="110" t="s">
        <v>4716</v>
      </c>
      <c r="J380" s="110"/>
      <c r="K380" s="119" t="s">
        <v>5458</v>
      </c>
      <c r="L380" s="110"/>
      <c r="M380" s="116">
        <v>16268.06</v>
      </c>
      <c r="N380" s="116">
        <v>16268.06</v>
      </c>
      <c r="O380" s="111"/>
      <c r="P380" s="112" t="s">
        <v>27</v>
      </c>
      <c r="Q380" s="110" t="s">
        <v>35</v>
      </c>
      <c r="R380" s="110" t="s">
        <v>27</v>
      </c>
      <c r="S380" s="110"/>
      <c r="T380" s="110">
        <f t="shared" si="5"/>
        <v>16268.06</v>
      </c>
      <c r="U380" s="110"/>
      <c r="V380" s="110"/>
      <c r="W380" s="110"/>
      <c r="X380" s="114" t="s">
        <v>36</v>
      </c>
      <c r="Y380" s="114" t="s">
        <v>36</v>
      </c>
      <c r="AA380" s="113" t="e">
        <v>#N/A</v>
      </c>
      <c r="AB380" s="113" t="e">
        <v>#N/A</v>
      </c>
    </row>
    <row r="381" spans="1:28">
      <c r="A381" s="108">
        <v>380</v>
      </c>
      <c r="B381" s="108" t="s">
        <v>225</v>
      </c>
      <c r="C381" s="109">
        <v>46057</v>
      </c>
      <c r="D381" s="110" t="s">
        <v>28</v>
      </c>
      <c r="E381" s="110" t="s">
        <v>5252</v>
      </c>
      <c r="F381" s="110" t="s">
        <v>30</v>
      </c>
      <c r="G381" s="110">
        <v>17</v>
      </c>
      <c r="H381" s="110" t="s">
        <v>5459</v>
      </c>
      <c r="I381" s="110" t="s">
        <v>5460</v>
      </c>
      <c r="J381" s="110"/>
      <c r="K381" s="119" t="s">
        <v>5461</v>
      </c>
      <c r="L381" s="110" t="s">
        <v>5462</v>
      </c>
      <c r="M381" s="116">
        <v>14337.43</v>
      </c>
      <c r="N381" s="163">
        <v>14338</v>
      </c>
      <c r="O381" s="111"/>
      <c r="P381" s="112" t="s">
        <v>27</v>
      </c>
      <c r="Q381" s="110" t="s">
        <v>35</v>
      </c>
      <c r="R381" s="110" t="s">
        <v>27</v>
      </c>
      <c r="S381" s="110"/>
      <c r="T381" s="110">
        <f t="shared" si="5"/>
        <v>14338</v>
      </c>
      <c r="U381" s="110"/>
      <c r="V381" s="110"/>
      <c r="W381" s="110"/>
      <c r="X381" s="114" t="s">
        <v>82</v>
      </c>
      <c r="Y381" s="114" t="s">
        <v>82</v>
      </c>
      <c r="AA381" s="113" t="e">
        <v>#N/A</v>
      </c>
      <c r="AB381" s="113" t="e">
        <v>#N/A</v>
      </c>
    </row>
    <row r="382" spans="1:28">
      <c r="A382" s="108">
        <v>381</v>
      </c>
      <c r="B382" s="108"/>
      <c r="C382" s="109">
        <v>46054</v>
      </c>
      <c r="D382" s="110" t="s">
        <v>28</v>
      </c>
      <c r="E382" s="110" t="s">
        <v>5252</v>
      </c>
      <c r="F382" s="110" t="s">
        <v>30</v>
      </c>
      <c r="G382" s="110">
        <v>14</v>
      </c>
      <c r="H382" s="110" t="s">
        <v>5463</v>
      </c>
      <c r="I382" s="110" t="s">
        <v>5464</v>
      </c>
      <c r="J382" s="110"/>
      <c r="K382" s="119" t="s">
        <v>5465</v>
      </c>
      <c r="L382" s="162"/>
      <c r="M382" s="116">
        <v>12877.62</v>
      </c>
      <c r="N382" s="116">
        <v>12877.62</v>
      </c>
      <c r="O382" s="111"/>
      <c r="P382" s="112" t="s">
        <v>27</v>
      </c>
      <c r="Q382" s="110" t="s">
        <v>35</v>
      </c>
      <c r="R382" s="110" t="s">
        <v>27</v>
      </c>
      <c r="S382" s="110"/>
      <c r="T382" s="110">
        <f t="shared" si="5"/>
        <v>12877.62</v>
      </c>
      <c r="U382" s="110"/>
      <c r="V382" s="110"/>
      <c r="W382" s="110"/>
      <c r="X382" s="114" t="s">
        <v>5438</v>
      </c>
      <c r="Y382" s="114" t="s">
        <v>5438</v>
      </c>
      <c r="AA382" s="113" t="e">
        <v>#N/A</v>
      </c>
      <c r="AB382" s="113" t="e">
        <v>#N/A</v>
      </c>
    </row>
    <row r="383" spans="1:28">
      <c r="A383" s="108">
        <v>382</v>
      </c>
      <c r="B383" s="108" t="s">
        <v>5010</v>
      </c>
      <c r="C383" s="109">
        <v>46056</v>
      </c>
      <c r="D383" s="110" t="s">
        <v>28</v>
      </c>
      <c r="E383" s="110" t="s">
        <v>5252</v>
      </c>
      <c r="F383" s="110" t="s">
        <v>30</v>
      </c>
      <c r="G383" s="110">
        <v>15</v>
      </c>
      <c r="H383" s="110" t="s">
        <v>5466</v>
      </c>
      <c r="I383" s="110" t="s">
        <v>5467</v>
      </c>
      <c r="J383" s="110"/>
      <c r="K383" s="119" t="s">
        <v>5468</v>
      </c>
      <c r="L383" s="110"/>
      <c r="M383" s="116">
        <v>13276.34</v>
      </c>
      <c r="N383" s="116">
        <v>13276.34</v>
      </c>
      <c r="O383" s="111"/>
      <c r="P383" s="112" t="s">
        <v>27</v>
      </c>
      <c r="Q383" s="110" t="s">
        <v>35</v>
      </c>
      <c r="R383" s="110" t="s">
        <v>27</v>
      </c>
      <c r="S383" s="110"/>
      <c r="T383" s="110">
        <f t="shared" si="5"/>
        <v>13276.34</v>
      </c>
      <c r="U383" s="110"/>
      <c r="V383" s="110"/>
      <c r="W383" s="110"/>
      <c r="X383" s="114" t="s">
        <v>36</v>
      </c>
      <c r="Y383" s="114" t="s">
        <v>36</v>
      </c>
      <c r="AA383" s="113" t="e">
        <v>#N/A</v>
      </c>
      <c r="AB383" s="113" t="e">
        <v>#N/A</v>
      </c>
    </row>
    <row r="384" spans="1:28">
      <c r="A384" s="108">
        <v>383</v>
      </c>
      <c r="B384" s="108"/>
      <c r="C384" s="109">
        <v>46052</v>
      </c>
      <c r="D384" s="110" t="s">
        <v>28</v>
      </c>
      <c r="E384" s="110" t="s">
        <v>5252</v>
      </c>
      <c r="F384" s="110" t="s">
        <v>30</v>
      </c>
      <c r="G384" s="110">
        <v>12</v>
      </c>
      <c r="H384" s="110" t="s">
        <v>202</v>
      </c>
      <c r="I384" s="110" t="s">
        <v>4400</v>
      </c>
      <c r="J384" s="110"/>
      <c r="K384" s="119" t="s">
        <v>204</v>
      </c>
      <c r="L384" s="110" t="s">
        <v>205</v>
      </c>
      <c r="M384" s="116">
        <v>14678.88</v>
      </c>
      <c r="N384" s="116">
        <v>14678.88</v>
      </c>
      <c r="O384" s="111"/>
      <c r="P384" s="112" t="s">
        <v>27</v>
      </c>
      <c r="Q384" s="110" t="s">
        <v>35</v>
      </c>
      <c r="R384" s="110" t="s">
        <v>27</v>
      </c>
      <c r="S384" s="110"/>
      <c r="T384" s="110">
        <f t="shared" si="5"/>
        <v>14678.88</v>
      </c>
      <c r="U384" s="110"/>
      <c r="V384" s="110"/>
      <c r="W384" s="110"/>
      <c r="X384" s="114" t="s">
        <v>117</v>
      </c>
      <c r="Y384" s="114" t="s">
        <v>117</v>
      </c>
      <c r="AA384" s="113" t="e">
        <v>#N/A</v>
      </c>
      <c r="AB384" s="113" t="e">
        <v>#N/A</v>
      </c>
    </row>
    <row r="385" spans="1:28">
      <c r="A385" s="108">
        <v>384</v>
      </c>
      <c r="B385" s="108"/>
      <c r="C385" s="109">
        <v>46052</v>
      </c>
      <c r="D385" s="110" t="s">
        <v>28</v>
      </c>
      <c r="E385" s="110" t="s">
        <v>5252</v>
      </c>
      <c r="F385" s="110" t="s">
        <v>30</v>
      </c>
      <c r="G385" s="110">
        <v>12</v>
      </c>
      <c r="H385" s="110" t="s">
        <v>197</v>
      </c>
      <c r="I385" s="110" t="s">
        <v>4401</v>
      </c>
      <c r="J385" s="110"/>
      <c r="K385" s="119" t="s">
        <v>198</v>
      </c>
      <c r="L385" s="110" t="s">
        <v>199</v>
      </c>
      <c r="M385" s="116">
        <v>13634.06</v>
      </c>
      <c r="N385" s="116">
        <v>13634.06</v>
      </c>
      <c r="O385" s="111"/>
      <c r="P385" s="112" t="s">
        <v>27</v>
      </c>
      <c r="Q385" s="110" t="s">
        <v>35</v>
      </c>
      <c r="R385" s="110" t="s">
        <v>27</v>
      </c>
      <c r="S385" s="110"/>
      <c r="T385" s="110">
        <f t="shared" si="5"/>
        <v>13634.06</v>
      </c>
      <c r="U385" s="110"/>
      <c r="V385" s="110"/>
      <c r="W385" s="110"/>
      <c r="X385" s="114" t="s">
        <v>89</v>
      </c>
      <c r="Y385" s="114" t="s">
        <v>89</v>
      </c>
      <c r="AA385" s="113" t="e">
        <v>#N/A</v>
      </c>
      <c r="AB385" s="113" t="e">
        <v>#N/A</v>
      </c>
    </row>
    <row r="386" spans="1:28">
      <c r="A386" s="108">
        <v>385</v>
      </c>
      <c r="B386" s="108" t="s">
        <v>225</v>
      </c>
      <c r="C386" s="109">
        <v>46057</v>
      </c>
      <c r="D386" s="110" t="s">
        <v>28</v>
      </c>
      <c r="E386" s="110" t="s">
        <v>5252</v>
      </c>
      <c r="F386" s="110" t="s">
        <v>30</v>
      </c>
      <c r="G386" s="110">
        <v>17</v>
      </c>
      <c r="H386" s="110" t="s">
        <v>5469</v>
      </c>
      <c r="I386" s="110" t="s">
        <v>5470</v>
      </c>
      <c r="J386" s="110"/>
      <c r="K386" s="119" t="s">
        <v>5471</v>
      </c>
      <c r="L386" s="110" t="s">
        <v>5472</v>
      </c>
      <c r="M386" s="116">
        <v>10876.4</v>
      </c>
      <c r="N386" s="163">
        <v>10877</v>
      </c>
      <c r="O386" s="111"/>
      <c r="P386" s="112" t="s">
        <v>27</v>
      </c>
      <c r="Q386" s="110" t="s">
        <v>35</v>
      </c>
      <c r="R386" s="110" t="s">
        <v>27</v>
      </c>
      <c r="S386" s="110"/>
      <c r="T386" s="110">
        <f t="shared" si="5"/>
        <v>10877</v>
      </c>
      <c r="U386" s="110"/>
      <c r="V386" s="110"/>
      <c r="W386" s="110"/>
      <c r="X386" s="114" t="s">
        <v>76</v>
      </c>
      <c r="Y386" s="114" t="s">
        <v>76</v>
      </c>
      <c r="AA386" s="113" t="e">
        <v>#N/A</v>
      </c>
      <c r="AB386" s="113" t="e">
        <v>#N/A</v>
      </c>
    </row>
    <row r="387" spans="1:28">
      <c r="A387" s="108">
        <v>386</v>
      </c>
      <c r="B387" s="108" t="s">
        <v>225</v>
      </c>
      <c r="C387" s="109">
        <v>46055</v>
      </c>
      <c r="D387" s="110" t="s">
        <v>28</v>
      </c>
      <c r="E387" s="110" t="s">
        <v>5252</v>
      </c>
      <c r="F387" s="110" t="s">
        <v>30</v>
      </c>
      <c r="G387" s="110">
        <v>15</v>
      </c>
      <c r="H387" s="110" t="s">
        <v>5473</v>
      </c>
      <c r="I387" s="110" t="s">
        <v>5474</v>
      </c>
      <c r="J387" s="110"/>
      <c r="K387" s="119" t="s">
        <v>5475</v>
      </c>
      <c r="L387" s="110" t="s">
        <v>5476</v>
      </c>
      <c r="M387" s="116">
        <v>13203.87</v>
      </c>
      <c r="N387" s="163">
        <v>13203.87</v>
      </c>
      <c r="O387" s="111"/>
      <c r="P387" s="112" t="s">
        <v>27</v>
      </c>
      <c r="Q387" s="110" t="s">
        <v>35</v>
      </c>
      <c r="R387" s="110" t="s">
        <v>27</v>
      </c>
      <c r="S387" s="110"/>
      <c r="T387" s="110">
        <f t="shared" si="5"/>
        <v>13203.87</v>
      </c>
      <c r="U387" s="110"/>
      <c r="V387" s="110"/>
      <c r="W387" s="110"/>
      <c r="X387" s="114" t="s">
        <v>62</v>
      </c>
      <c r="Y387" s="114" t="s">
        <v>62</v>
      </c>
      <c r="AA387" s="113" t="e">
        <v>#N/A</v>
      </c>
      <c r="AB387" s="113" t="e">
        <v>#N/A</v>
      </c>
    </row>
    <row r="388" spans="1:28">
      <c r="A388" s="108">
        <v>387</v>
      </c>
      <c r="B388" s="108" t="s">
        <v>225</v>
      </c>
      <c r="C388" s="109">
        <v>46057</v>
      </c>
      <c r="D388" s="110" t="s">
        <v>28</v>
      </c>
      <c r="E388" s="110" t="s">
        <v>5252</v>
      </c>
      <c r="F388" s="110" t="s">
        <v>30</v>
      </c>
      <c r="G388" s="110">
        <v>17</v>
      </c>
      <c r="H388" s="110" t="s">
        <v>5477</v>
      </c>
      <c r="I388" s="110" t="s">
        <v>5478</v>
      </c>
      <c r="J388" s="110"/>
      <c r="K388" s="119" t="s">
        <v>5479</v>
      </c>
      <c r="L388" s="110" t="s">
        <v>2948</v>
      </c>
      <c r="M388" s="116">
        <v>12966.51</v>
      </c>
      <c r="N388" s="116">
        <v>12966.51</v>
      </c>
      <c r="O388" s="111"/>
      <c r="P388" s="112" t="s">
        <v>27</v>
      </c>
      <c r="Q388" s="110" t="s">
        <v>35</v>
      </c>
      <c r="R388" s="110" t="s">
        <v>27</v>
      </c>
      <c r="S388" s="110"/>
      <c r="T388" s="110">
        <f t="shared" ref="T388:T451" si="6">N388-S388</f>
        <v>12966.51</v>
      </c>
      <c r="U388" s="110"/>
      <c r="V388" s="110"/>
      <c r="W388" s="110"/>
      <c r="X388" s="114" t="s">
        <v>82</v>
      </c>
      <c r="Y388" s="114" t="s">
        <v>82</v>
      </c>
      <c r="AA388" s="113" t="e">
        <v>#N/A</v>
      </c>
      <c r="AB388" s="113" t="e">
        <v>#N/A</v>
      </c>
    </row>
    <row r="389" spans="1:28">
      <c r="A389" s="108">
        <v>388</v>
      </c>
      <c r="B389" s="108" t="s">
        <v>225</v>
      </c>
      <c r="C389" s="109">
        <v>46055</v>
      </c>
      <c r="D389" s="110" t="s">
        <v>28</v>
      </c>
      <c r="E389" s="110" t="s">
        <v>5252</v>
      </c>
      <c r="F389" s="110" t="s">
        <v>30</v>
      </c>
      <c r="G389" s="110">
        <v>15</v>
      </c>
      <c r="H389" s="110" t="s">
        <v>428</v>
      </c>
      <c r="I389" s="110" t="s">
        <v>4692</v>
      </c>
      <c r="J389" s="110"/>
      <c r="K389" s="119" t="s">
        <v>430</v>
      </c>
      <c r="L389" s="110" t="s">
        <v>431</v>
      </c>
      <c r="M389" s="116">
        <v>13053.6</v>
      </c>
      <c r="N389" s="163">
        <v>13053.6</v>
      </c>
      <c r="O389" s="111"/>
      <c r="P389" s="112" t="s">
        <v>27</v>
      </c>
      <c r="Q389" s="110" t="s">
        <v>35</v>
      </c>
      <c r="R389" s="110" t="s">
        <v>27</v>
      </c>
      <c r="S389" s="110"/>
      <c r="T389" s="110">
        <f t="shared" si="6"/>
        <v>13053.6</v>
      </c>
      <c r="U389" s="110"/>
      <c r="V389" s="110"/>
      <c r="W389" s="110"/>
      <c r="X389" s="114" t="s">
        <v>4335</v>
      </c>
      <c r="Y389" s="114" t="s">
        <v>4335</v>
      </c>
      <c r="AA389" s="113" t="e">
        <v>#N/A</v>
      </c>
      <c r="AB389" s="113" t="e">
        <v>#N/A</v>
      </c>
    </row>
    <row r="390" spans="1:28">
      <c r="A390" s="108">
        <v>389</v>
      </c>
      <c r="B390" s="108" t="s">
        <v>225</v>
      </c>
      <c r="C390" s="109">
        <v>46054</v>
      </c>
      <c r="D390" s="110" t="s">
        <v>28</v>
      </c>
      <c r="E390" s="110" t="s">
        <v>5252</v>
      </c>
      <c r="F390" s="110" t="s">
        <v>30</v>
      </c>
      <c r="G390" s="110">
        <v>14</v>
      </c>
      <c r="H390" s="110" t="s">
        <v>5480</v>
      </c>
      <c r="I390" s="110" t="s">
        <v>5481</v>
      </c>
      <c r="J390" s="110"/>
      <c r="K390" s="119" t="s">
        <v>5482</v>
      </c>
      <c r="L390" s="162" t="s">
        <v>5483</v>
      </c>
      <c r="M390" s="116">
        <v>12669.62</v>
      </c>
      <c r="N390" s="163">
        <v>12682</v>
      </c>
      <c r="O390" s="111"/>
      <c r="P390" s="112" t="s">
        <v>27</v>
      </c>
      <c r="Q390" s="110" t="s">
        <v>35</v>
      </c>
      <c r="R390" s="110" t="s">
        <v>27</v>
      </c>
      <c r="S390" s="110"/>
      <c r="T390" s="110">
        <f t="shared" si="6"/>
        <v>12682</v>
      </c>
      <c r="U390" s="110"/>
      <c r="V390" s="110"/>
      <c r="W390" s="110"/>
      <c r="X390" s="114" t="s">
        <v>117</v>
      </c>
      <c r="Y390" s="114" t="s">
        <v>117</v>
      </c>
      <c r="AA390" s="113" t="e">
        <v>#N/A</v>
      </c>
      <c r="AB390" s="113" t="e">
        <v>#N/A</v>
      </c>
    </row>
    <row r="391" spans="1:28">
      <c r="A391" s="108">
        <v>390</v>
      </c>
      <c r="B391" s="108"/>
      <c r="C391" s="109">
        <v>46052</v>
      </c>
      <c r="D391" s="110" t="s">
        <v>28</v>
      </c>
      <c r="E391" s="110" t="s">
        <v>5252</v>
      </c>
      <c r="F391" s="110" t="s">
        <v>30</v>
      </c>
      <c r="G391" s="110">
        <v>12</v>
      </c>
      <c r="H391" s="110" t="s">
        <v>185</v>
      </c>
      <c r="I391" s="110" t="s">
        <v>4281</v>
      </c>
      <c r="J391" s="110"/>
      <c r="K391" s="119" t="s">
        <v>187</v>
      </c>
      <c r="L391" s="110" t="s">
        <v>188</v>
      </c>
      <c r="M391" s="116">
        <v>13281.41</v>
      </c>
      <c r="N391" s="116">
        <v>13281.41</v>
      </c>
      <c r="O391" s="111"/>
      <c r="P391" s="112" t="s">
        <v>27</v>
      </c>
      <c r="Q391" s="110" t="s">
        <v>35</v>
      </c>
      <c r="R391" s="110" t="s">
        <v>27</v>
      </c>
      <c r="S391" s="110"/>
      <c r="T391" s="110">
        <f t="shared" si="6"/>
        <v>13281.41</v>
      </c>
      <c r="U391" s="110"/>
      <c r="V391" s="110"/>
      <c r="W391" s="110"/>
      <c r="X391" s="114" t="s">
        <v>5438</v>
      </c>
      <c r="Y391" s="114" t="s">
        <v>5438</v>
      </c>
      <c r="AA391" s="113" t="e">
        <v>#N/A</v>
      </c>
      <c r="AB391" s="113" t="e">
        <v>#N/A</v>
      </c>
    </row>
    <row r="392" spans="1:28">
      <c r="A392" s="108">
        <v>391</v>
      </c>
      <c r="B392" s="108" t="s">
        <v>225</v>
      </c>
      <c r="C392" s="109">
        <v>46054</v>
      </c>
      <c r="D392" s="110" t="s">
        <v>28</v>
      </c>
      <c r="E392" s="110" t="s">
        <v>5252</v>
      </c>
      <c r="F392" s="110" t="s">
        <v>30</v>
      </c>
      <c r="G392" s="110">
        <v>14</v>
      </c>
      <c r="H392" s="110" t="s">
        <v>5484</v>
      </c>
      <c r="I392" s="110" t="s">
        <v>5485</v>
      </c>
      <c r="J392" s="110"/>
      <c r="K392" s="119" t="s">
        <v>5486</v>
      </c>
      <c r="L392" s="162" t="s">
        <v>5487</v>
      </c>
      <c r="M392" s="116">
        <v>12662.62</v>
      </c>
      <c r="N392" s="163">
        <v>12674</v>
      </c>
      <c r="O392" s="111"/>
      <c r="P392" s="112" t="s">
        <v>27</v>
      </c>
      <c r="Q392" s="110" t="s">
        <v>35</v>
      </c>
      <c r="R392" s="110" t="s">
        <v>27</v>
      </c>
      <c r="S392" s="110"/>
      <c r="T392" s="110">
        <f t="shared" si="6"/>
        <v>12674</v>
      </c>
      <c r="U392" s="110"/>
      <c r="V392" s="110"/>
      <c r="W392" s="110"/>
      <c r="X392" s="114" t="s">
        <v>4335</v>
      </c>
      <c r="Y392" s="114" t="s">
        <v>4335</v>
      </c>
      <c r="AA392" s="113" t="e">
        <v>#N/A</v>
      </c>
      <c r="AB392" s="113" t="e">
        <v>#N/A</v>
      </c>
    </row>
    <row r="393" spans="1:28">
      <c r="A393" s="108">
        <v>392</v>
      </c>
      <c r="B393" s="108"/>
      <c r="C393" s="109">
        <v>46052</v>
      </c>
      <c r="D393" s="110" t="s">
        <v>28</v>
      </c>
      <c r="E393" s="110" t="s">
        <v>5252</v>
      </c>
      <c r="F393" s="110" t="s">
        <v>30</v>
      </c>
      <c r="G393" s="110">
        <v>12</v>
      </c>
      <c r="H393" s="110" t="s">
        <v>185</v>
      </c>
      <c r="I393" s="110" t="s">
        <v>4281</v>
      </c>
      <c r="J393" s="110"/>
      <c r="K393" s="119" t="s">
        <v>4282</v>
      </c>
      <c r="L393" s="110"/>
      <c r="M393" s="116">
        <v>13120.94</v>
      </c>
      <c r="N393" s="116">
        <v>13120.94</v>
      </c>
      <c r="O393" s="111"/>
      <c r="P393" s="112" t="s">
        <v>27</v>
      </c>
      <c r="Q393" s="110" t="s">
        <v>35</v>
      </c>
      <c r="R393" s="110" t="s">
        <v>27</v>
      </c>
      <c r="S393" s="110"/>
      <c r="T393" s="110">
        <f t="shared" si="6"/>
        <v>13120.94</v>
      </c>
      <c r="U393" s="110"/>
      <c r="V393" s="110"/>
      <c r="W393" s="110"/>
      <c r="X393" s="114" t="s">
        <v>89</v>
      </c>
      <c r="Y393" s="114" t="s">
        <v>89</v>
      </c>
      <c r="AA393" s="113" t="e">
        <v>#N/A</v>
      </c>
      <c r="AB393" s="113" t="e">
        <v>#N/A</v>
      </c>
    </row>
    <row r="394" spans="1:28">
      <c r="A394" s="108">
        <v>393</v>
      </c>
      <c r="B394" s="108"/>
      <c r="C394" s="109">
        <v>46052</v>
      </c>
      <c r="D394" s="110" t="s">
        <v>28</v>
      </c>
      <c r="E394" s="110" t="s">
        <v>5252</v>
      </c>
      <c r="F394" s="110" t="s">
        <v>30</v>
      </c>
      <c r="G394" s="110">
        <v>12</v>
      </c>
      <c r="H394" s="110" t="s">
        <v>1528</v>
      </c>
      <c r="I394" s="110" t="s">
        <v>5488</v>
      </c>
      <c r="J394" s="110"/>
      <c r="K394" s="119" t="s">
        <v>1530</v>
      </c>
      <c r="L394" s="110" t="s">
        <v>1531</v>
      </c>
      <c r="M394" s="116">
        <v>11898.3</v>
      </c>
      <c r="N394" s="116">
        <v>11898.3</v>
      </c>
      <c r="O394" s="111"/>
      <c r="P394" s="112" t="s">
        <v>27</v>
      </c>
      <c r="Q394" s="110" t="s">
        <v>35</v>
      </c>
      <c r="R394" s="110" t="s">
        <v>27</v>
      </c>
      <c r="S394" s="110"/>
      <c r="T394" s="110">
        <f t="shared" si="6"/>
        <v>11898.3</v>
      </c>
      <c r="U394" s="110"/>
      <c r="V394" s="110"/>
      <c r="W394" s="110"/>
      <c r="X394" s="114" t="s">
        <v>82</v>
      </c>
      <c r="Y394" s="114" t="s">
        <v>82</v>
      </c>
      <c r="AA394" s="113" t="e">
        <v>#N/A</v>
      </c>
      <c r="AB394" s="113" t="e">
        <v>#N/A</v>
      </c>
    </row>
    <row r="395" spans="1:28">
      <c r="A395" s="108">
        <v>394</v>
      </c>
      <c r="B395" s="108" t="s">
        <v>225</v>
      </c>
      <c r="C395" s="109">
        <v>46058</v>
      </c>
      <c r="D395" s="110" t="s">
        <v>28</v>
      </c>
      <c r="E395" s="110" t="s">
        <v>5252</v>
      </c>
      <c r="F395" s="110" t="s">
        <v>30</v>
      </c>
      <c r="G395" s="110">
        <v>18</v>
      </c>
      <c r="H395" s="110" t="s">
        <v>5489</v>
      </c>
      <c r="I395" s="110" t="s">
        <v>5490</v>
      </c>
      <c r="J395" s="110"/>
      <c r="K395" s="119" t="s">
        <v>5491</v>
      </c>
      <c r="L395" s="162" t="s">
        <v>5492</v>
      </c>
      <c r="M395" s="116">
        <v>11786.72</v>
      </c>
      <c r="N395" s="116">
        <v>11786.72</v>
      </c>
      <c r="O395" s="111"/>
      <c r="P395" s="112" t="s">
        <v>27</v>
      </c>
      <c r="Q395" s="110" t="s">
        <v>35</v>
      </c>
      <c r="R395" s="110" t="s">
        <v>27</v>
      </c>
      <c r="S395" s="110"/>
      <c r="T395" s="110">
        <f t="shared" si="6"/>
        <v>11786.72</v>
      </c>
      <c r="U395" s="110"/>
      <c r="V395" s="110"/>
      <c r="W395" s="110"/>
      <c r="X395" s="114" t="s">
        <v>444</v>
      </c>
      <c r="Y395" s="114" t="s">
        <v>444</v>
      </c>
      <c r="AA395" s="113" t="e">
        <v>#N/A</v>
      </c>
      <c r="AB395" s="113" t="e">
        <v>#N/A</v>
      </c>
    </row>
    <row r="396" spans="1:28">
      <c r="A396" s="108">
        <v>395</v>
      </c>
      <c r="B396" s="108" t="s">
        <v>225</v>
      </c>
      <c r="C396" s="109">
        <v>46054</v>
      </c>
      <c r="D396" s="110" t="s">
        <v>28</v>
      </c>
      <c r="E396" s="110" t="s">
        <v>5252</v>
      </c>
      <c r="F396" s="110" t="s">
        <v>30</v>
      </c>
      <c r="G396" s="110">
        <v>14</v>
      </c>
      <c r="H396" s="110" t="s">
        <v>5493</v>
      </c>
      <c r="I396" s="110" t="s">
        <v>5494</v>
      </c>
      <c r="J396" s="110"/>
      <c r="K396" s="119" t="s">
        <v>5495</v>
      </c>
      <c r="L396" s="110" t="s">
        <v>5496</v>
      </c>
      <c r="M396" s="116">
        <v>11575.91</v>
      </c>
      <c r="N396" s="163">
        <v>11586</v>
      </c>
      <c r="O396" s="111"/>
      <c r="P396" s="112" t="s">
        <v>27</v>
      </c>
      <c r="Q396" s="110" t="s">
        <v>35</v>
      </c>
      <c r="R396" s="110" t="s">
        <v>27</v>
      </c>
      <c r="S396" s="110"/>
      <c r="T396" s="110">
        <f t="shared" si="6"/>
        <v>11586</v>
      </c>
      <c r="U396" s="110"/>
      <c r="V396" s="110"/>
      <c r="W396" s="110"/>
      <c r="X396" s="114" t="s">
        <v>55</v>
      </c>
      <c r="Y396" s="114" t="s">
        <v>55</v>
      </c>
      <c r="AA396" s="113" t="e">
        <v>#N/A</v>
      </c>
      <c r="AB396" s="113" t="e">
        <v>#N/A</v>
      </c>
    </row>
    <row r="397" spans="1:28">
      <c r="A397" s="108">
        <v>396</v>
      </c>
      <c r="B397" s="108" t="s">
        <v>5010</v>
      </c>
      <c r="C397" s="109">
        <v>46056</v>
      </c>
      <c r="D397" s="110" t="s">
        <v>28</v>
      </c>
      <c r="E397" s="110" t="s">
        <v>5252</v>
      </c>
      <c r="F397" s="110" t="s">
        <v>30</v>
      </c>
      <c r="G397" s="110">
        <v>15</v>
      </c>
      <c r="H397" s="110" t="s">
        <v>5497</v>
      </c>
      <c r="I397" s="110" t="s">
        <v>5498</v>
      </c>
      <c r="J397" s="110"/>
      <c r="K397" s="119" t="s">
        <v>5499</v>
      </c>
      <c r="L397" s="110"/>
      <c r="M397" s="116">
        <v>9418.76</v>
      </c>
      <c r="N397" s="116">
        <v>9418.76</v>
      </c>
      <c r="O397" s="111"/>
      <c r="P397" s="112" t="s">
        <v>27</v>
      </c>
      <c r="Q397" s="110" t="s">
        <v>35</v>
      </c>
      <c r="R397" s="110" t="s">
        <v>27</v>
      </c>
      <c r="S397" s="110"/>
      <c r="T397" s="110">
        <f t="shared" si="6"/>
        <v>9418.76</v>
      </c>
      <c r="U397" s="110"/>
      <c r="V397" s="110"/>
      <c r="W397" s="110"/>
      <c r="X397" s="114" t="s">
        <v>37</v>
      </c>
      <c r="Y397" s="114" t="s">
        <v>37</v>
      </c>
      <c r="AA397" s="113" t="e">
        <v>#N/A</v>
      </c>
      <c r="AB397" s="113" t="e">
        <v>#N/A</v>
      </c>
    </row>
    <row r="398" spans="1:28">
      <c r="A398" s="108">
        <v>397</v>
      </c>
      <c r="B398" s="108" t="s">
        <v>225</v>
      </c>
      <c r="C398" s="109">
        <v>46058</v>
      </c>
      <c r="D398" s="110" t="s">
        <v>28</v>
      </c>
      <c r="E398" s="110" t="s">
        <v>5252</v>
      </c>
      <c r="F398" s="110" t="s">
        <v>30</v>
      </c>
      <c r="G398" s="110">
        <v>18</v>
      </c>
      <c r="H398" s="110" t="s">
        <v>5500</v>
      </c>
      <c r="I398" s="110" t="s">
        <v>5501</v>
      </c>
      <c r="J398" s="110"/>
      <c r="K398" s="119" t="s">
        <v>5502</v>
      </c>
      <c r="L398" s="162" t="s">
        <v>5503</v>
      </c>
      <c r="M398" s="116">
        <v>9695.43</v>
      </c>
      <c r="N398" s="116">
        <v>9696</v>
      </c>
      <c r="O398" s="111"/>
      <c r="P398" s="112" t="s">
        <v>27</v>
      </c>
      <c r="Q398" s="110" t="s">
        <v>35</v>
      </c>
      <c r="R398" s="110" t="s">
        <v>27</v>
      </c>
      <c r="S398" s="110"/>
      <c r="T398" s="110">
        <f t="shared" si="6"/>
        <v>9696</v>
      </c>
      <c r="U398" s="110"/>
      <c r="V398" s="110"/>
      <c r="W398" s="110"/>
      <c r="X398" s="114" t="s">
        <v>45</v>
      </c>
      <c r="Y398" s="114" t="s">
        <v>45</v>
      </c>
      <c r="AA398" s="113" t="e">
        <v>#N/A</v>
      </c>
      <c r="AB398" s="113" t="e">
        <v>#N/A</v>
      </c>
    </row>
    <row r="399" spans="1:28">
      <c r="A399" s="108">
        <v>398</v>
      </c>
      <c r="B399" s="108"/>
      <c r="C399" s="109">
        <v>46052</v>
      </c>
      <c r="D399" s="110" t="s">
        <v>28</v>
      </c>
      <c r="E399" s="110" t="s">
        <v>5252</v>
      </c>
      <c r="F399" s="110" t="s">
        <v>30</v>
      </c>
      <c r="G399" s="110">
        <v>12</v>
      </c>
      <c r="H399" s="110" t="s">
        <v>191</v>
      </c>
      <c r="I399" s="110" t="s">
        <v>4298</v>
      </c>
      <c r="J399" s="110"/>
      <c r="K399" s="119" t="s">
        <v>193</v>
      </c>
      <c r="L399" s="110" t="s">
        <v>194</v>
      </c>
      <c r="M399" s="116">
        <v>10397.91</v>
      </c>
      <c r="N399" s="116">
        <v>10397.91</v>
      </c>
      <c r="O399" s="111"/>
      <c r="P399" s="112" t="s">
        <v>27</v>
      </c>
      <c r="Q399" s="110" t="s">
        <v>35</v>
      </c>
      <c r="R399" s="110" t="s">
        <v>27</v>
      </c>
      <c r="S399" s="110"/>
      <c r="T399" s="110">
        <f t="shared" si="6"/>
        <v>10397.91</v>
      </c>
      <c r="U399" s="110"/>
      <c r="V399" s="110"/>
      <c r="W399" s="110"/>
      <c r="X399" s="114" t="s">
        <v>69</v>
      </c>
      <c r="Y399" s="114" t="s">
        <v>69</v>
      </c>
      <c r="AA399" s="113" t="e">
        <v>#N/A</v>
      </c>
      <c r="AB399" s="113" t="e">
        <v>#N/A</v>
      </c>
    </row>
    <row r="400" spans="1:28">
      <c r="A400" s="108">
        <v>399</v>
      </c>
      <c r="B400" s="108"/>
      <c r="C400" s="109">
        <v>46054</v>
      </c>
      <c r="D400" s="110" t="s">
        <v>28</v>
      </c>
      <c r="E400" s="110" t="s">
        <v>5252</v>
      </c>
      <c r="F400" s="110" t="s">
        <v>30</v>
      </c>
      <c r="G400" s="110">
        <v>14</v>
      </c>
      <c r="H400" s="110" t="s">
        <v>5504</v>
      </c>
      <c r="I400" s="110" t="s">
        <v>5505</v>
      </c>
      <c r="J400" s="110"/>
      <c r="K400" s="119" t="s">
        <v>5506</v>
      </c>
      <c r="L400" s="110"/>
      <c r="M400" s="116">
        <v>9382.4</v>
      </c>
      <c r="N400" s="116">
        <v>9382.4</v>
      </c>
      <c r="O400" s="111"/>
      <c r="P400" s="112" t="s">
        <v>27</v>
      </c>
      <c r="Q400" s="110" t="s">
        <v>35</v>
      </c>
      <c r="R400" s="110" t="s">
        <v>27</v>
      </c>
      <c r="S400" s="110"/>
      <c r="T400" s="110">
        <f t="shared" si="6"/>
        <v>9382.4</v>
      </c>
      <c r="U400" s="110"/>
      <c r="V400" s="110"/>
      <c r="W400" s="110"/>
      <c r="X400" s="114" t="s">
        <v>55</v>
      </c>
      <c r="Y400" s="114" t="s">
        <v>55</v>
      </c>
      <c r="AA400" s="113" t="e">
        <v>#N/A</v>
      </c>
      <c r="AB400" s="113" t="e">
        <v>#N/A</v>
      </c>
    </row>
    <row r="401" spans="1:28">
      <c r="A401" s="108">
        <v>400</v>
      </c>
      <c r="B401" s="108" t="s">
        <v>225</v>
      </c>
      <c r="C401" s="109">
        <v>46054</v>
      </c>
      <c r="D401" s="110" t="s">
        <v>28</v>
      </c>
      <c r="E401" s="110" t="s">
        <v>5252</v>
      </c>
      <c r="F401" s="110" t="s">
        <v>30</v>
      </c>
      <c r="G401" s="110">
        <v>14</v>
      </c>
      <c r="H401" s="110" t="s">
        <v>4537</v>
      </c>
      <c r="I401" s="110" t="s">
        <v>4538</v>
      </c>
      <c r="J401" s="110"/>
      <c r="K401" s="119" t="s">
        <v>5507</v>
      </c>
      <c r="L401" s="162" t="s">
        <v>5508</v>
      </c>
      <c r="M401" s="116">
        <v>10877.22</v>
      </c>
      <c r="N401" s="163">
        <v>10888</v>
      </c>
      <c r="O401" s="111"/>
      <c r="P401" s="112" t="s">
        <v>27</v>
      </c>
      <c r="Q401" s="110" t="s">
        <v>35</v>
      </c>
      <c r="R401" s="110" t="s">
        <v>27</v>
      </c>
      <c r="S401" s="110"/>
      <c r="T401" s="110">
        <f t="shared" si="6"/>
        <v>10888</v>
      </c>
      <c r="U401" s="110"/>
      <c r="V401" s="110"/>
      <c r="W401" s="110"/>
      <c r="X401" s="114" t="s">
        <v>4335</v>
      </c>
      <c r="Y401" s="114" t="s">
        <v>4335</v>
      </c>
      <c r="AA401" s="113" t="e">
        <v>#N/A</v>
      </c>
      <c r="AB401" s="113" t="e">
        <v>#N/A</v>
      </c>
    </row>
    <row r="402" spans="1:28">
      <c r="A402" s="108">
        <v>401</v>
      </c>
      <c r="B402" s="108" t="s">
        <v>5010</v>
      </c>
      <c r="C402" s="109">
        <v>46056</v>
      </c>
      <c r="D402" s="110" t="s">
        <v>28</v>
      </c>
      <c r="E402" s="110" t="s">
        <v>5252</v>
      </c>
      <c r="F402" s="110" t="s">
        <v>30</v>
      </c>
      <c r="G402" s="110">
        <v>15</v>
      </c>
      <c r="H402" s="110" t="s">
        <v>5509</v>
      </c>
      <c r="I402" s="110" t="s">
        <v>5510</v>
      </c>
      <c r="J402" s="110"/>
      <c r="K402" s="119" t="s">
        <v>5511</v>
      </c>
      <c r="L402" s="110" t="s">
        <v>5512</v>
      </c>
      <c r="M402" s="116">
        <v>8179.27</v>
      </c>
      <c r="N402" s="116">
        <v>8179.27</v>
      </c>
      <c r="O402" s="164"/>
      <c r="P402" s="112" t="s">
        <v>27</v>
      </c>
      <c r="Q402" s="110" t="s">
        <v>35</v>
      </c>
      <c r="R402" s="110" t="s">
        <v>27</v>
      </c>
      <c r="S402" s="110"/>
      <c r="T402" s="110">
        <f t="shared" si="6"/>
        <v>8179.27</v>
      </c>
      <c r="U402" s="110"/>
      <c r="V402" s="110"/>
      <c r="W402" s="110"/>
      <c r="X402" s="114" t="s">
        <v>4335</v>
      </c>
      <c r="Y402" s="114" t="s">
        <v>4335</v>
      </c>
      <c r="AA402" s="113" t="e">
        <v>#N/A</v>
      </c>
      <c r="AB402" s="113" t="e">
        <v>#N/A</v>
      </c>
    </row>
    <row r="403" spans="1:28">
      <c r="A403" s="108">
        <v>402</v>
      </c>
      <c r="B403" s="108"/>
      <c r="C403" s="109">
        <v>46052</v>
      </c>
      <c r="D403" s="110" t="s">
        <v>28</v>
      </c>
      <c r="E403" s="110" t="s">
        <v>5252</v>
      </c>
      <c r="F403" s="110" t="s">
        <v>30</v>
      </c>
      <c r="G403" s="110">
        <v>12</v>
      </c>
      <c r="H403" s="110" t="s">
        <v>5513</v>
      </c>
      <c r="I403" s="110" t="s">
        <v>5514</v>
      </c>
      <c r="J403" s="110"/>
      <c r="K403" s="119" t="s">
        <v>5515</v>
      </c>
      <c r="L403" s="110" t="s">
        <v>5516</v>
      </c>
      <c r="M403" s="116">
        <v>9362.0499999999993</v>
      </c>
      <c r="N403" s="116">
        <v>9362.0499999999993</v>
      </c>
      <c r="O403" s="111"/>
      <c r="P403" s="112" t="s">
        <v>27</v>
      </c>
      <c r="Q403" s="110" t="s">
        <v>35</v>
      </c>
      <c r="R403" s="110" t="s">
        <v>27</v>
      </c>
      <c r="S403" s="110"/>
      <c r="T403" s="110">
        <f t="shared" si="6"/>
        <v>9362.0499999999993</v>
      </c>
      <c r="U403" s="110"/>
      <c r="V403" s="110"/>
      <c r="W403" s="110"/>
      <c r="X403" s="114" t="s">
        <v>76</v>
      </c>
      <c r="Y403" s="114" t="s">
        <v>76</v>
      </c>
      <c r="AA403" s="113" t="e">
        <v>#N/A</v>
      </c>
      <c r="AB403" s="113" t="e">
        <v>#N/A</v>
      </c>
    </row>
    <row r="404" spans="1:28">
      <c r="A404" s="108">
        <v>403</v>
      </c>
      <c r="B404" s="108"/>
      <c r="C404" s="109">
        <v>46052</v>
      </c>
      <c r="D404" s="110" t="s">
        <v>28</v>
      </c>
      <c r="E404" s="110" t="s">
        <v>5252</v>
      </c>
      <c r="F404" s="110" t="s">
        <v>30</v>
      </c>
      <c r="G404" s="110">
        <v>12</v>
      </c>
      <c r="H404" s="110" t="s">
        <v>5517</v>
      </c>
      <c r="I404" s="110" t="s">
        <v>5518</v>
      </c>
      <c r="J404" s="110"/>
      <c r="K404" s="119" t="s">
        <v>5519</v>
      </c>
      <c r="L404" s="110" t="s">
        <v>5520</v>
      </c>
      <c r="M404" s="116">
        <v>9380.6200000000008</v>
      </c>
      <c r="N404" s="116">
        <v>9380.6200000000008</v>
      </c>
      <c r="O404" s="111"/>
      <c r="P404" s="112" t="s">
        <v>27</v>
      </c>
      <c r="Q404" s="110" t="s">
        <v>35</v>
      </c>
      <c r="R404" s="110" t="s">
        <v>27</v>
      </c>
      <c r="S404" s="110"/>
      <c r="T404" s="110">
        <f t="shared" si="6"/>
        <v>9380.6200000000008</v>
      </c>
      <c r="U404" s="110"/>
      <c r="V404" s="110"/>
      <c r="W404" s="110"/>
      <c r="X404" s="114" t="s">
        <v>69</v>
      </c>
      <c r="Y404" s="114" t="s">
        <v>69</v>
      </c>
      <c r="AA404" s="113" t="e">
        <v>#N/A</v>
      </c>
      <c r="AB404" s="113" t="e">
        <v>#N/A</v>
      </c>
    </row>
    <row r="405" spans="1:28">
      <c r="A405" s="108">
        <v>404</v>
      </c>
      <c r="B405" s="108" t="s">
        <v>225</v>
      </c>
      <c r="C405" s="109">
        <v>46054</v>
      </c>
      <c r="D405" s="110" t="s">
        <v>28</v>
      </c>
      <c r="E405" s="110" t="s">
        <v>5252</v>
      </c>
      <c r="F405" s="110" t="s">
        <v>30</v>
      </c>
      <c r="G405" s="110">
        <v>14</v>
      </c>
      <c r="H405" s="110" t="s">
        <v>5521</v>
      </c>
      <c r="I405" s="110" t="s">
        <v>5522</v>
      </c>
      <c r="J405" s="110"/>
      <c r="K405" s="119" t="s">
        <v>5523</v>
      </c>
      <c r="L405" s="162" t="s">
        <v>5524</v>
      </c>
      <c r="M405" s="116">
        <v>8404.68</v>
      </c>
      <c r="N405" s="163">
        <v>8415</v>
      </c>
      <c r="O405" s="111"/>
      <c r="P405" s="112" t="s">
        <v>27</v>
      </c>
      <c r="Q405" s="110" t="s">
        <v>35</v>
      </c>
      <c r="R405" s="110" t="s">
        <v>27</v>
      </c>
      <c r="S405" s="110"/>
      <c r="T405" s="110">
        <f t="shared" si="6"/>
        <v>8415</v>
      </c>
      <c r="U405" s="110"/>
      <c r="V405" s="110"/>
      <c r="W405" s="110"/>
      <c r="X405" s="114" t="s">
        <v>37</v>
      </c>
      <c r="Y405" s="114" t="s">
        <v>37</v>
      </c>
      <c r="AA405" s="113" t="e">
        <v>#N/A</v>
      </c>
      <c r="AB405" s="113" t="e">
        <v>#N/A</v>
      </c>
    </row>
    <row r="406" spans="1:28">
      <c r="A406" s="108">
        <v>405</v>
      </c>
      <c r="B406" s="108"/>
      <c r="C406" s="109">
        <v>46052</v>
      </c>
      <c r="D406" s="110" t="s">
        <v>28</v>
      </c>
      <c r="E406" s="110" t="s">
        <v>5252</v>
      </c>
      <c r="F406" s="110" t="s">
        <v>30</v>
      </c>
      <c r="G406" s="110">
        <v>12</v>
      </c>
      <c r="H406" s="110" t="s">
        <v>5525</v>
      </c>
      <c r="I406" s="110" t="s">
        <v>5526</v>
      </c>
      <c r="J406" s="110"/>
      <c r="K406" s="119" t="s">
        <v>5527</v>
      </c>
      <c r="L406" s="110" t="s">
        <v>5528</v>
      </c>
      <c r="M406" s="116">
        <v>8941.65</v>
      </c>
      <c r="N406" s="116">
        <v>8941.65</v>
      </c>
      <c r="O406" s="111"/>
      <c r="P406" s="112" t="s">
        <v>27</v>
      </c>
      <c r="Q406" s="110" t="s">
        <v>35</v>
      </c>
      <c r="R406" s="110" t="s">
        <v>27</v>
      </c>
      <c r="S406" s="110"/>
      <c r="T406" s="110">
        <f t="shared" si="6"/>
        <v>8941.65</v>
      </c>
      <c r="U406" s="110"/>
      <c r="V406" s="110"/>
      <c r="W406" s="110"/>
      <c r="X406" s="114" t="s">
        <v>37</v>
      </c>
      <c r="Y406" s="114" t="s">
        <v>37</v>
      </c>
      <c r="AA406" s="113" t="e">
        <v>#N/A</v>
      </c>
      <c r="AB406" s="113" t="e">
        <v>#N/A</v>
      </c>
    </row>
    <row r="407" spans="1:28">
      <c r="A407" s="108">
        <v>406</v>
      </c>
      <c r="B407" s="108"/>
      <c r="C407" s="109">
        <v>46052</v>
      </c>
      <c r="D407" s="110" t="s">
        <v>28</v>
      </c>
      <c r="E407" s="110" t="s">
        <v>5252</v>
      </c>
      <c r="F407" s="110" t="s">
        <v>30</v>
      </c>
      <c r="G407" s="110">
        <v>12</v>
      </c>
      <c r="H407" s="110" t="s">
        <v>4385</v>
      </c>
      <c r="I407" s="110" t="s">
        <v>4386</v>
      </c>
      <c r="J407" s="110"/>
      <c r="K407" s="119" t="s">
        <v>4387</v>
      </c>
      <c r="L407" s="110" t="s">
        <v>4388</v>
      </c>
      <c r="M407" s="116">
        <v>8896.43</v>
      </c>
      <c r="N407" s="116">
        <v>8896.43</v>
      </c>
      <c r="O407" s="111"/>
      <c r="P407" s="112" t="s">
        <v>27</v>
      </c>
      <c r="Q407" s="110" t="s">
        <v>35</v>
      </c>
      <c r="R407" s="110" t="s">
        <v>27</v>
      </c>
      <c r="S407" s="110"/>
      <c r="T407" s="110">
        <f t="shared" si="6"/>
        <v>8896.43</v>
      </c>
      <c r="U407" s="110"/>
      <c r="V407" s="110"/>
      <c r="W407" s="110"/>
      <c r="X407" s="114" t="s">
        <v>4335</v>
      </c>
      <c r="Y407" s="114" t="s">
        <v>4335</v>
      </c>
      <c r="AA407" s="113" t="e">
        <v>#N/A</v>
      </c>
      <c r="AB407" s="113" t="e">
        <v>#N/A</v>
      </c>
    </row>
    <row r="408" spans="1:28">
      <c r="A408" s="108">
        <v>407</v>
      </c>
      <c r="B408" s="108" t="s">
        <v>225</v>
      </c>
      <c r="C408" s="109">
        <v>46054</v>
      </c>
      <c r="D408" s="110" t="s">
        <v>28</v>
      </c>
      <c r="E408" s="110" t="s">
        <v>5252</v>
      </c>
      <c r="F408" s="110" t="s">
        <v>30</v>
      </c>
      <c r="G408" s="110">
        <v>14</v>
      </c>
      <c r="H408" s="110" t="s">
        <v>5529</v>
      </c>
      <c r="I408" s="110" t="s">
        <v>5530</v>
      </c>
      <c r="J408" s="110"/>
      <c r="K408" s="119" t="s">
        <v>5531</v>
      </c>
      <c r="L408" s="162" t="s">
        <v>5532</v>
      </c>
      <c r="M408" s="116">
        <v>8110.16</v>
      </c>
      <c r="N408" s="163">
        <v>8126</v>
      </c>
      <c r="O408" s="111"/>
      <c r="P408" s="112" t="s">
        <v>27</v>
      </c>
      <c r="Q408" s="110" t="s">
        <v>35</v>
      </c>
      <c r="R408" s="110" t="s">
        <v>27</v>
      </c>
      <c r="S408" s="110"/>
      <c r="T408" s="110">
        <f t="shared" si="6"/>
        <v>8126</v>
      </c>
      <c r="U408" s="110"/>
      <c r="V408" s="110"/>
      <c r="W408" s="110"/>
      <c r="X408" s="114" t="s">
        <v>89</v>
      </c>
      <c r="Y408" s="114" t="s">
        <v>89</v>
      </c>
      <c r="AA408" s="113" t="e">
        <v>#N/A</v>
      </c>
      <c r="AB408" s="113" t="e">
        <v>#N/A</v>
      </c>
    </row>
    <row r="409" spans="1:28">
      <c r="A409" s="108">
        <v>408</v>
      </c>
      <c r="B409" s="108" t="s">
        <v>225</v>
      </c>
      <c r="C409" s="109">
        <v>46057</v>
      </c>
      <c r="D409" s="110" t="s">
        <v>28</v>
      </c>
      <c r="E409" s="110" t="s">
        <v>5252</v>
      </c>
      <c r="F409" s="110" t="s">
        <v>30</v>
      </c>
      <c r="G409" s="110">
        <v>17</v>
      </c>
      <c r="H409" s="110" t="s">
        <v>5533</v>
      </c>
      <c r="I409" s="110" t="s">
        <v>5534</v>
      </c>
      <c r="J409" s="110"/>
      <c r="K409" s="119" t="s">
        <v>5535</v>
      </c>
      <c r="L409" s="110" t="s">
        <v>5536</v>
      </c>
      <c r="M409" s="116">
        <v>8810.98</v>
      </c>
      <c r="N409" s="116">
        <v>8810.98</v>
      </c>
      <c r="O409" s="111"/>
      <c r="P409" s="112" t="s">
        <v>27</v>
      </c>
      <c r="Q409" s="110" t="s">
        <v>35</v>
      </c>
      <c r="R409" s="110" t="s">
        <v>27</v>
      </c>
      <c r="S409" s="110"/>
      <c r="T409" s="110">
        <f t="shared" si="6"/>
        <v>8810.98</v>
      </c>
      <c r="U409" s="110"/>
      <c r="V409" s="110"/>
      <c r="W409" s="110"/>
      <c r="X409" s="114" t="s">
        <v>89</v>
      </c>
      <c r="Y409" s="114" t="s">
        <v>89</v>
      </c>
      <c r="AA409" s="113" t="e">
        <v>#N/A</v>
      </c>
      <c r="AB409" s="113" t="e">
        <v>#N/A</v>
      </c>
    </row>
    <row r="410" spans="1:28">
      <c r="A410" s="108">
        <v>409</v>
      </c>
      <c r="B410" s="108"/>
      <c r="C410" s="109">
        <v>46054</v>
      </c>
      <c r="D410" s="110" t="s">
        <v>28</v>
      </c>
      <c r="E410" s="110" t="s">
        <v>5252</v>
      </c>
      <c r="F410" s="110" t="s">
        <v>30</v>
      </c>
      <c r="G410" s="110">
        <v>14</v>
      </c>
      <c r="H410" s="110" t="s">
        <v>5537</v>
      </c>
      <c r="I410" s="110" t="s">
        <v>5538</v>
      </c>
      <c r="J410" s="110"/>
      <c r="K410" s="119" t="s">
        <v>5539</v>
      </c>
      <c r="L410" s="162"/>
      <c r="M410" s="116">
        <v>6895.72</v>
      </c>
      <c r="N410" s="116">
        <v>6895.72</v>
      </c>
      <c r="O410" s="111"/>
      <c r="P410" s="112" t="s">
        <v>27</v>
      </c>
      <c r="Q410" s="110" t="s">
        <v>35</v>
      </c>
      <c r="R410" s="110" t="s">
        <v>27</v>
      </c>
      <c r="S410" s="110"/>
      <c r="T410" s="110">
        <f t="shared" si="6"/>
        <v>6895.72</v>
      </c>
      <c r="U410" s="110"/>
      <c r="V410" s="110"/>
      <c r="W410" s="110"/>
      <c r="X410" s="114" t="s">
        <v>5438</v>
      </c>
      <c r="Y410" s="114" t="s">
        <v>5438</v>
      </c>
      <c r="AA410" s="113" t="e">
        <v>#N/A</v>
      </c>
      <c r="AB410" s="113" t="e">
        <v>#N/A</v>
      </c>
    </row>
    <row r="411" spans="1:28">
      <c r="A411" s="108">
        <v>410</v>
      </c>
      <c r="B411" s="108" t="s">
        <v>225</v>
      </c>
      <c r="C411" s="109">
        <v>46054</v>
      </c>
      <c r="D411" s="110" t="s">
        <v>28</v>
      </c>
      <c r="E411" s="110" t="s">
        <v>5252</v>
      </c>
      <c r="F411" s="110" t="s">
        <v>30</v>
      </c>
      <c r="G411" s="110">
        <v>14</v>
      </c>
      <c r="H411" s="110" t="s">
        <v>5540</v>
      </c>
      <c r="I411" s="110" t="s">
        <v>5541</v>
      </c>
      <c r="J411" s="110"/>
      <c r="K411" s="119" t="s">
        <v>5542</v>
      </c>
      <c r="L411" s="162" t="s">
        <v>5543</v>
      </c>
      <c r="M411" s="116">
        <v>7161</v>
      </c>
      <c r="N411" s="163">
        <v>7171</v>
      </c>
      <c r="O411" s="111"/>
      <c r="P411" s="112" t="s">
        <v>27</v>
      </c>
      <c r="Q411" s="110" t="s">
        <v>35</v>
      </c>
      <c r="R411" s="110" t="s">
        <v>27</v>
      </c>
      <c r="S411" s="110"/>
      <c r="T411" s="110">
        <f t="shared" si="6"/>
        <v>7171</v>
      </c>
      <c r="U411" s="110"/>
      <c r="V411" s="110"/>
      <c r="W411" s="110"/>
      <c r="X411" s="114" t="s">
        <v>37</v>
      </c>
      <c r="Y411" s="114" t="s">
        <v>37</v>
      </c>
      <c r="AA411" s="113" t="e">
        <v>#N/A</v>
      </c>
      <c r="AB411" s="113" t="e">
        <v>#N/A</v>
      </c>
    </row>
    <row r="412" spans="1:28">
      <c r="A412" s="108">
        <v>411</v>
      </c>
      <c r="B412" s="108" t="s">
        <v>225</v>
      </c>
      <c r="C412" s="109">
        <v>46055</v>
      </c>
      <c r="D412" s="110" t="s">
        <v>28</v>
      </c>
      <c r="E412" s="110" t="s">
        <v>5252</v>
      </c>
      <c r="F412" s="110" t="s">
        <v>30</v>
      </c>
      <c r="G412" s="110">
        <v>15</v>
      </c>
      <c r="H412" s="110" t="s">
        <v>5544</v>
      </c>
      <c r="I412" s="110" t="s">
        <v>5545</v>
      </c>
      <c r="J412" s="110"/>
      <c r="K412" s="119" t="s">
        <v>5546</v>
      </c>
      <c r="L412" s="110" t="s">
        <v>5547</v>
      </c>
      <c r="M412" s="116">
        <v>8207.15</v>
      </c>
      <c r="N412" s="163">
        <v>8208</v>
      </c>
      <c r="O412" s="111">
        <v>46062</v>
      </c>
      <c r="P412" s="112" t="s">
        <v>55</v>
      </c>
      <c r="Q412" s="110" t="s">
        <v>52</v>
      </c>
      <c r="R412" s="110" t="s">
        <v>27</v>
      </c>
      <c r="S412" s="110">
        <v>8400</v>
      </c>
      <c r="T412" s="110">
        <f t="shared" si="6"/>
        <v>-192</v>
      </c>
      <c r="U412" s="111">
        <v>46062</v>
      </c>
      <c r="V412" s="110" t="s">
        <v>5548</v>
      </c>
      <c r="W412" s="110" t="s">
        <v>54</v>
      </c>
      <c r="X412" s="114" t="s">
        <v>55</v>
      </c>
      <c r="Y412" s="114" t="s">
        <v>55</v>
      </c>
      <c r="AA412" s="113" t="e">
        <v>#N/A</v>
      </c>
      <c r="AB412" s="113" t="e">
        <v>#N/A</v>
      </c>
    </row>
    <row r="413" spans="1:28">
      <c r="A413" s="108">
        <v>412</v>
      </c>
      <c r="B413" s="108"/>
      <c r="C413" s="109">
        <v>46052</v>
      </c>
      <c r="D413" s="110" t="s">
        <v>28</v>
      </c>
      <c r="E413" s="110" t="s">
        <v>5252</v>
      </c>
      <c r="F413" s="110" t="s">
        <v>30</v>
      </c>
      <c r="G413" s="110">
        <v>12</v>
      </c>
      <c r="H413" s="110" t="s">
        <v>4299</v>
      </c>
      <c r="I413" s="110" t="s">
        <v>4300</v>
      </c>
      <c r="J413" s="110"/>
      <c r="K413" s="119" t="s">
        <v>4301</v>
      </c>
      <c r="L413" s="110" t="s">
        <v>4302</v>
      </c>
      <c r="M413" s="116">
        <v>9421.16</v>
      </c>
      <c r="N413" s="116">
        <v>9421.16</v>
      </c>
      <c r="O413" s="111"/>
      <c r="P413" s="112" t="s">
        <v>27</v>
      </c>
      <c r="Q413" s="110" t="s">
        <v>35</v>
      </c>
      <c r="R413" s="110" t="s">
        <v>27</v>
      </c>
      <c r="S413" s="110"/>
      <c r="T413" s="110">
        <f t="shared" si="6"/>
        <v>9421.16</v>
      </c>
      <c r="U413" s="110"/>
      <c r="V413" s="110"/>
      <c r="W413" s="110"/>
      <c r="X413" s="114" t="s">
        <v>82</v>
      </c>
      <c r="Y413" s="114" t="s">
        <v>82</v>
      </c>
      <c r="AA413" s="113" t="e">
        <v>#N/A</v>
      </c>
      <c r="AB413" s="113" t="e">
        <v>#N/A</v>
      </c>
    </row>
    <row r="414" spans="1:28">
      <c r="A414" s="108">
        <v>413</v>
      </c>
      <c r="B414" s="108" t="s">
        <v>225</v>
      </c>
      <c r="C414" s="109">
        <v>46055</v>
      </c>
      <c r="D414" s="110" t="s">
        <v>28</v>
      </c>
      <c r="E414" s="110" t="s">
        <v>5252</v>
      </c>
      <c r="F414" s="110" t="s">
        <v>30</v>
      </c>
      <c r="G414" s="110">
        <v>15</v>
      </c>
      <c r="H414" s="110" t="s">
        <v>605</v>
      </c>
      <c r="I414" s="110" t="s">
        <v>5549</v>
      </c>
      <c r="J414" s="110"/>
      <c r="K414" s="119" t="s">
        <v>5550</v>
      </c>
      <c r="L414" s="110" t="s">
        <v>5551</v>
      </c>
      <c r="M414" s="116">
        <v>8151.65</v>
      </c>
      <c r="N414" s="163">
        <v>8162</v>
      </c>
      <c r="O414" s="111"/>
      <c r="P414" s="112" t="s">
        <v>27</v>
      </c>
      <c r="Q414" s="110" t="s">
        <v>35</v>
      </c>
      <c r="R414" s="110" t="s">
        <v>27</v>
      </c>
      <c r="S414" s="110"/>
      <c r="T414" s="110">
        <f t="shared" si="6"/>
        <v>8162</v>
      </c>
      <c r="U414" s="110"/>
      <c r="V414" s="110"/>
      <c r="W414" s="110"/>
      <c r="X414" s="114" t="s">
        <v>76</v>
      </c>
      <c r="Y414" s="114" t="s">
        <v>76</v>
      </c>
      <c r="AA414" s="113" t="e">
        <v>#N/A</v>
      </c>
      <c r="AB414" s="113" t="e">
        <v>#N/A</v>
      </c>
    </row>
    <row r="415" spans="1:28">
      <c r="A415" s="108">
        <v>414</v>
      </c>
      <c r="B415" s="108" t="s">
        <v>225</v>
      </c>
      <c r="C415" s="109">
        <v>46058</v>
      </c>
      <c r="D415" s="110" t="s">
        <v>28</v>
      </c>
      <c r="E415" s="110" t="s">
        <v>5252</v>
      </c>
      <c r="F415" s="110" t="s">
        <v>30</v>
      </c>
      <c r="G415" s="110">
        <v>18</v>
      </c>
      <c r="H415" s="110" t="s">
        <v>5552</v>
      </c>
      <c r="I415" s="110" t="s">
        <v>5553</v>
      </c>
      <c r="J415" s="110"/>
      <c r="K415" s="119" t="s">
        <v>5554</v>
      </c>
      <c r="L415" s="162" t="s">
        <v>5555</v>
      </c>
      <c r="M415" s="116">
        <v>6172.28</v>
      </c>
      <c r="N415" s="116">
        <v>6173</v>
      </c>
      <c r="O415" s="111"/>
      <c r="P415" s="112" t="s">
        <v>27</v>
      </c>
      <c r="Q415" s="110" t="s">
        <v>35</v>
      </c>
      <c r="R415" s="110" t="s">
        <v>27</v>
      </c>
      <c r="S415" s="110"/>
      <c r="T415" s="110">
        <f t="shared" si="6"/>
        <v>6173</v>
      </c>
      <c r="U415" s="110"/>
      <c r="V415" s="110"/>
      <c r="W415" s="110"/>
      <c r="X415" s="114" t="s">
        <v>45</v>
      </c>
      <c r="Y415" s="114" t="s">
        <v>45</v>
      </c>
      <c r="AA415" s="113" t="e">
        <v>#N/A</v>
      </c>
      <c r="AB415" s="113" t="e">
        <v>#N/A</v>
      </c>
    </row>
    <row r="416" spans="1:28">
      <c r="A416" s="108">
        <v>415</v>
      </c>
      <c r="B416" s="108" t="s">
        <v>225</v>
      </c>
      <c r="C416" s="109">
        <v>46054</v>
      </c>
      <c r="D416" s="110" t="s">
        <v>28</v>
      </c>
      <c r="E416" s="110" t="s">
        <v>5252</v>
      </c>
      <c r="F416" s="110" t="s">
        <v>30</v>
      </c>
      <c r="G416" s="110">
        <v>14</v>
      </c>
      <c r="H416" s="110" t="s">
        <v>5556</v>
      </c>
      <c r="I416" s="110" t="s">
        <v>5557</v>
      </c>
      <c r="J416" s="110"/>
      <c r="K416" s="119" t="s">
        <v>5558</v>
      </c>
      <c r="L416" s="110" t="s">
        <v>5559</v>
      </c>
      <c r="M416" s="116">
        <v>7595.5</v>
      </c>
      <c r="N416" s="163">
        <v>7520</v>
      </c>
      <c r="O416" s="111"/>
      <c r="P416" s="112" t="s">
        <v>27</v>
      </c>
      <c r="Q416" s="110" t="s">
        <v>35</v>
      </c>
      <c r="R416" s="110" t="s">
        <v>27</v>
      </c>
      <c r="S416" s="110"/>
      <c r="T416" s="110">
        <f t="shared" si="6"/>
        <v>7520</v>
      </c>
      <c r="U416" s="110"/>
      <c r="V416" s="110"/>
      <c r="W416" s="110"/>
      <c r="X416" s="114" t="s">
        <v>55</v>
      </c>
      <c r="Y416" s="114" t="s">
        <v>55</v>
      </c>
      <c r="AA416" s="113" t="e">
        <v>#N/A</v>
      </c>
      <c r="AB416" s="113" t="e">
        <v>#N/A</v>
      </c>
    </row>
    <row r="417" spans="1:28">
      <c r="A417" s="108">
        <v>416</v>
      </c>
      <c r="B417" s="108" t="s">
        <v>225</v>
      </c>
      <c r="C417" s="109">
        <v>46054</v>
      </c>
      <c r="D417" s="110" t="s">
        <v>28</v>
      </c>
      <c r="E417" s="110" t="s">
        <v>5252</v>
      </c>
      <c r="F417" s="110" t="s">
        <v>30</v>
      </c>
      <c r="G417" s="110">
        <v>14</v>
      </c>
      <c r="H417" s="110" t="s">
        <v>5560</v>
      </c>
      <c r="I417" s="110" t="s">
        <v>5561</v>
      </c>
      <c r="J417" s="110"/>
      <c r="K417" s="119" t="s">
        <v>5562</v>
      </c>
      <c r="L417" s="162" t="s">
        <v>5563</v>
      </c>
      <c r="M417" s="116">
        <v>6717.26</v>
      </c>
      <c r="N417" s="163">
        <v>6725</v>
      </c>
      <c r="O417" s="111"/>
      <c r="P417" s="112" t="s">
        <v>27</v>
      </c>
      <c r="Q417" s="110" t="s">
        <v>35</v>
      </c>
      <c r="R417" s="110" t="s">
        <v>27</v>
      </c>
      <c r="S417" s="110"/>
      <c r="T417" s="110">
        <f t="shared" si="6"/>
        <v>6725</v>
      </c>
      <c r="U417" s="110"/>
      <c r="V417" s="110"/>
      <c r="W417" s="110"/>
      <c r="X417" s="114" t="s">
        <v>117</v>
      </c>
      <c r="Y417" s="114" t="s">
        <v>117</v>
      </c>
      <c r="AA417" s="113" t="e">
        <v>#N/A</v>
      </c>
      <c r="AB417" s="113" t="e">
        <v>#N/A</v>
      </c>
    </row>
    <row r="418" spans="1:28">
      <c r="A418" s="108">
        <v>417</v>
      </c>
      <c r="B418" s="108" t="s">
        <v>225</v>
      </c>
      <c r="C418" s="109">
        <v>46055</v>
      </c>
      <c r="D418" s="110" t="s">
        <v>28</v>
      </c>
      <c r="E418" s="110" t="s">
        <v>5252</v>
      </c>
      <c r="F418" s="110" t="s">
        <v>30</v>
      </c>
      <c r="G418" s="110">
        <v>15</v>
      </c>
      <c r="H418" s="110" t="s">
        <v>5564</v>
      </c>
      <c r="I418" s="110" t="s">
        <v>5565</v>
      </c>
      <c r="J418" s="110"/>
      <c r="K418" s="119" t="s">
        <v>5566</v>
      </c>
      <c r="L418" s="110" t="s">
        <v>5567</v>
      </c>
      <c r="M418" s="116">
        <v>7562.56</v>
      </c>
      <c r="N418" s="163">
        <v>7562.56</v>
      </c>
      <c r="O418" s="111"/>
      <c r="P418" s="112" t="s">
        <v>27</v>
      </c>
      <c r="Q418" s="110" t="s">
        <v>35</v>
      </c>
      <c r="R418" s="110" t="s">
        <v>27</v>
      </c>
      <c r="S418" s="110"/>
      <c r="T418" s="110">
        <f t="shared" si="6"/>
        <v>7562.56</v>
      </c>
      <c r="U418" s="110"/>
      <c r="V418" s="110"/>
      <c r="W418" s="110"/>
      <c r="X418" s="114" t="s">
        <v>55</v>
      </c>
      <c r="Y418" s="114" t="s">
        <v>55</v>
      </c>
      <c r="AA418" s="113" t="e">
        <v>#N/A</v>
      </c>
      <c r="AB418" s="113" t="e">
        <v>#N/A</v>
      </c>
    </row>
    <row r="419" spans="1:28">
      <c r="A419" s="108">
        <v>418</v>
      </c>
      <c r="B419" s="108" t="s">
        <v>225</v>
      </c>
      <c r="C419" s="109">
        <v>46057</v>
      </c>
      <c r="D419" s="110" t="s">
        <v>28</v>
      </c>
      <c r="E419" s="110" t="s">
        <v>5252</v>
      </c>
      <c r="F419" s="110" t="s">
        <v>30</v>
      </c>
      <c r="G419" s="110">
        <v>17</v>
      </c>
      <c r="H419" s="110" t="s">
        <v>5568</v>
      </c>
      <c r="I419" s="110" t="s">
        <v>5569</v>
      </c>
      <c r="J419" s="110"/>
      <c r="K419" s="119" t="s">
        <v>5570</v>
      </c>
      <c r="L419" s="110" t="s">
        <v>5571</v>
      </c>
      <c r="M419" s="116">
        <v>5158.29</v>
      </c>
      <c r="N419" s="163">
        <v>5159</v>
      </c>
      <c r="O419" s="111"/>
      <c r="P419" s="112" t="s">
        <v>27</v>
      </c>
      <c r="Q419" s="110" t="s">
        <v>35</v>
      </c>
      <c r="R419" s="110" t="s">
        <v>27</v>
      </c>
      <c r="S419" s="110"/>
      <c r="T419" s="110">
        <f t="shared" si="6"/>
        <v>5159</v>
      </c>
      <c r="U419" s="110"/>
      <c r="V419" s="110"/>
      <c r="W419" s="110"/>
      <c r="X419" s="114" t="s">
        <v>4335</v>
      </c>
      <c r="Y419" s="114" t="s">
        <v>4335</v>
      </c>
      <c r="AA419" s="113" t="e">
        <v>#N/A</v>
      </c>
      <c r="AB419" s="113" t="e">
        <v>#N/A</v>
      </c>
    </row>
    <row r="420" spans="1:28">
      <c r="A420" s="108">
        <v>419</v>
      </c>
      <c r="B420" s="108"/>
      <c r="C420" s="109">
        <v>46054</v>
      </c>
      <c r="D420" s="110" t="s">
        <v>28</v>
      </c>
      <c r="E420" s="110" t="s">
        <v>5252</v>
      </c>
      <c r="F420" s="110" t="s">
        <v>30</v>
      </c>
      <c r="G420" s="110">
        <v>14</v>
      </c>
      <c r="H420" s="110" t="s">
        <v>5572</v>
      </c>
      <c r="I420" s="110" t="s">
        <v>5573</v>
      </c>
      <c r="J420" s="110"/>
      <c r="K420" s="119" t="s">
        <v>5574</v>
      </c>
      <c r="L420" s="162"/>
      <c r="M420" s="116">
        <v>15070.02</v>
      </c>
      <c r="N420" s="116">
        <v>15070.02</v>
      </c>
      <c r="O420" s="111"/>
      <c r="P420" s="112" t="s">
        <v>27</v>
      </c>
      <c r="Q420" s="110" t="s">
        <v>35</v>
      </c>
      <c r="R420" s="110" t="s">
        <v>27</v>
      </c>
      <c r="S420" s="110"/>
      <c r="T420" s="110">
        <f t="shared" si="6"/>
        <v>15070.02</v>
      </c>
      <c r="U420" s="110"/>
      <c r="V420" s="110"/>
      <c r="W420" s="110"/>
      <c r="X420" s="114" t="s">
        <v>5438</v>
      </c>
      <c r="Y420" s="114" t="s">
        <v>5438</v>
      </c>
      <c r="AA420" s="113" t="e">
        <v>#N/A</v>
      </c>
      <c r="AB420" s="113" t="e">
        <v>#N/A</v>
      </c>
    </row>
    <row r="421" spans="1:28">
      <c r="A421" s="108">
        <v>420</v>
      </c>
      <c r="B421" s="108" t="s">
        <v>5010</v>
      </c>
      <c r="C421" s="109">
        <v>46056</v>
      </c>
      <c r="D421" s="110" t="s">
        <v>28</v>
      </c>
      <c r="E421" s="110" t="s">
        <v>5252</v>
      </c>
      <c r="F421" s="110" t="s">
        <v>30</v>
      </c>
      <c r="G421" s="110">
        <v>15</v>
      </c>
      <c r="H421" s="110" t="s">
        <v>486</v>
      </c>
      <c r="I421" s="110" t="s">
        <v>5575</v>
      </c>
      <c r="J421" s="110"/>
      <c r="K421" s="119" t="s">
        <v>488</v>
      </c>
      <c r="L421" s="110"/>
      <c r="M421" s="116">
        <v>7005.07</v>
      </c>
      <c r="N421" s="116">
        <v>7005.07</v>
      </c>
      <c r="O421" s="111"/>
      <c r="P421" s="112" t="s">
        <v>27</v>
      </c>
      <c r="Q421" s="110" t="s">
        <v>35</v>
      </c>
      <c r="R421" s="110" t="s">
        <v>27</v>
      </c>
      <c r="S421" s="110"/>
      <c r="T421" s="110">
        <f t="shared" si="6"/>
        <v>7005.07</v>
      </c>
      <c r="U421" s="110"/>
      <c r="V421" s="110"/>
      <c r="W421" s="110"/>
      <c r="X421" s="114" t="s">
        <v>69</v>
      </c>
      <c r="Y421" s="114" t="s">
        <v>69</v>
      </c>
      <c r="AA421" s="113" t="e">
        <v>#N/A</v>
      </c>
      <c r="AB421" s="113" t="e">
        <v>#N/A</v>
      </c>
    </row>
    <row r="422" spans="1:28">
      <c r="A422" s="108">
        <v>421</v>
      </c>
      <c r="B422" s="108"/>
      <c r="C422" s="109">
        <v>46052</v>
      </c>
      <c r="D422" s="110" t="s">
        <v>28</v>
      </c>
      <c r="E422" s="110" t="s">
        <v>5252</v>
      </c>
      <c r="F422" s="110" t="s">
        <v>30</v>
      </c>
      <c r="G422" s="110">
        <v>12</v>
      </c>
      <c r="H422" s="110" t="s">
        <v>5576</v>
      </c>
      <c r="I422" s="110" t="s">
        <v>5577</v>
      </c>
      <c r="J422" s="110"/>
      <c r="K422" s="119" t="s">
        <v>5578</v>
      </c>
      <c r="L422" s="110" t="s">
        <v>5579</v>
      </c>
      <c r="M422" s="116">
        <v>6539.18</v>
      </c>
      <c r="N422" s="116">
        <v>6539.18</v>
      </c>
      <c r="O422" s="111"/>
      <c r="P422" s="112" t="s">
        <v>27</v>
      </c>
      <c r="Q422" s="110" t="s">
        <v>35</v>
      </c>
      <c r="R422" s="110" t="s">
        <v>27</v>
      </c>
      <c r="S422" s="110"/>
      <c r="T422" s="110">
        <f t="shared" si="6"/>
        <v>6539.18</v>
      </c>
      <c r="U422" s="110"/>
      <c r="V422" s="110"/>
      <c r="W422" s="110"/>
      <c r="X422" s="114" t="s">
        <v>89</v>
      </c>
      <c r="Y422" s="114" t="s">
        <v>89</v>
      </c>
      <c r="AA422" s="113" t="e">
        <v>#N/A</v>
      </c>
      <c r="AB422" s="113" t="e">
        <v>#N/A</v>
      </c>
    </row>
    <row r="423" spans="1:28">
      <c r="A423" s="108">
        <v>422</v>
      </c>
      <c r="B423" s="108"/>
      <c r="C423" s="109">
        <v>46054</v>
      </c>
      <c r="D423" s="110" t="s">
        <v>28</v>
      </c>
      <c r="E423" s="110" t="s">
        <v>5252</v>
      </c>
      <c r="F423" s="110" t="s">
        <v>30</v>
      </c>
      <c r="G423" s="110">
        <v>14</v>
      </c>
      <c r="H423" s="110" t="s">
        <v>5580</v>
      </c>
      <c r="I423" s="110" t="s">
        <v>5581</v>
      </c>
      <c r="J423" s="110"/>
      <c r="K423" s="119" t="s">
        <v>5582</v>
      </c>
      <c r="L423" s="162" t="s">
        <v>5583</v>
      </c>
      <c r="M423" s="116">
        <v>7183.28</v>
      </c>
      <c r="N423" s="116">
        <v>7183.28</v>
      </c>
      <c r="O423" s="111"/>
      <c r="P423" s="112" t="s">
        <v>27</v>
      </c>
      <c r="Q423" s="110" t="s">
        <v>35</v>
      </c>
      <c r="R423" s="110" t="s">
        <v>27</v>
      </c>
      <c r="S423" s="110"/>
      <c r="T423" s="110">
        <f t="shared" si="6"/>
        <v>7183.28</v>
      </c>
      <c r="U423" s="110"/>
      <c r="V423" s="110"/>
      <c r="W423" s="110"/>
      <c r="X423" s="114" t="s">
        <v>69</v>
      </c>
      <c r="Y423" s="114" t="s">
        <v>69</v>
      </c>
      <c r="AA423" s="113" t="e">
        <v>#N/A</v>
      </c>
      <c r="AB423" s="113" t="e">
        <v>#N/A</v>
      </c>
    </row>
    <row r="424" spans="1:28">
      <c r="A424" s="108">
        <v>423</v>
      </c>
      <c r="B424" s="108"/>
      <c r="C424" s="109">
        <v>46052</v>
      </c>
      <c r="D424" s="110" t="s">
        <v>28</v>
      </c>
      <c r="E424" s="110" t="s">
        <v>5252</v>
      </c>
      <c r="F424" s="110" t="s">
        <v>30</v>
      </c>
      <c r="G424" s="110">
        <v>12</v>
      </c>
      <c r="H424" s="110" t="s">
        <v>5584</v>
      </c>
      <c r="I424" s="110" t="s">
        <v>5585</v>
      </c>
      <c r="J424" s="110"/>
      <c r="K424" s="119" t="s">
        <v>5586</v>
      </c>
      <c r="L424" s="110" t="s">
        <v>5587</v>
      </c>
      <c r="M424" s="116">
        <v>7216.47</v>
      </c>
      <c r="N424" s="116">
        <v>7216.47</v>
      </c>
      <c r="O424" s="111"/>
      <c r="P424" s="112" t="s">
        <v>27</v>
      </c>
      <c r="Q424" s="110" t="s">
        <v>35</v>
      </c>
      <c r="R424" s="110" t="s">
        <v>27</v>
      </c>
      <c r="S424" s="110"/>
      <c r="T424" s="110">
        <f t="shared" si="6"/>
        <v>7216.47</v>
      </c>
      <c r="U424" s="110"/>
      <c r="V424" s="110"/>
      <c r="W424" s="110"/>
      <c r="X424" s="114" t="s">
        <v>55</v>
      </c>
      <c r="Y424" s="114" t="s">
        <v>55</v>
      </c>
      <c r="AA424" s="113" t="e">
        <v>#N/A</v>
      </c>
      <c r="AB424" s="113" t="e">
        <v>#N/A</v>
      </c>
    </row>
    <row r="425" spans="1:28">
      <c r="A425" s="108">
        <v>424</v>
      </c>
      <c r="B425" s="108"/>
      <c r="C425" s="109">
        <v>46054</v>
      </c>
      <c r="D425" s="110" t="s">
        <v>28</v>
      </c>
      <c r="E425" s="110" t="s">
        <v>5252</v>
      </c>
      <c r="F425" s="110" t="s">
        <v>30</v>
      </c>
      <c r="G425" s="110">
        <v>14</v>
      </c>
      <c r="H425" s="110" t="s">
        <v>5588</v>
      </c>
      <c r="I425" s="110" t="s">
        <v>5589</v>
      </c>
      <c r="J425" s="110"/>
      <c r="K425" s="119" t="s">
        <v>5590</v>
      </c>
      <c r="L425" s="162" t="s">
        <v>5591</v>
      </c>
      <c r="M425" s="116">
        <v>6737.49</v>
      </c>
      <c r="N425" s="116">
        <v>6737.49</v>
      </c>
      <c r="O425" s="111"/>
      <c r="P425" s="112" t="s">
        <v>27</v>
      </c>
      <c r="Q425" s="110" t="s">
        <v>35</v>
      </c>
      <c r="R425" s="110" t="s">
        <v>27</v>
      </c>
      <c r="S425" s="110"/>
      <c r="T425" s="110">
        <f t="shared" si="6"/>
        <v>6737.49</v>
      </c>
      <c r="U425" s="110"/>
      <c r="V425" s="110"/>
      <c r="W425" s="110"/>
      <c r="X425" s="114" t="s">
        <v>89</v>
      </c>
      <c r="Y425" s="114" t="s">
        <v>89</v>
      </c>
      <c r="AA425" s="113" t="e">
        <v>#N/A</v>
      </c>
      <c r="AB425" s="113" t="e">
        <v>#N/A</v>
      </c>
    </row>
    <row r="426" spans="1:28">
      <c r="A426" s="108">
        <v>425</v>
      </c>
      <c r="B426" s="108" t="s">
        <v>225</v>
      </c>
      <c r="C426" s="109">
        <v>46054</v>
      </c>
      <c r="D426" s="110" t="s">
        <v>28</v>
      </c>
      <c r="E426" s="110" t="s">
        <v>5252</v>
      </c>
      <c r="F426" s="110" t="s">
        <v>30</v>
      </c>
      <c r="G426" s="110">
        <v>14</v>
      </c>
      <c r="H426" s="110" t="s">
        <v>5592</v>
      </c>
      <c r="I426" s="110" t="s">
        <v>5593</v>
      </c>
      <c r="J426" s="110"/>
      <c r="K426" s="119" t="s">
        <v>5594</v>
      </c>
      <c r="L426" s="110" t="s">
        <v>5595</v>
      </c>
      <c r="M426" s="116">
        <v>5611.57</v>
      </c>
      <c r="N426" s="163">
        <v>5625</v>
      </c>
      <c r="O426" s="111"/>
      <c r="P426" s="112" t="s">
        <v>27</v>
      </c>
      <c r="Q426" s="110" t="s">
        <v>35</v>
      </c>
      <c r="R426" s="110" t="s">
        <v>27</v>
      </c>
      <c r="S426" s="110"/>
      <c r="T426" s="110">
        <f t="shared" si="6"/>
        <v>5625</v>
      </c>
      <c r="U426" s="110"/>
      <c r="V426" s="110"/>
      <c r="W426" s="110"/>
      <c r="X426" s="114" t="s">
        <v>103</v>
      </c>
      <c r="Y426" s="114" t="s">
        <v>103</v>
      </c>
      <c r="AA426" s="113" t="e">
        <v>#N/A</v>
      </c>
      <c r="AB426" s="113" t="e">
        <v>#N/A</v>
      </c>
    </row>
    <row r="427" spans="1:28">
      <c r="A427" s="108">
        <v>426</v>
      </c>
      <c r="B427" s="108" t="s">
        <v>225</v>
      </c>
      <c r="C427" s="109">
        <v>46058</v>
      </c>
      <c r="D427" s="110" t="s">
        <v>28</v>
      </c>
      <c r="E427" s="110" t="s">
        <v>5252</v>
      </c>
      <c r="F427" s="110" t="s">
        <v>30</v>
      </c>
      <c r="G427" s="110">
        <v>18</v>
      </c>
      <c r="H427" s="110" t="s">
        <v>5596</v>
      </c>
      <c r="I427" s="110" t="s">
        <v>5597</v>
      </c>
      <c r="J427" s="110"/>
      <c r="K427" s="119" t="s">
        <v>5598</v>
      </c>
      <c r="L427" s="162" t="s">
        <v>5599</v>
      </c>
      <c r="M427" s="116">
        <v>6929.66</v>
      </c>
      <c r="N427" s="116">
        <v>6929.66</v>
      </c>
      <c r="O427" s="111"/>
      <c r="P427" s="112" t="s">
        <v>27</v>
      </c>
      <c r="Q427" s="110" t="s">
        <v>35</v>
      </c>
      <c r="R427" s="110" t="s">
        <v>27</v>
      </c>
      <c r="S427" s="110"/>
      <c r="T427" s="110">
        <f t="shared" si="6"/>
        <v>6929.66</v>
      </c>
      <c r="U427" s="110"/>
      <c r="V427" s="110"/>
      <c r="W427" s="110"/>
      <c r="X427" s="114" t="s">
        <v>69</v>
      </c>
      <c r="Y427" s="114" t="s">
        <v>69</v>
      </c>
      <c r="AA427" s="113" t="e">
        <v>#N/A</v>
      </c>
      <c r="AB427" s="113" t="e">
        <v>#N/A</v>
      </c>
    </row>
    <row r="428" spans="1:28">
      <c r="A428" s="108">
        <v>427</v>
      </c>
      <c r="B428" s="108"/>
      <c r="C428" s="109">
        <v>46052</v>
      </c>
      <c r="D428" s="110" t="s">
        <v>28</v>
      </c>
      <c r="E428" s="110" t="s">
        <v>5252</v>
      </c>
      <c r="F428" s="110" t="s">
        <v>30</v>
      </c>
      <c r="G428" s="110">
        <v>12</v>
      </c>
      <c r="H428" s="110" t="s">
        <v>5600</v>
      </c>
      <c r="I428" s="110" t="s">
        <v>5601</v>
      </c>
      <c r="J428" s="110"/>
      <c r="K428" s="119" t="s">
        <v>5602</v>
      </c>
      <c r="L428" s="110" t="s">
        <v>5603</v>
      </c>
      <c r="M428" s="116">
        <v>5198.3100000000004</v>
      </c>
      <c r="N428" s="116">
        <v>5198.3100000000004</v>
      </c>
      <c r="O428" s="111"/>
      <c r="P428" s="112" t="s">
        <v>27</v>
      </c>
      <c r="Q428" s="110" t="s">
        <v>35</v>
      </c>
      <c r="R428" s="110" t="s">
        <v>27</v>
      </c>
      <c r="S428" s="110"/>
      <c r="T428" s="110">
        <f t="shared" si="6"/>
        <v>5198.3100000000004</v>
      </c>
      <c r="U428" s="110"/>
      <c r="V428" s="110"/>
      <c r="W428" s="110"/>
      <c r="X428" s="114" t="s">
        <v>55</v>
      </c>
      <c r="Y428" s="114" t="s">
        <v>55</v>
      </c>
      <c r="AA428" s="113" t="e">
        <v>#N/A</v>
      </c>
      <c r="AB428" s="113" t="e">
        <v>#N/A</v>
      </c>
    </row>
    <row r="429" spans="1:28">
      <c r="A429" s="108">
        <v>428</v>
      </c>
      <c r="B429" s="108"/>
      <c r="C429" s="109">
        <v>46052</v>
      </c>
      <c r="D429" s="110" t="s">
        <v>28</v>
      </c>
      <c r="E429" s="110" t="s">
        <v>5252</v>
      </c>
      <c r="F429" s="110" t="s">
        <v>30</v>
      </c>
      <c r="G429" s="110">
        <v>12</v>
      </c>
      <c r="H429" s="110" t="s">
        <v>5604</v>
      </c>
      <c r="I429" s="110" t="s">
        <v>5605</v>
      </c>
      <c r="J429" s="110"/>
      <c r="K429" s="119" t="s">
        <v>5606</v>
      </c>
      <c r="L429" s="110"/>
      <c r="M429" s="116">
        <v>5395.49</v>
      </c>
      <c r="N429" s="116">
        <v>5395.49</v>
      </c>
      <c r="O429" s="111"/>
      <c r="P429" s="112" t="s">
        <v>27</v>
      </c>
      <c r="Q429" s="110" t="s">
        <v>35</v>
      </c>
      <c r="R429" s="110" t="s">
        <v>27</v>
      </c>
      <c r="S429" s="110"/>
      <c r="T429" s="110">
        <f t="shared" si="6"/>
        <v>5395.49</v>
      </c>
      <c r="U429" s="110"/>
      <c r="V429" s="110"/>
      <c r="W429" s="110"/>
      <c r="X429" s="114" t="s">
        <v>444</v>
      </c>
      <c r="Y429" s="114" t="s">
        <v>444</v>
      </c>
      <c r="AA429" s="113" t="e">
        <v>#N/A</v>
      </c>
      <c r="AB429" s="113" t="e">
        <v>#N/A</v>
      </c>
    </row>
    <row r="430" spans="1:28">
      <c r="A430" s="108">
        <v>429</v>
      </c>
      <c r="B430" s="108" t="s">
        <v>225</v>
      </c>
      <c r="C430" s="109">
        <v>46055</v>
      </c>
      <c r="D430" s="110" t="s">
        <v>28</v>
      </c>
      <c r="E430" s="110" t="s">
        <v>5252</v>
      </c>
      <c r="F430" s="110" t="s">
        <v>30</v>
      </c>
      <c r="G430" s="110">
        <v>15</v>
      </c>
      <c r="H430" s="110" t="s">
        <v>5607</v>
      </c>
      <c r="I430" s="110" t="s">
        <v>5608</v>
      </c>
      <c r="J430" s="110"/>
      <c r="K430" s="119" t="s">
        <v>5609</v>
      </c>
      <c r="L430" s="110" t="s">
        <v>5610</v>
      </c>
      <c r="M430" s="116">
        <v>4580.42</v>
      </c>
      <c r="N430" s="163">
        <v>4581</v>
      </c>
      <c r="O430" s="111"/>
      <c r="P430" s="112" t="s">
        <v>27</v>
      </c>
      <c r="Q430" s="110" t="s">
        <v>35</v>
      </c>
      <c r="R430" s="110" t="s">
        <v>27</v>
      </c>
      <c r="S430" s="110"/>
      <c r="T430" s="110">
        <f t="shared" si="6"/>
        <v>4581</v>
      </c>
      <c r="U430" s="110"/>
      <c r="V430" s="110"/>
      <c r="W430" s="110"/>
      <c r="X430" s="114" t="s">
        <v>5420</v>
      </c>
      <c r="Y430" s="114" t="s">
        <v>5420</v>
      </c>
      <c r="AA430" s="113" t="e">
        <v>#N/A</v>
      </c>
      <c r="AB430" s="113" t="e">
        <v>#N/A</v>
      </c>
    </row>
    <row r="431" spans="1:28">
      <c r="A431" s="108">
        <v>430</v>
      </c>
      <c r="B431" s="108"/>
      <c r="C431" s="109">
        <v>46052</v>
      </c>
      <c r="D431" s="110" t="s">
        <v>28</v>
      </c>
      <c r="E431" s="110" t="s">
        <v>5252</v>
      </c>
      <c r="F431" s="110" t="s">
        <v>30</v>
      </c>
      <c r="G431" s="110">
        <v>12</v>
      </c>
      <c r="H431" s="110" t="s">
        <v>167</v>
      </c>
      <c r="I431" s="110" t="s">
        <v>5611</v>
      </c>
      <c r="J431" s="110"/>
      <c r="K431" s="119" t="s">
        <v>169</v>
      </c>
      <c r="L431" s="110" t="s">
        <v>170</v>
      </c>
      <c r="M431" s="116">
        <v>4447.59</v>
      </c>
      <c r="N431" s="116">
        <v>4447.59</v>
      </c>
      <c r="O431" s="111"/>
      <c r="P431" s="112" t="s">
        <v>27</v>
      </c>
      <c r="Q431" s="110" t="s">
        <v>35</v>
      </c>
      <c r="R431" s="110" t="s">
        <v>27</v>
      </c>
      <c r="S431" s="110"/>
      <c r="T431" s="110">
        <f t="shared" si="6"/>
        <v>4447.59</v>
      </c>
      <c r="U431" s="110"/>
      <c r="V431" s="110"/>
      <c r="W431" s="110"/>
      <c r="X431" s="114" t="s">
        <v>89</v>
      </c>
      <c r="Y431" s="114" t="s">
        <v>89</v>
      </c>
      <c r="AA431" s="113" t="e">
        <v>#N/A</v>
      </c>
      <c r="AB431" s="113" t="e">
        <v>#N/A</v>
      </c>
    </row>
    <row r="432" spans="1:28">
      <c r="A432" s="108">
        <v>431</v>
      </c>
      <c r="B432" s="108"/>
      <c r="C432" s="109">
        <v>46052</v>
      </c>
      <c r="D432" s="110" t="s">
        <v>28</v>
      </c>
      <c r="E432" s="110" t="s">
        <v>5252</v>
      </c>
      <c r="F432" s="110" t="s">
        <v>30</v>
      </c>
      <c r="G432" s="110">
        <v>12</v>
      </c>
      <c r="H432" s="110" t="s">
        <v>5612</v>
      </c>
      <c r="I432" s="110" t="s">
        <v>5613</v>
      </c>
      <c r="J432" s="110"/>
      <c r="K432" s="119" t="s">
        <v>5614</v>
      </c>
      <c r="L432" s="110" t="s">
        <v>5615</v>
      </c>
      <c r="M432" s="116">
        <v>5069.96</v>
      </c>
      <c r="N432" s="116">
        <v>5069.96</v>
      </c>
      <c r="O432" s="111"/>
      <c r="P432" s="112" t="s">
        <v>27</v>
      </c>
      <c r="Q432" s="110" t="s">
        <v>35</v>
      </c>
      <c r="R432" s="110" t="s">
        <v>27</v>
      </c>
      <c r="S432" s="110"/>
      <c r="T432" s="110">
        <f t="shared" si="6"/>
        <v>5069.96</v>
      </c>
      <c r="U432" s="110"/>
      <c r="V432" s="110"/>
      <c r="W432" s="110"/>
      <c r="X432" s="114" t="s">
        <v>82</v>
      </c>
      <c r="Y432" s="114" t="s">
        <v>82</v>
      </c>
      <c r="AA432" s="113" t="e">
        <v>#N/A</v>
      </c>
      <c r="AB432" s="113" t="e">
        <v>#N/A</v>
      </c>
    </row>
    <row r="433" spans="1:28">
      <c r="A433" s="108">
        <v>432</v>
      </c>
      <c r="B433" s="108"/>
      <c r="C433" s="109">
        <v>46052</v>
      </c>
      <c r="D433" s="110" t="s">
        <v>28</v>
      </c>
      <c r="E433" s="110" t="s">
        <v>5252</v>
      </c>
      <c r="F433" s="110" t="s">
        <v>30</v>
      </c>
      <c r="G433" s="110">
        <v>12</v>
      </c>
      <c r="H433" s="110" t="s">
        <v>5616</v>
      </c>
      <c r="I433" s="110" t="s">
        <v>5617</v>
      </c>
      <c r="J433" s="110"/>
      <c r="K433" s="119" t="s">
        <v>5618</v>
      </c>
      <c r="L433" s="110" t="s">
        <v>5619</v>
      </c>
      <c r="M433" s="116">
        <v>6094.42</v>
      </c>
      <c r="N433" s="116">
        <v>6094.42</v>
      </c>
      <c r="O433" s="111"/>
      <c r="P433" s="112" t="s">
        <v>27</v>
      </c>
      <c r="Q433" s="110" t="s">
        <v>35</v>
      </c>
      <c r="R433" s="110" t="s">
        <v>27</v>
      </c>
      <c r="S433" s="110"/>
      <c r="T433" s="110">
        <f t="shared" si="6"/>
        <v>6094.42</v>
      </c>
      <c r="U433" s="110"/>
      <c r="V433" s="110"/>
      <c r="W433" s="110"/>
      <c r="X433" s="114" t="s">
        <v>55</v>
      </c>
      <c r="Y433" s="114" t="s">
        <v>55</v>
      </c>
      <c r="AA433" s="113" t="e">
        <v>#N/A</v>
      </c>
      <c r="AB433" s="113" t="e">
        <v>#N/A</v>
      </c>
    </row>
    <row r="434" spans="1:28">
      <c r="A434" s="108">
        <v>433</v>
      </c>
      <c r="B434" s="108" t="s">
        <v>225</v>
      </c>
      <c r="C434" s="109">
        <v>46055</v>
      </c>
      <c r="D434" s="110" t="s">
        <v>28</v>
      </c>
      <c r="E434" s="110" t="s">
        <v>5252</v>
      </c>
      <c r="F434" s="110" t="s">
        <v>30</v>
      </c>
      <c r="G434" s="110">
        <v>15</v>
      </c>
      <c r="H434" s="110" t="s">
        <v>4712</v>
      </c>
      <c r="I434" s="110" t="s">
        <v>4713</v>
      </c>
      <c r="J434" s="110"/>
      <c r="K434" s="119" t="s">
        <v>5620</v>
      </c>
      <c r="L434" s="110" t="s">
        <v>5621</v>
      </c>
      <c r="M434" s="116">
        <v>4995.1499999999996</v>
      </c>
      <c r="N434" s="163">
        <v>4996</v>
      </c>
      <c r="O434" s="111"/>
      <c r="P434" s="112" t="s">
        <v>27</v>
      </c>
      <c r="Q434" s="110" t="s">
        <v>35</v>
      </c>
      <c r="R434" s="110" t="s">
        <v>27</v>
      </c>
      <c r="S434" s="110"/>
      <c r="T434" s="110">
        <f t="shared" si="6"/>
        <v>4996</v>
      </c>
      <c r="U434" s="110"/>
      <c r="V434" s="110"/>
      <c r="W434" s="110"/>
      <c r="X434" s="114" t="s">
        <v>62</v>
      </c>
      <c r="Y434" s="114" t="s">
        <v>62</v>
      </c>
      <c r="AA434" s="113" t="e">
        <v>#N/A</v>
      </c>
      <c r="AB434" s="113" t="e">
        <v>#N/A</v>
      </c>
    </row>
    <row r="435" spans="1:28">
      <c r="A435" s="108">
        <v>434</v>
      </c>
      <c r="B435" s="108" t="s">
        <v>225</v>
      </c>
      <c r="C435" s="109">
        <v>46055</v>
      </c>
      <c r="D435" s="110" t="s">
        <v>28</v>
      </c>
      <c r="E435" s="110" t="s">
        <v>5252</v>
      </c>
      <c r="F435" s="110" t="s">
        <v>30</v>
      </c>
      <c r="G435" s="110">
        <v>15</v>
      </c>
      <c r="H435" s="110" t="s">
        <v>5622</v>
      </c>
      <c r="I435" s="110" t="s">
        <v>5623</v>
      </c>
      <c r="J435" s="110"/>
      <c r="K435" s="119" t="s">
        <v>5624</v>
      </c>
      <c r="L435" s="110" t="s">
        <v>5625</v>
      </c>
      <c r="M435" s="116">
        <v>5813.35</v>
      </c>
      <c r="N435" s="163">
        <v>5828</v>
      </c>
      <c r="O435" s="111">
        <v>46060</v>
      </c>
      <c r="P435" s="112" t="s">
        <v>55</v>
      </c>
      <c r="Q435" s="110" t="s">
        <v>52</v>
      </c>
      <c r="R435" s="110" t="s">
        <v>27</v>
      </c>
      <c r="S435" s="110">
        <v>5814</v>
      </c>
      <c r="T435" s="110">
        <f t="shared" si="6"/>
        <v>14</v>
      </c>
      <c r="U435" s="111">
        <v>46060</v>
      </c>
      <c r="V435" s="110" t="s">
        <v>5626</v>
      </c>
      <c r="W435" s="110"/>
      <c r="X435" s="114" t="s">
        <v>55</v>
      </c>
      <c r="Y435" s="114" t="s">
        <v>55</v>
      </c>
      <c r="AA435" s="113" t="e">
        <v>#N/A</v>
      </c>
      <c r="AB435" s="113" t="e">
        <v>#N/A</v>
      </c>
    </row>
    <row r="436" spans="1:28">
      <c r="A436" s="108">
        <v>435</v>
      </c>
      <c r="B436" s="108" t="s">
        <v>225</v>
      </c>
      <c r="C436" s="109">
        <v>46057</v>
      </c>
      <c r="D436" s="110" t="s">
        <v>28</v>
      </c>
      <c r="E436" s="110" t="s">
        <v>5252</v>
      </c>
      <c r="F436" s="110" t="s">
        <v>30</v>
      </c>
      <c r="G436" s="110">
        <v>17</v>
      </c>
      <c r="H436" s="110" t="s">
        <v>5627</v>
      </c>
      <c r="I436" s="110" t="s">
        <v>5628</v>
      </c>
      <c r="J436" s="110"/>
      <c r="K436" s="119" t="s">
        <v>5629</v>
      </c>
      <c r="L436" s="110" t="s">
        <v>5630</v>
      </c>
      <c r="M436" s="116">
        <v>5348.95</v>
      </c>
      <c r="N436" s="163">
        <v>5348.95</v>
      </c>
      <c r="O436" s="111"/>
      <c r="P436" s="112" t="s">
        <v>27</v>
      </c>
      <c r="Q436" s="110" t="s">
        <v>35</v>
      </c>
      <c r="R436" s="110" t="s">
        <v>27</v>
      </c>
      <c r="S436" s="110"/>
      <c r="T436" s="110">
        <f t="shared" si="6"/>
        <v>5348.95</v>
      </c>
      <c r="U436" s="110"/>
      <c r="V436" s="110"/>
      <c r="W436" s="110"/>
      <c r="X436" s="114" t="s">
        <v>5438</v>
      </c>
      <c r="Y436" s="114" t="s">
        <v>5438</v>
      </c>
      <c r="AA436" s="113" t="e">
        <v>#N/A</v>
      </c>
      <c r="AB436" s="113" t="e">
        <v>#N/A</v>
      </c>
    </row>
    <row r="437" spans="1:28">
      <c r="A437" s="108">
        <v>436</v>
      </c>
      <c r="B437" s="108" t="s">
        <v>225</v>
      </c>
      <c r="C437" s="109">
        <v>46055</v>
      </c>
      <c r="D437" s="110" t="s">
        <v>28</v>
      </c>
      <c r="E437" s="110" t="s">
        <v>5252</v>
      </c>
      <c r="F437" s="110" t="s">
        <v>30</v>
      </c>
      <c r="G437" s="110">
        <v>15</v>
      </c>
      <c r="H437" s="110" t="s">
        <v>5631</v>
      </c>
      <c r="I437" s="110" t="s">
        <v>5632</v>
      </c>
      <c r="J437" s="110"/>
      <c r="K437" s="119" t="s">
        <v>5633</v>
      </c>
      <c r="L437" s="110" t="s">
        <v>5634</v>
      </c>
      <c r="M437" s="116">
        <v>4544.6899999999996</v>
      </c>
      <c r="N437" s="163">
        <v>4544.6899999999996</v>
      </c>
      <c r="O437" s="111"/>
      <c r="P437" s="112" t="s">
        <v>27</v>
      </c>
      <c r="Q437" s="110" t="s">
        <v>35</v>
      </c>
      <c r="R437" s="110" t="s">
        <v>27</v>
      </c>
      <c r="S437" s="110"/>
      <c r="T437" s="110">
        <f t="shared" si="6"/>
        <v>4544.6899999999996</v>
      </c>
      <c r="U437" s="110"/>
      <c r="V437" s="110"/>
      <c r="W437" s="110"/>
      <c r="X437" s="114" t="s">
        <v>76</v>
      </c>
      <c r="Y437" s="114" t="s">
        <v>76</v>
      </c>
      <c r="AA437" s="113" t="e">
        <v>#N/A</v>
      </c>
      <c r="AB437" s="113" t="e">
        <v>#N/A</v>
      </c>
    </row>
    <row r="438" spans="1:28">
      <c r="A438" s="108">
        <v>437</v>
      </c>
      <c r="B438" s="108" t="s">
        <v>225</v>
      </c>
      <c r="C438" s="109">
        <v>46055</v>
      </c>
      <c r="D438" s="110" t="s">
        <v>28</v>
      </c>
      <c r="E438" s="110" t="s">
        <v>5252</v>
      </c>
      <c r="F438" s="110" t="s">
        <v>30</v>
      </c>
      <c r="G438" s="110">
        <v>15</v>
      </c>
      <c r="H438" s="110" t="s">
        <v>5635</v>
      </c>
      <c r="I438" s="110" t="s">
        <v>5636</v>
      </c>
      <c r="J438" s="110"/>
      <c r="K438" s="119" t="s">
        <v>5637</v>
      </c>
      <c r="L438" s="110" t="s">
        <v>5638</v>
      </c>
      <c r="M438" s="116">
        <v>3536.08</v>
      </c>
      <c r="N438" s="163">
        <v>3537</v>
      </c>
      <c r="O438" s="111"/>
      <c r="P438" s="112" t="s">
        <v>27</v>
      </c>
      <c r="Q438" s="110" t="s">
        <v>35</v>
      </c>
      <c r="R438" s="110" t="s">
        <v>27</v>
      </c>
      <c r="S438" s="110"/>
      <c r="T438" s="110">
        <f t="shared" si="6"/>
        <v>3537</v>
      </c>
      <c r="U438" s="110"/>
      <c r="V438" s="110"/>
      <c r="W438" s="110"/>
      <c r="X438" s="114" t="s">
        <v>62</v>
      </c>
      <c r="Y438" s="114" t="s">
        <v>62</v>
      </c>
      <c r="AA438" s="113" t="e">
        <v>#N/A</v>
      </c>
      <c r="AB438" s="113" t="e">
        <v>#N/A</v>
      </c>
    </row>
    <row r="439" spans="1:28">
      <c r="A439" s="108">
        <v>438</v>
      </c>
      <c r="B439" s="108"/>
      <c r="C439" s="109">
        <v>46052</v>
      </c>
      <c r="D439" s="110" t="s">
        <v>28</v>
      </c>
      <c r="E439" s="110" t="s">
        <v>5252</v>
      </c>
      <c r="F439" s="110" t="s">
        <v>30</v>
      </c>
      <c r="G439" s="110">
        <v>12</v>
      </c>
      <c r="H439" s="110" t="s">
        <v>5639</v>
      </c>
      <c r="I439" s="110" t="s">
        <v>5640</v>
      </c>
      <c r="J439" s="110"/>
      <c r="K439" s="119" t="s">
        <v>5641</v>
      </c>
      <c r="L439" s="110" t="s">
        <v>5642</v>
      </c>
      <c r="M439" s="116">
        <v>3645.63</v>
      </c>
      <c r="N439" s="116">
        <v>3645.63</v>
      </c>
      <c r="O439" s="111"/>
      <c r="P439" s="112" t="s">
        <v>27</v>
      </c>
      <c r="Q439" s="110" t="s">
        <v>35</v>
      </c>
      <c r="R439" s="110" t="s">
        <v>27</v>
      </c>
      <c r="S439" s="110"/>
      <c r="T439" s="110">
        <f t="shared" si="6"/>
        <v>3645.63</v>
      </c>
      <c r="U439" s="110"/>
      <c r="V439" s="110"/>
      <c r="W439" s="110"/>
      <c r="X439" s="114" t="s">
        <v>5420</v>
      </c>
      <c r="Y439" s="114" t="s">
        <v>5420</v>
      </c>
      <c r="AA439" s="113" t="e">
        <v>#N/A</v>
      </c>
      <c r="AB439" s="113" t="e">
        <v>#N/A</v>
      </c>
    </row>
    <row r="440" spans="1:28">
      <c r="A440" s="108">
        <v>439</v>
      </c>
      <c r="B440" s="108" t="s">
        <v>225</v>
      </c>
      <c r="C440" s="109">
        <v>46055</v>
      </c>
      <c r="D440" s="110" t="s">
        <v>28</v>
      </c>
      <c r="E440" s="110" t="s">
        <v>5252</v>
      </c>
      <c r="F440" s="110" t="s">
        <v>30</v>
      </c>
      <c r="G440" s="110">
        <v>15</v>
      </c>
      <c r="H440" s="110" t="s">
        <v>5643</v>
      </c>
      <c r="I440" s="110" t="s">
        <v>5644</v>
      </c>
      <c r="J440" s="110"/>
      <c r="K440" s="119" t="s">
        <v>5645</v>
      </c>
      <c r="L440" s="110" t="s">
        <v>5646</v>
      </c>
      <c r="M440" s="116">
        <v>3473.92</v>
      </c>
      <c r="N440" s="163">
        <v>3473.92</v>
      </c>
      <c r="O440" s="111"/>
      <c r="P440" s="112" t="s">
        <v>27</v>
      </c>
      <c r="Q440" s="110" t="s">
        <v>35</v>
      </c>
      <c r="R440" s="110" t="s">
        <v>27</v>
      </c>
      <c r="S440" s="110"/>
      <c r="T440" s="110">
        <f t="shared" si="6"/>
        <v>3473.92</v>
      </c>
      <c r="U440" s="110"/>
      <c r="V440" s="110"/>
      <c r="W440" s="110"/>
      <c r="X440" s="114" t="s">
        <v>4335</v>
      </c>
      <c r="Y440" s="114" t="s">
        <v>4335</v>
      </c>
      <c r="AA440" s="113" t="e">
        <v>#N/A</v>
      </c>
      <c r="AB440" s="113" t="e">
        <v>#N/A</v>
      </c>
    </row>
    <row r="441" spans="1:28">
      <c r="A441" s="108">
        <v>440</v>
      </c>
      <c r="B441" s="108"/>
      <c r="C441" s="109">
        <v>46052</v>
      </c>
      <c r="D441" s="110" t="s">
        <v>28</v>
      </c>
      <c r="E441" s="110" t="s">
        <v>5252</v>
      </c>
      <c r="F441" s="110" t="s">
        <v>30</v>
      </c>
      <c r="G441" s="110">
        <v>12</v>
      </c>
      <c r="H441" s="110" t="s">
        <v>5647</v>
      </c>
      <c r="I441" s="110" t="s">
        <v>5648</v>
      </c>
      <c r="J441" s="110"/>
      <c r="K441" s="119" t="s">
        <v>5649</v>
      </c>
      <c r="L441" s="110" t="s">
        <v>5650</v>
      </c>
      <c r="M441" s="116">
        <v>4322.43</v>
      </c>
      <c r="N441" s="116">
        <v>4322.43</v>
      </c>
      <c r="O441" s="111"/>
      <c r="P441" s="112" t="s">
        <v>27</v>
      </c>
      <c r="Q441" s="110" t="s">
        <v>35</v>
      </c>
      <c r="R441" s="110" t="s">
        <v>27</v>
      </c>
      <c r="S441" s="110"/>
      <c r="T441" s="110">
        <f t="shared" si="6"/>
        <v>4322.43</v>
      </c>
      <c r="U441" s="110"/>
      <c r="V441" s="110"/>
      <c r="W441" s="110"/>
      <c r="X441" s="114" t="s">
        <v>82</v>
      </c>
      <c r="Y441" s="114" t="s">
        <v>82</v>
      </c>
      <c r="AA441" s="113" t="e">
        <v>#N/A</v>
      </c>
      <c r="AB441" s="113" t="e">
        <v>#N/A</v>
      </c>
    </row>
    <row r="442" spans="1:28">
      <c r="A442" s="108">
        <v>441</v>
      </c>
      <c r="B442" s="108" t="s">
        <v>225</v>
      </c>
      <c r="C442" s="109">
        <v>46054</v>
      </c>
      <c r="D442" s="110" t="s">
        <v>28</v>
      </c>
      <c r="E442" s="110" t="s">
        <v>5252</v>
      </c>
      <c r="F442" s="110" t="s">
        <v>30</v>
      </c>
      <c r="G442" s="110">
        <v>14</v>
      </c>
      <c r="H442" s="110" t="s">
        <v>5651</v>
      </c>
      <c r="I442" s="110" t="s">
        <v>5652</v>
      </c>
      <c r="J442" s="110"/>
      <c r="K442" s="119" t="s">
        <v>5653</v>
      </c>
      <c r="L442" s="162" t="s">
        <v>5654</v>
      </c>
      <c r="M442" s="116">
        <v>3037.99</v>
      </c>
      <c r="N442" s="163">
        <v>3048</v>
      </c>
      <c r="O442" s="111"/>
      <c r="P442" s="112" t="s">
        <v>27</v>
      </c>
      <c r="Q442" s="110" t="s">
        <v>35</v>
      </c>
      <c r="R442" s="110" t="s">
        <v>27</v>
      </c>
      <c r="S442" s="110"/>
      <c r="T442" s="110">
        <f t="shared" si="6"/>
        <v>3048</v>
      </c>
      <c r="U442" s="110"/>
      <c r="V442" s="110"/>
      <c r="W442" s="110"/>
      <c r="X442" s="114" t="s">
        <v>62</v>
      </c>
      <c r="Y442" s="114" t="s">
        <v>62</v>
      </c>
      <c r="AA442" s="113" t="e">
        <v>#N/A</v>
      </c>
      <c r="AB442" s="113" t="e">
        <v>#N/A</v>
      </c>
    </row>
    <row r="443" spans="1:28">
      <c r="A443" s="108">
        <v>442</v>
      </c>
      <c r="B443" s="108"/>
      <c r="C443" s="109">
        <v>46052</v>
      </c>
      <c r="D443" s="110" t="s">
        <v>28</v>
      </c>
      <c r="E443" s="110" t="s">
        <v>5252</v>
      </c>
      <c r="F443" s="110" t="s">
        <v>30</v>
      </c>
      <c r="G443" s="110">
        <v>12</v>
      </c>
      <c r="H443" s="110" t="s">
        <v>5655</v>
      </c>
      <c r="I443" s="110" t="s">
        <v>5656</v>
      </c>
      <c r="J443" s="110"/>
      <c r="K443" s="119" t="s">
        <v>5657</v>
      </c>
      <c r="L443" s="110"/>
      <c r="M443" s="116">
        <v>5433.02</v>
      </c>
      <c r="N443" s="116">
        <v>5433.02</v>
      </c>
      <c r="O443" s="111"/>
      <c r="P443" s="112" t="s">
        <v>27</v>
      </c>
      <c r="Q443" s="110" t="s">
        <v>35</v>
      </c>
      <c r="R443" s="110" t="s">
        <v>27</v>
      </c>
      <c r="S443" s="110"/>
      <c r="T443" s="110">
        <f t="shared" si="6"/>
        <v>5433.02</v>
      </c>
      <c r="U443" s="110"/>
      <c r="V443" s="110"/>
      <c r="W443" s="110"/>
      <c r="X443" s="114" t="s">
        <v>62</v>
      </c>
      <c r="Y443" s="114" t="s">
        <v>62</v>
      </c>
      <c r="AA443" s="113" t="e">
        <v>#N/A</v>
      </c>
      <c r="AB443" s="113" t="e">
        <v>#N/A</v>
      </c>
    </row>
    <row r="444" spans="1:28">
      <c r="A444" s="108">
        <v>443</v>
      </c>
      <c r="B444" s="108" t="s">
        <v>225</v>
      </c>
      <c r="C444" s="109">
        <v>46054</v>
      </c>
      <c r="D444" s="110" t="s">
        <v>28</v>
      </c>
      <c r="E444" s="110" t="s">
        <v>5252</v>
      </c>
      <c r="F444" s="110" t="s">
        <v>30</v>
      </c>
      <c r="G444" s="110">
        <v>14</v>
      </c>
      <c r="H444" s="110" t="s">
        <v>5658</v>
      </c>
      <c r="I444" s="110" t="s">
        <v>5659</v>
      </c>
      <c r="J444" s="110"/>
      <c r="K444" s="119" t="s">
        <v>5660</v>
      </c>
      <c r="L444" s="162" t="s">
        <v>5661</v>
      </c>
      <c r="M444" s="116">
        <v>3396.72</v>
      </c>
      <c r="N444" s="116">
        <v>3396.72</v>
      </c>
      <c r="O444" s="111"/>
      <c r="P444" s="112" t="s">
        <v>27</v>
      </c>
      <c r="Q444" s="110" t="s">
        <v>35</v>
      </c>
      <c r="R444" s="110" t="s">
        <v>27</v>
      </c>
      <c r="S444" s="110"/>
      <c r="T444" s="110">
        <f t="shared" si="6"/>
        <v>3396.72</v>
      </c>
      <c r="U444" s="110"/>
      <c r="V444" s="110"/>
      <c r="W444" s="110"/>
      <c r="X444" s="114" t="s">
        <v>5420</v>
      </c>
      <c r="Y444" s="114" t="s">
        <v>5420</v>
      </c>
      <c r="AA444" s="113" t="e">
        <v>#N/A</v>
      </c>
      <c r="AB444" s="113" t="e">
        <v>#N/A</v>
      </c>
    </row>
    <row r="445" spans="1:28">
      <c r="A445" s="108">
        <v>444</v>
      </c>
      <c r="B445" s="108" t="s">
        <v>225</v>
      </c>
      <c r="C445" s="109">
        <v>46054</v>
      </c>
      <c r="D445" s="110" t="s">
        <v>28</v>
      </c>
      <c r="E445" s="110" t="s">
        <v>5252</v>
      </c>
      <c r="F445" s="110" t="s">
        <v>30</v>
      </c>
      <c r="G445" s="110">
        <v>14</v>
      </c>
      <c r="H445" s="110" t="s">
        <v>508</v>
      </c>
      <c r="I445" s="110" t="s">
        <v>5662</v>
      </c>
      <c r="J445" s="110"/>
      <c r="K445" s="119" t="s">
        <v>510</v>
      </c>
      <c r="L445" s="162" t="s">
        <v>511</v>
      </c>
      <c r="M445" s="116">
        <v>4595.3</v>
      </c>
      <c r="N445" s="163">
        <v>4610</v>
      </c>
      <c r="O445" s="111"/>
      <c r="P445" s="112" t="s">
        <v>27</v>
      </c>
      <c r="Q445" s="110" t="s">
        <v>35</v>
      </c>
      <c r="R445" s="110" t="s">
        <v>27</v>
      </c>
      <c r="S445" s="110"/>
      <c r="T445" s="110">
        <f t="shared" si="6"/>
        <v>4610</v>
      </c>
      <c r="U445" s="110"/>
      <c r="V445" s="110"/>
      <c r="W445" s="110"/>
      <c r="X445" s="114" t="s">
        <v>69</v>
      </c>
      <c r="Y445" s="114" t="s">
        <v>69</v>
      </c>
      <c r="AA445" s="113" t="e">
        <v>#N/A</v>
      </c>
      <c r="AB445" s="113" t="e">
        <v>#N/A</v>
      </c>
    </row>
    <row r="446" spans="1:28">
      <c r="A446" s="108">
        <v>445</v>
      </c>
      <c r="B446" s="108"/>
      <c r="C446" s="109">
        <v>46052</v>
      </c>
      <c r="D446" s="110" t="s">
        <v>28</v>
      </c>
      <c r="E446" s="110" t="s">
        <v>5252</v>
      </c>
      <c r="F446" s="110" t="s">
        <v>30</v>
      </c>
      <c r="G446" s="110">
        <v>12</v>
      </c>
      <c r="H446" s="110" t="s">
        <v>5663</v>
      </c>
      <c r="I446" s="110" t="s">
        <v>5664</v>
      </c>
      <c r="J446" s="110"/>
      <c r="K446" s="119" t="s">
        <v>5665</v>
      </c>
      <c r="L446" s="110" t="s">
        <v>3987</v>
      </c>
      <c r="M446" s="116">
        <v>3779.78</v>
      </c>
      <c r="N446" s="116">
        <v>3779.78</v>
      </c>
      <c r="O446" s="111"/>
      <c r="P446" s="112" t="s">
        <v>27</v>
      </c>
      <c r="Q446" s="110" t="s">
        <v>35</v>
      </c>
      <c r="R446" s="110" t="s">
        <v>27</v>
      </c>
      <c r="S446" s="110"/>
      <c r="T446" s="110">
        <f t="shared" si="6"/>
        <v>3779.78</v>
      </c>
      <c r="U446" s="110"/>
      <c r="V446" s="110"/>
      <c r="W446" s="110"/>
      <c r="X446" s="114" t="s">
        <v>69</v>
      </c>
      <c r="Y446" s="114" t="s">
        <v>69</v>
      </c>
      <c r="AA446" s="113" t="e">
        <v>#N/A</v>
      </c>
      <c r="AB446" s="113" t="e">
        <v>#N/A</v>
      </c>
    </row>
    <row r="447" spans="1:28">
      <c r="A447" s="108">
        <v>446</v>
      </c>
      <c r="B447" s="108"/>
      <c r="C447" s="109">
        <v>46052</v>
      </c>
      <c r="D447" s="110" t="s">
        <v>28</v>
      </c>
      <c r="E447" s="110" t="s">
        <v>5252</v>
      </c>
      <c r="F447" s="110" t="s">
        <v>30</v>
      </c>
      <c r="G447" s="110">
        <v>12</v>
      </c>
      <c r="H447" s="110" t="s">
        <v>5666</v>
      </c>
      <c r="I447" s="110" t="s">
        <v>5667</v>
      </c>
      <c r="J447" s="110"/>
      <c r="K447" s="119" t="s">
        <v>5668</v>
      </c>
      <c r="L447" s="110" t="s">
        <v>5669</v>
      </c>
      <c r="M447" s="116">
        <v>4730.6099999999997</v>
      </c>
      <c r="N447" s="116">
        <v>4730.6099999999997</v>
      </c>
      <c r="O447" s="111"/>
      <c r="P447" s="112" t="s">
        <v>27</v>
      </c>
      <c r="Q447" s="110" t="s">
        <v>35</v>
      </c>
      <c r="R447" s="110" t="s">
        <v>27</v>
      </c>
      <c r="S447" s="110"/>
      <c r="T447" s="110">
        <f t="shared" si="6"/>
        <v>4730.6099999999997</v>
      </c>
      <c r="U447" s="110"/>
      <c r="V447" s="110"/>
      <c r="W447" s="110"/>
      <c r="X447" s="114" t="s">
        <v>444</v>
      </c>
      <c r="Y447" s="114" t="s">
        <v>444</v>
      </c>
      <c r="AA447" s="113" t="e">
        <v>#N/A</v>
      </c>
      <c r="AB447" s="113" t="e">
        <v>#N/A</v>
      </c>
    </row>
    <row r="448" spans="1:28">
      <c r="A448" s="108">
        <v>447</v>
      </c>
      <c r="B448" s="108" t="s">
        <v>225</v>
      </c>
      <c r="C448" s="109">
        <v>46058</v>
      </c>
      <c r="D448" s="110" t="s">
        <v>28</v>
      </c>
      <c r="E448" s="110" t="s">
        <v>5252</v>
      </c>
      <c r="F448" s="110" t="s">
        <v>30</v>
      </c>
      <c r="G448" s="110">
        <v>18</v>
      </c>
      <c r="H448" s="110" t="s">
        <v>5670</v>
      </c>
      <c r="I448" s="110" t="s">
        <v>5671</v>
      </c>
      <c r="J448" s="110"/>
      <c r="K448" s="119" t="s">
        <v>5672</v>
      </c>
      <c r="L448" s="162" t="s">
        <v>5673</v>
      </c>
      <c r="M448" s="116">
        <v>3286.87</v>
      </c>
      <c r="N448" s="116">
        <v>3286.87</v>
      </c>
      <c r="O448" s="111"/>
      <c r="P448" s="112" t="s">
        <v>27</v>
      </c>
      <c r="Q448" s="110" t="s">
        <v>35</v>
      </c>
      <c r="R448" s="110" t="s">
        <v>27</v>
      </c>
      <c r="S448" s="110"/>
      <c r="T448" s="110">
        <f t="shared" si="6"/>
        <v>3286.87</v>
      </c>
      <c r="U448" s="110"/>
      <c r="V448" s="110"/>
      <c r="W448" s="110"/>
      <c r="X448" s="114" t="s">
        <v>117</v>
      </c>
      <c r="Y448" s="114" t="s">
        <v>117</v>
      </c>
      <c r="AA448" s="113" t="e">
        <v>#N/A</v>
      </c>
      <c r="AB448" s="113" t="e">
        <v>#N/A</v>
      </c>
    </row>
    <row r="449" spans="1:28">
      <c r="A449" s="108">
        <v>448</v>
      </c>
      <c r="B449" s="108" t="s">
        <v>225</v>
      </c>
      <c r="C449" s="109">
        <v>46058</v>
      </c>
      <c r="D449" s="110" t="s">
        <v>28</v>
      </c>
      <c r="E449" s="110" t="s">
        <v>5252</v>
      </c>
      <c r="F449" s="110" t="s">
        <v>30</v>
      </c>
      <c r="G449" s="110">
        <v>18</v>
      </c>
      <c r="H449" s="110" t="s">
        <v>5674</v>
      </c>
      <c r="I449" s="110" t="s">
        <v>5675</v>
      </c>
      <c r="J449" s="110"/>
      <c r="K449" s="119" t="s">
        <v>5676</v>
      </c>
      <c r="L449" s="162" t="s">
        <v>5677</v>
      </c>
      <c r="M449" s="116">
        <v>2202.96</v>
      </c>
      <c r="N449" s="116">
        <v>2202.96</v>
      </c>
      <c r="O449" s="111"/>
      <c r="P449" s="112" t="s">
        <v>27</v>
      </c>
      <c r="Q449" s="110" t="s">
        <v>35</v>
      </c>
      <c r="R449" s="110" t="s">
        <v>27</v>
      </c>
      <c r="S449" s="110"/>
      <c r="T449" s="110">
        <f t="shared" si="6"/>
        <v>2202.96</v>
      </c>
      <c r="U449" s="110"/>
      <c r="V449" s="110"/>
      <c r="W449" s="110"/>
      <c r="X449" s="114" t="s">
        <v>37</v>
      </c>
      <c r="Y449" s="114" t="s">
        <v>37</v>
      </c>
      <c r="AA449" s="113" t="e">
        <v>#N/A</v>
      </c>
      <c r="AB449" s="113" t="e">
        <v>#N/A</v>
      </c>
    </row>
    <row r="450" spans="1:28">
      <c r="A450" s="108">
        <v>449</v>
      </c>
      <c r="B450" s="108"/>
      <c r="C450" s="109">
        <v>46052</v>
      </c>
      <c r="D450" s="110" t="s">
        <v>28</v>
      </c>
      <c r="E450" s="110" t="s">
        <v>5252</v>
      </c>
      <c r="F450" s="110" t="s">
        <v>30</v>
      </c>
      <c r="G450" s="110">
        <v>12</v>
      </c>
      <c r="H450" s="110" t="s">
        <v>5678</v>
      </c>
      <c r="I450" s="110" t="s">
        <v>5679</v>
      </c>
      <c r="J450" s="110"/>
      <c r="K450" s="119" t="s">
        <v>5680</v>
      </c>
      <c r="L450" s="110" t="s">
        <v>5650</v>
      </c>
      <c r="M450" s="116">
        <v>3686.69</v>
      </c>
      <c r="N450" s="116">
        <v>3686.69</v>
      </c>
      <c r="O450" s="111"/>
      <c r="P450" s="112" t="s">
        <v>27</v>
      </c>
      <c r="Q450" s="110" t="s">
        <v>35</v>
      </c>
      <c r="R450" s="110" t="s">
        <v>27</v>
      </c>
      <c r="S450" s="110"/>
      <c r="T450" s="110">
        <f t="shared" si="6"/>
        <v>3686.69</v>
      </c>
      <c r="U450" s="110"/>
      <c r="V450" s="110"/>
      <c r="W450" s="110"/>
      <c r="X450" s="114" t="s">
        <v>55</v>
      </c>
      <c r="Y450" s="114" t="s">
        <v>55</v>
      </c>
      <c r="AA450" s="113" t="e">
        <v>#N/A</v>
      </c>
      <c r="AB450" s="113" t="e">
        <v>#N/A</v>
      </c>
    </row>
    <row r="451" spans="1:28">
      <c r="A451" s="108">
        <v>450</v>
      </c>
      <c r="B451" s="108"/>
      <c r="C451" s="109">
        <v>46052</v>
      </c>
      <c r="D451" s="110" t="s">
        <v>28</v>
      </c>
      <c r="E451" s="110" t="s">
        <v>5252</v>
      </c>
      <c r="F451" s="110" t="s">
        <v>30</v>
      </c>
      <c r="G451" s="110">
        <v>12</v>
      </c>
      <c r="H451" s="110" t="s">
        <v>5681</v>
      </c>
      <c r="I451" s="110" t="s">
        <v>5682</v>
      </c>
      <c r="J451" s="110"/>
      <c r="K451" s="119" t="s">
        <v>5683</v>
      </c>
      <c r="L451" s="110" t="s">
        <v>5684</v>
      </c>
      <c r="M451" s="116">
        <v>3010.54</v>
      </c>
      <c r="N451" s="116">
        <v>3010.54</v>
      </c>
      <c r="O451" s="111"/>
      <c r="P451" s="112" t="s">
        <v>27</v>
      </c>
      <c r="Q451" s="110" t="s">
        <v>35</v>
      </c>
      <c r="R451" s="110" t="s">
        <v>27</v>
      </c>
      <c r="S451" s="110"/>
      <c r="T451" s="110">
        <f t="shared" si="6"/>
        <v>3010.54</v>
      </c>
      <c r="U451" s="110"/>
      <c r="V451" s="110"/>
      <c r="W451" s="110"/>
      <c r="X451" s="114" t="s">
        <v>5438</v>
      </c>
      <c r="Y451" s="114" t="s">
        <v>5438</v>
      </c>
      <c r="AA451" s="113" t="e">
        <v>#N/A</v>
      </c>
      <c r="AB451" s="113" t="e">
        <v>#N/A</v>
      </c>
    </row>
    <row r="452" spans="1:28">
      <c r="A452" s="108">
        <v>451</v>
      </c>
      <c r="B452" s="108" t="s">
        <v>225</v>
      </c>
      <c r="C452" s="109">
        <v>46057</v>
      </c>
      <c r="D452" s="110" t="s">
        <v>28</v>
      </c>
      <c r="E452" s="110" t="s">
        <v>5252</v>
      </c>
      <c r="F452" s="110" t="s">
        <v>30</v>
      </c>
      <c r="G452" s="110">
        <v>17</v>
      </c>
      <c r="H452" s="110" t="s">
        <v>5685</v>
      </c>
      <c r="I452" s="110" t="s">
        <v>5686</v>
      </c>
      <c r="J452" s="110"/>
      <c r="K452" s="119" t="s">
        <v>5687</v>
      </c>
      <c r="L452" s="110" t="s">
        <v>5688</v>
      </c>
      <c r="M452" s="116">
        <v>4627.6099999999997</v>
      </c>
      <c r="N452" s="163">
        <v>4627.6099999999997</v>
      </c>
      <c r="O452" s="111"/>
      <c r="P452" s="112" t="s">
        <v>27</v>
      </c>
      <c r="Q452" s="110" t="s">
        <v>35</v>
      </c>
      <c r="R452" s="110" t="s">
        <v>27</v>
      </c>
      <c r="S452" s="110"/>
      <c r="T452" s="110">
        <f t="shared" ref="T452:T515" si="7">N452-S452</f>
        <v>4627.6099999999997</v>
      </c>
      <c r="U452" s="110"/>
      <c r="V452" s="110"/>
      <c r="W452" s="110"/>
      <c r="X452" s="114" t="s">
        <v>89</v>
      </c>
      <c r="Y452" s="114" t="s">
        <v>89</v>
      </c>
      <c r="AA452" s="113" t="e">
        <v>#N/A</v>
      </c>
      <c r="AB452" s="113" t="e">
        <v>#N/A</v>
      </c>
    </row>
    <row r="453" spans="1:28">
      <c r="A453" s="108">
        <v>452</v>
      </c>
      <c r="B453" s="108" t="s">
        <v>5010</v>
      </c>
      <c r="C453" s="109">
        <v>46058</v>
      </c>
      <c r="D453" s="110" t="s">
        <v>28</v>
      </c>
      <c r="E453" s="110" t="s">
        <v>5252</v>
      </c>
      <c r="F453" s="110" t="s">
        <v>30</v>
      </c>
      <c r="G453" s="110">
        <v>18</v>
      </c>
      <c r="H453" s="110" t="s">
        <v>4844</v>
      </c>
      <c r="I453" s="110" t="s">
        <v>4845</v>
      </c>
      <c r="J453" s="110"/>
      <c r="K453" s="119" t="s">
        <v>4846</v>
      </c>
      <c r="L453" s="162"/>
      <c r="M453" s="116">
        <v>4182.26</v>
      </c>
      <c r="N453" s="116">
        <v>4182.26</v>
      </c>
      <c r="O453" s="111"/>
      <c r="P453" s="112" t="s">
        <v>27</v>
      </c>
      <c r="Q453" s="110" t="s">
        <v>35</v>
      </c>
      <c r="R453" s="110" t="s">
        <v>27</v>
      </c>
      <c r="S453" s="110"/>
      <c r="T453" s="110">
        <f t="shared" si="7"/>
        <v>4182.26</v>
      </c>
      <c r="U453" s="110"/>
      <c r="V453" s="110"/>
      <c r="W453" s="110"/>
      <c r="X453" s="114" t="s">
        <v>62</v>
      </c>
      <c r="Y453" s="114" t="s">
        <v>62</v>
      </c>
      <c r="AA453" s="113" t="e">
        <v>#N/A</v>
      </c>
      <c r="AB453" s="113" t="e">
        <v>#N/A</v>
      </c>
    </row>
    <row r="454" spans="1:28">
      <c r="A454" s="108">
        <v>453</v>
      </c>
      <c r="B454" s="108" t="s">
        <v>225</v>
      </c>
      <c r="C454" s="109">
        <v>46055</v>
      </c>
      <c r="D454" s="110" t="s">
        <v>28</v>
      </c>
      <c r="E454" s="110" t="s">
        <v>5252</v>
      </c>
      <c r="F454" s="110" t="s">
        <v>30</v>
      </c>
      <c r="G454" s="110">
        <v>15</v>
      </c>
      <c r="H454" s="110" t="s">
        <v>5689</v>
      </c>
      <c r="I454" s="110" t="s">
        <v>5690</v>
      </c>
      <c r="J454" s="110"/>
      <c r="K454" s="119" t="s">
        <v>5691</v>
      </c>
      <c r="L454" s="110" t="s">
        <v>5692</v>
      </c>
      <c r="M454" s="116">
        <v>3019.09</v>
      </c>
      <c r="N454" s="163">
        <v>3020</v>
      </c>
      <c r="O454" s="111"/>
      <c r="P454" s="112" t="s">
        <v>27</v>
      </c>
      <c r="Q454" s="110" t="s">
        <v>35</v>
      </c>
      <c r="R454" s="110" t="s">
        <v>27</v>
      </c>
      <c r="S454" s="110"/>
      <c r="T454" s="110">
        <f t="shared" si="7"/>
        <v>3020</v>
      </c>
      <c r="U454" s="110"/>
      <c r="V454" s="110"/>
      <c r="W454" s="110"/>
      <c r="X454" s="114" t="s">
        <v>5693</v>
      </c>
      <c r="Y454" s="114" t="s">
        <v>5693</v>
      </c>
      <c r="AA454" s="113" t="e">
        <v>#N/A</v>
      </c>
      <c r="AB454" s="113" t="e">
        <v>#N/A</v>
      </c>
    </row>
    <row r="455" spans="1:28">
      <c r="A455" s="108">
        <v>454</v>
      </c>
      <c r="B455" s="108" t="s">
        <v>225</v>
      </c>
      <c r="C455" s="109">
        <v>46054</v>
      </c>
      <c r="D455" s="110" t="s">
        <v>28</v>
      </c>
      <c r="E455" s="110" t="s">
        <v>5252</v>
      </c>
      <c r="F455" s="110" t="s">
        <v>30</v>
      </c>
      <c r="G455" s="110">
        <v>14</v>
      </c>
      <c r="H455" s="110" t="s">
        <v>5694</v>
      </c>
      <c r="I455" s="110" t="s">
        <v>5695</v>
      </c>
      <c r="J455" s="110"/>
      <c r="K455" s="119" t="s">
        <v>5696</v>
      </c>
      <c r="L455" s="162" t="s">
        <v>5697</v>
      </c>
      <c r="M455" s="116">
        <v>2832.29</v>
      </c>
      <c r="N455" s="163">
        <v>2843</v>
      </c>
      <c r="O455" s="111"/>
      <c r="P455" s="112" t="s">
        <v>27</v>
      </c>
      <c r="Q455" s="110" t="s">
        <v>35</v>
      </c>
      <c r="R455" s="110" t="s">
        <v>27</v>
      </c>
      <c r="S455" s="110"/>
      <c r="T455" s="110">
        <f t="shared" si="7"/>
        <v>2843</v>
      </c>
      <c r="U455" s="110"/>
      <c r="V455" s="110"/>
      <c r="W455" s="110"/>
      <c r="X455" s="114" t="s">
        <v>444</v>
      </c>
      <c r="Y455" s="114" t="s">
        <v>444</v>
      </c>
      <c r="AA455" s="113" t="e">
        <v>#N/A</v>
      </c>
      <c r="AB455" s="113" t="e">
        <v>#N/A</v>
      </c>
    </row>
    <row r="456" spans="1:28">
      <c r="A456" s="108">
        <v>455</v>
      </c>
      <c r="B456" s="108" t="s">
        <v>225</v>
      </c>
      <c r="C456" s="109">
        <v>46055</v>
      </c>
      <c r="D456" s="110" t="s">
        <v>28</v>
      </c>
      <c r="E456" s="110" t="s">
        <v>5252</v>
      </c>
      <c r="F456" s="110" t="s">
        <v>30</v>
      </c>
      <c r="G456" s="110">
        <v>15</v>
      </c>
      <c r="H456" s="110" t="s">
        <v>5698</v>
      </c>
      <c r="I456" s="110" t="s">
        <v>5699</v>
      </c>
      <c r="J456" s="110"/>
      <c r="K456" s="119" t="s">
        <v>5700</v>
      </c>
      <c r="L456" s="110" t="s">
        <v>5701</v>
      </c>
      <c r="M456" s="116">
        <v>2890.85</v>
      </c>
      <c r="N456" s="163">
        <v>2890.85</v>
      </c>
      <c r="O456" s="111"/>
      <c r="P456" s="112" t="s">
        <v>27</v>
      </c>
      <c r="Q456" s="110" t="s">
        <v>35</v>
      </c>
      <c r="R456" s="110" t="s">
        <v>27</v>
      </c>
      <c r="S456" s="110"/>
      <c r="T456" s="110">
        <f t="shared" si="7"/>
        <v>2890.85</v>
      </c>
      <c r="U456" s="110"/>
      <c r="V456" s="110"/>
      <c r="W456" s="110"/>
      <c r="X456" s="114" t="s">
        <v>4335</v>
      </c>
      <c r="Y456" s="114" t="s">
        <v>4335</v>
      </c>
      <c r="AA456" s="113" t="e">
        <v>#N/A</v>
      </c>
      <c r="AB456" s="113" t="e">
        <v>#N/A</v>
      </c>
    </row>
    <row r="457" spans="1:28">
      <c r="A457" s="108">
        <v>456</v>
      </c>
      <c r="B457" s="108"/>
      <c r="C457" s="109">
        <v>46052</v>
      </c>
      <c r="D457" s="110" t="s">
        <v>28</v>
      </c>
      <c r="E457" s="110" t="s">
        <v>5252</v>
      </c>
      <c r="F457" s="110" t="s">
        <v>30</v>
      </c>
      <c r="G457" s="110">
        <v>12</v>
      </c>
      <c r="H457" s="110" t="s">
        <v>5702</v>
      </c>
      <c r="I457" s="110" t="s">
        <v>5703</v>
      </c>
      <c r="J457" s="110"/>
      <c r="K457" s="119" t="s">
        <v>5704</v>
      </c>
      <c r="L457" s="110" t="s">
        <v>5705</v>
      </c>
      <c r="M457" s="116">
        <v>2999.82</v>
      </c>
      <c r="N457" s="116">
        <v>2999.82</v>
      </c>
      <c r="O457" s="111"/>
      <c r="P457" s="112" t="s">
        <v>27</v>
      </c>
      <c r="Q457" s="110" t="s">
        <v>35</v>
      </c>
      <c r="R457" s="110" t="s">
        <v>27</v>
      </c>
      <c r="S457" s="110"/>
      <c r="T457" s="110">
        <f t="shared" si="7"/>
        <v>2999.82</v>
      </c>
      <c r="U457" s="110"/>
      <c r="V457" s="110"/>
      <c r="W457" s="110"/>
      <c r="X457" s="114" t="s">
        <v>55</v>
      </c>
      <c r="Y457" s="114" t="s">
        <v>55</v>
      </c>
      <c r="AA457" s="113" t="e">
        <v>#N/A</v>
      </c>
      <c r="AB457" s="113" t="e">
        <v>#N/A</v>
      </c>
    </row>
    <row r="458" spans="1:28">
      <c r="A458" s="108">
        <v>457</v>
      </c>
      <c r="B458" s="108" t="s">
        <v>225</v>
      </c>
      <c r="C458" s="109">
        <v>46054</v>
      </c>
      <c r="D458" s="110" t="s">
        <v>28</v>
      </c>
      <c r="E458" s="110" t="s">
        <v>5252</v>
      </c>
      <c r="F458" s="110" t="s">
        <v>30</v>
      </c>
      <c r="G458" s="110">
        <v>14</v>
      </c>
      <c r="H458" s="110" t="s">
        <v>5706</v>
      </c>
      <c r="I458" s="110" t="s">
        <v>5707</v>
      </c>
      <c r="J458" s="110"/>
      <c r="K458" s="119" t="s">
        <v>5708</v>
      </c>
      <c r="L458" s="162" t="s">
        <v>5709</v>
      </c>
      <c r="M458" s="116">
        <v>3465.33</v>
      </c>
      <c r="N458" s="163">
        <v>3465.33</v>
      </c>
      <c r="O458" s="111"/>
      <c r="P458" s="112" t="s">
        <v>27</v>
      </c>
      <c r="Q458" s="110" t="s">
        <v>35</v>
      </c>
      <c r="R458" s="110" t="s">
        <v>27</v>
      </c>
      <c r="S458" s="110"/>
      <c r="T458" s="110">
        <f t="shared" si="7"/>
        <v>3465.33</v>
      </c>
      <c r="U458" s="110"/>
      <c r="V458" s="110"/>
      <c r="W458" s="110"/>
      <c r="X458" s="114" t="s">
        <v>4335</v>
      </c>
      <c r="Y458" s="114" t="s">
        <v>4335</v>
      </c>
      <c r="AA458" s="113" t="e">
        <v>#N/A</v>
      </c>
      <c r="AB458" s="113" t="e">
        <v>#N/A</v>
      </c>
    </row>
    <row r="459" spans="1:28">
      <c r="A459" s="108">
        <v>458</v>
      </c>
      <c r="B459" s="108"/>
      <c r="C459" s="109">
        <v>46054</v>
      </c>
      <c r="D459" s="110" t="s">
        <v>28</v>
      </c>
      <c r="E459" s="110" t="s">
        <v>5252</v>
      </c>
      <c r="F459" s="110" t="s">
        <v>30</v>
      </c>
      <c r="G459" s="110">
        <v>14</v>
      </c>
      <c r="H459" s="110" t="s">
        <v>5710</v>
      </c>
      <c r="I459" s="110" t="s">
        <v>5711</v>
      </c>
      <c r="J459" s="110"/>
      <c r="K459" s="119" t="s">
        <v>5712</v>
      </c>
      <c r="L459" s="110"/>
      <c r="M459" s="116">
        <v>3624.44</v>
      </c>
      <c r="N459" s="116">
        <v>3624.44</v>
      </c>
      <c r="O459" s="111"/>
      <c r="P459" s="112" t="s">
        <v>27</v>
      </c>
      <c r="Q459" s="110" t="s">
        <v>35</v>
      </c>
      <c r="R459" s="110" t="s">
        <v>27</v>
      </c>
      <c r="S459" s="110"/>
      <c r="T459" s="110">
        <f t="shared" si="7"/>
        <v>3624.44</v>
      </c>
      <c r="U459" s="110"/>
      <c r="V459" s="110"/>
      <c r="W459" s="110"/>
      <c r="X459" s="114" t="s">
        <v>55</v>
      </c>
      <c r="Y459" s="114" t="s">
        <v>55</v>
      </c>
      <c r="AA459" s="113" t="e">
        <v>#N/A</v>
      </c>
      <c r="AB459" s="113" t="e">
        <v>#N/A</v>
      </c>
    </row>
    <row r="460" spans="1:28">
      <c r="A460" s="108">
        <v>459</v>
      </c>
      <c r="B460" s="108"/>
      <c r="C460" s="109">
        <v>46052</v>
      </c>
      <c r="D460" s="110" t="s">
        <v>28</v>
      </c>
      <c r="E460" s="110" t="s">
        <v>5252</v>
      </c>
      <c r="F460" s="110" t="s">
        <v>30</v>
      </c>
      <c r="G460" s="110">
        <v>12</v>
      </c>
      <c r="H460" s="110" t="s">
        <v>5713</v>
      </c>
      <c r="I460" s="110" t="s">
        <v>5714</v>
      </c>
      <c r="J460" s="110"/>
      <c r="K460" s="119" t="s">
        <v>5715</v>
      </c>
      <c r="L460" s="110"/>
      <c r="M460" s="116">
        <v>4332.63</v>
      </c>
      <c r="N460" s="116">
        <v>4332.63</v>
      </c>
      <c r="O460" s="111"/>
      <c r="P460" s="112" t="s">
        <v>27</v>
      </c>
      <c r="Q460" s="110" t="s">
        <v>35</v>
      </c>
      <c r="R460" s="110" t="s">
        <v>27</v>
      </c>
      <c r="S460" s="110"/>
      <c r="T460" s="110">
        <f t="shared" si="7"/>
        <v>4332.63</v>
      </c>
      <c r="U460" s="110"/>
      <c r="V460" s="110"/>
      <c r="W460" s="110"/>
      <c r="X460" s="114" t="s">
        <v>55</v>
      </c>
      <c r="Y460" s="114" t="s">
        <v>55</v>
      </c>
      <c r="AA460" s="113" t="e">
        <v>#N/A</v>
      </c>
      <c r="AB460" s="113" t="e">
        <v>#N/A</v>
      </c>
    </row>
    <row r="461" spans="1:28">
      <c r="A461" s="108">
        <v>460</v>
      </c>
      <c r="B461" s="108" t="s">
        <v>225</v>
      </c>
      <c r="C461" s="109">
        <v>46055</v>
      </c>
      <c r="D461" s="110" t="s">
        <v>28</v>
      </c>
      <c r="E461" s="110" t="s">
        <v>5252</v>
      </c>
      <c r="F461" s="110" t="s">
        <v>30</v>
      </c>
      <c r="G461" s="110">
        <v>15</v>
      </c>
      <c r="H461" s="110" t="s">
        <v>5716</v>
      </c>
      <c r="I461" s="110" t="s">
        <v>5717</v>
      </c>
      <c r="J461" s="110"/>
      <c r="K461" s="119" t="s">
        <v>5718</v>
      </c>
      <c r="L461" s="110" t="s">
        <v>5719</v>
      </c>
      <c r="M461" s="116">
        <v>2642.67</v>
      </c>
      <c r="N461" s="163">
        <v>2642.67</v>
      </c>
      <c r="O461" s="111"/>
      <c r="P461" s="112" t="s">
        <v>27</v>
      </c>
      <c r="Q461" s="110" t="s">
        <v>35</v>
      </c>
      <c r="R461" s="110" t="s">
        <v>27</v>
      </c>
      <c r="S461" s="110"/>
      <c r="T461" s="110">
        <f t="shared" si="7"/>
        <v>2642.67</v>
      </c>
      <c r="U461" s="110"/>
      <c r="V461" s="110"/>
      <c r="W461" s="110"/>
      <c r="X461" s="114" t="s">
        <v>76</v>
      </c>
      <c r="Y461" s="114" t="s">
        <v>76</v>
      </c>
      <c r="AA461" s="113" t="e">
        <v>#N/A</v>
      </c>
      <c r="AB461" s="113" t="e">
        <v>#N/A</v>
      </c>
    </row>
    <row r="462" spans="1:28">
      <c r="A462" s="108">
        <v>461</v>
      </c>
      <c r="B462" s="108" t="s">
        <v>225</v>
      </c>
      <c r="C462" s="109">
        <v>46054</v>
      </c>
      <c r="D462" s="110" t="s">
        <v>28</v>
      </c>
      <c r="E462" s="110" t="s">
        <v>5252</v>
      </c>
      <c r="F462" s="110" t="s">
        <v>30</v>
      </c>
      <c r="G462" s="110">
        <v>14</v>
      </c>
      <c r="H462" s="110" t="s">
        <v>5720</v>
      </c>
      <c r="I462" s="110" t="s">
        <v>5721</v>
      </c>
      <c r="J462" s="110"/>
      <c r="K462" s="119" t="s">
        <v>5722</v>
      </c>
      <c r="L462" s="162" t="s">
        <v>5723</v>
      </c>
      <c r="M462" s="116">
        <v>860.73</v>
      </c>
      <c r="N462" s="163">
        <v>875</v>
      </c>
      <c r="O462" s="111"/>
      <c r="P462" s="112" t="s">
        <v>27</v>
      </c>
      <c r="Q462" s="110" t="s">
        <v>35</v>
      </c>
      <c r="R462" s="110" t="s">
        <v>27</v>
      </c>
      <c r="S462" s="110"/>
      <c r="T462" s="110">
        <f t="shared" si="7"/>
        <v>875</v>
      </c>
      <c r="U462" s="110"/>
      <c r="V462" s="110"/>
      <c r="W462" s="110"/>
      <c r="X462" s="114" t="s">
        <v>82</v>
      </c>
      <c r="Y462" s="114" t="s">
        <v>82</v>
      </c>
      <c r="AA462" s="113" t="e">
        <v>#N/A</v>
      </c>
      <c r="AB462" s="113" t="e">
        <v>#N/A</v>
      </c>
    </row>
    <row r="463" spans="1:28">
      <c r="A463" s="108">
        <v>462</v>
      </c>
      <c r="B463" s="108"/>
      <c r="C463" s="109">
        <v>46052</v>
      </c>
      <c r="D463" s="110" t="s">
        <v>28</v>
      </c>
      <c r="E463" s="110" t="s">
        <v>5252</v>
      </c>
      <c r="F463" s="110" t="s">
        <v>30</v>
      </c>
      <c r="G463" s="110">
        <v>12</v>
      </c>
      <c r="H463" s="110" t="s">
        <v>4357</v>
      </c>
      <c r="I463" s="110" t="s">
        <v>4358</v>
      </c>
      <c r="J463" s="110"/>
      <c r="K463" s="119" t="s">
        <v>4359</v>
      </c>
      <c r="L463" s="110"/>
      <c r="M463" s="116">
        <v>3814.4</v>
      </c>
      <c r="N463" s="116">
        <v>3814.4</v>
      </c>
      <c r="O463" s="111"/>
      <c r="P463" s="112" t="s">
        <v>27</v>
      </c>
      <c r="Q463" s="110" t="s">
        <v>35</v>
      </c>
      <c r="R463" s="110" t="s">
        <v>27</v>
      </c>
      <c r="S463" s="110"/>
      <c r="T463" s="110">
        <f t="shared" si="7"/>
        <v>3814.4</v>
      </c>
      <c r="U463" s="110"/>
      <c r="V463" s="110"/>
      <c r="W463" s="110"/>
      <c r="X463" s="114" t="s">
        <v>117</v>
      </c>
      <c r="Y463" s="114" t="s">
        <v>117</v>
      </c>
      <c r="AA463" s="113" t="e">
        <v>#N/A</v>
      </c>
      <c r="AB463" s="113" t="e">
        <v>#N/A</v>
      </c>
    </row>
    <row r="464" spans="1:28">
      <c r="A464" s="108">
        <v>463</v>
      </c>
      <c r="B464" s="108"/>
      <c r="C464" s="109">
        <v>46052</v>
      </c>
      <c r="D464" s="110" t="s">
        <v>28</v>
      </c>
      <c r="E464" s="110" t="s">
        <v>5252</v>
      </c>
      <c r="F464" s="110" t="s">
        <v>30</v>
      </c>
      <c r="G464" s="110">
        <v>12</v>
      </c>
      <c r="H464" s="110" t="s">
        <v>5724</v>
      </c>
      <c r="I464" s="110" t="s">
        <v>5725</v>
      </c>
      <c r="J464" s="110"/>
      <c r="K464" s="119" t="s">
        <v>5726</v>
      </c>
      <c r="L464" s="110" t="s">
        <v>5727</v>
      </c>
      <c r="M464" s="116">
        <v>2536.2399999999998</v>
      </c>
      <c r="N464" s="116">
        <v>2536.2399999999998</v>
      </c>
      <c r="O464" s="111"/>
      <c r="P464" s="112" t="s">
        <v>27</v>
      </c>
      <c r="Q464" s="110" t="s">
        <v>35</v>
      </c>
      <c r="R464" s="110" t="s">
        <v>27</v>
      </c>
      <c r="S464" s="110"/>
      <c r="T464" s="110">
        <f t="shared" si="7"/>
        <v>2536.2399999999998</v>
      </c>
      <c r="U464" s="110"/>
      <c r="V464" s="110"/>
      <c r="W464" s="110"/>
      <c r="X464" s="114" t="s">
        <v>69</v>
      </c>
      <c r="Y464" s="114" t="s">
        <v>69</v>
      </c>
      <c r="AA464" s="113" t="e">
        <v>#N/A</v>
      </c>
      <c r="AB464" s="113" t="e">
        <v>#N/A</v>
      </c>
    </row>
    <row r="465" spans="1:28">
      <c r="A465" s="108">
        <v>464</v>
      </c>
      <c r="B465" s="108" t="s">
        <v>225</v>
      </c>
      <c r="C465" s="109">
        <v>46057</v>
      </c>
      <c r="D465" s="110" t="s">
        <v>28</v>
      </c>
      <c r="E465" s="110" t="s">
        <v>5252</v>
      </c>
      <c r="F465" s="110" t="s">
        <v>30</v>
      </c>
      <c r="G465" s="110">
        <v>17</v>
      </c>
      <c r="H465" s="110" t="s">
        <v>5728</v>
      </c>
      <c r="I465" s="110" t="s">
        <v>5729</v>
      </c>
      <c r="J465" s="110"/>
      <c r="K465" s="119" t="s">
        <v>5730</v>
      </c>
      <c r="L465" s="110" t="s">
        <v>5731</v>
      </c>
      <c r="M465" s="116">
        <v>4037.94</v>
      </c>
      <c r="N465" s="163">
        <v>4037.94</v>
      </c>
      <c r="O465" s="111">
        <v>0</v>
      </c>
      <c r="P465" s="112" t="s">
        <v>124</v>
      </c>
      <c r="Q465" s="110" t="s">
        <v>52</v>
      </c>
      <c r="R465" s="110" t="s">
        <v>27</v>
      </c>
      <c r="S465" s="110">
        <v>4048</v>
      </c>
      <c r="T465" s="110">
        <f t="shared" si="7"/>
        <v>-10.059999999999945</v>
      </c>
      <c r="U465" s="110"/>
      <c r="V465" s="110" t="s">
        <v>5732</v>
      </c>
      <c r="W465" s="110"/>
      <c r="X465" s="114" t="s">
        <v>124</v>
      </c>
      <c r="Y465" s="114" t="s">
        <v>124</v>
      </c>
      <c r="AA465" s="113" t="e">
        <v>#N/A</v>
      </c>
      <c r="AB465" s="113" t="e">
        <v>#N/A</v>
      </c>
    </row>
    <row r="466" spans="1:28">
      <c r="A466" s="108">
        <v>465</v>
      </c>
      <c r="B466" s="108"/>
      <c r="C466" s="109">
        <v>46052</v>
      </c>
      <c r="D466" s="110" t="s">
        <v>28</v>
      </c>
      <c r="E466" s="110" t="s">
        <v>5252</v>
      </c>
      <c r="F466" s="110" t="s">
        <v>30</v>
      </c>
      <c r="G466" s="110">
        <v>12</v>
      </c>
      <c r="H466" s="110" t="s">
        <v>5733</v>
      </c>
      <c r="I466" s="110" t="s">
        <v>5734</v>
      </c>
      <c r="J466" s="110"/>
      <c r="K466" s="119" t="s">
        <v>5735</v>
      </c>
      <c r="L466" s="110" t="s">
        <v>5736</v>
      </c>
      <c r="M466" s="116">
        <v>2935.69</v>
      </c>
      <c r="N466" s="116">
        <v>2935.69</v>
      </c>
      <c r="O466" s="111"/>
      <c r="P466" s="112" t="s">
        <v>27</v>
      </c>
      <c r="Q466" s="110" t="s">
        <v>35</v>
      </c>
      <c r="R466" s="110" t="s">
        <v>27</v>
      </c>
      <c r="S466" s="110"/>
      <c r="T466" s="110">
        <f t="shared" si="7"/>
        <v>2935.69</v>
      </c>
      <c r="U466" s="110"/>
      <c r="V466" s="110"/>
      <c r="W466" s="110"/>
      <c r="X466" s="114" t="s">
        <v>89</v>
      </c>
      <c r="Y466" s="114" t="s">
        <v>89</v>
      </c>
      <c r="AA466" s="113" t="e">
        <v>#N/A</v>
      </c>
      <c r="AB466" s="113" t="e">
        <v>#N/A</v>
      </c>
    </row>
    <row r="467" spans="1:28">
      <c r="A467" s="108">
        <v>466</v>
      </c>
      <c r="B467" s="108"/>
      <c r="C467" s="109">
        <v>46052</v>
      </c>
      <c r="D467" s="110" t="s">
        <v>28</v>
      </c>
      <c r="E467" s="110" t="s">
        <v>5252</v>
      </c>
      <c r="F467" s="110" t="s">
        <v>30</v>
      </c>
      <c r="G467" s="110">
        <v>12</v>
      </c>
      <c r="H467" s="110" t="s">
        <v>5737</v>
      </c>
      <c r="I467" s="110" t="s">
        <v>5738</v>
      </c>
      <c r="J467" s="110"/>
      <c r="K467" s="119" t="s">
        <v>5739</v>
      </c>
      <c r="L467" s="110" t="s">
        <v>5740</v>
      </c>
      <c r="M467" s="116">
        <v>2540.19</v>
      </c>
      <c r="N467" s="116">
        <v>2540.19</v>
      </c>
      <c r="O467" s="111"/>
      <c r="P467" s="112" t="s">
        <v>27</v>
      </c>
      <c r="Q467" s="110" t="s">
        <v>35</v>
      </c>
      <c r="R467" s="110" t="s">
        <v>27</v>
      </c>
      <c r="S467" s="110"/>
      <c r="T467" s="110">
        <f t="shared" si="7"/>
        <v>2540.19</v>
      </c>
      <c r="U467" s="110"/>
      <c r="V467" s="110"/>
      <c r="W467" s="110"/>
      <c r="X467" s="114" t="s">
        <v>5420</v>
      </c>
      <c r="Y467" s="114" t="s">
        <v>5420</v>
      </c>
      <c r="AA467" s="113" t="e">
        <v>#N/A</v>
      </c>
      <c r="AB467" s="113" t="e">
        <v>#N/A</v>
      </c>
    </row>
    <row r="468" spans="1:28">
      <c r="A468" s="108">
        <v>467</v>
      </c>
      <c r="B468" s="108" t="s">
        <v>225</v>
      </c>
      <c r="C468" s="109">
        <v>46058</v>
      </c>
      <c r="D468" s="110" t="s">
        <v>28</v>
      </c>
      <c r="E468" s="110" t="s">
        <v>5252</v>
      </c>
      <c r="F468" s="110" t="s">
        <v>30</v>
      </c>
      <c r="G468" s="110">
        <v>18</v>
      </c>
      <c r="H468" s="110" t="s">
        <v>5741</v>
      </c>
      <c r="I468" s="110" t="s">
        <v>5742</v>
      </c>
      <c r="J468" s="110"/>
      <c r="K468" s="119" t="s">
        <v>5743</v>
      </c>
      <c r="L468" s="162" t="s">
        <v>5744</v>
      </c>
      <c r="M468" s="116">
        <v>2249.58</v>
      </c>
      <c r="N468" s="116">
        <v>2249.58</v>
      </c>
      <c r="O468" s="111"/>
      <c r="P468" s="112" t="s">
        <v>27</v>
      </c>
      <c r="Q468" s="110" t="s">
        <v>35</v>
      </c>
      <c r="R468" s="110" t="s">
        <v>27</v>
      </c>
      <c r="S468" s="110"/>
      <c r="T468" s="110">
        <f t="shared" si="7"/>
        <v>2249.58</v>
      </c>
      <c r="U468" s="110"/>
      <c r="V468" s="110"/>
      <c r="W468" s="110"/>
      <c r="X468" s="114" t="s">
        <v>444</v>
      </c>
      <c r="Y468" s="114" t="s">
        <v>444</v>
      </c>
      <c r="AA468" s="113" t="e">
        <v>#N/A</v>
      </c>
      <c r="AB468" s="113" t="e">
        <v>#N/A</v>
      </c>
    </row>
    <row r="469" spans="1:28">
      <c r="A469" s="108">
        <v>468</v>
      </c>
      <c r="B469" s="108" t="s">
        <v>225</v>
      </c>
      <c r="C469" s="109">
        <v>46057</v>
      </c>
      <c r="D469" s="110" t="s">
        <v>28</v>
      </c>
      <c r="E469" s="110" t="s">
        <v>5252</v>
      </c>
      <c r="F469" s="110" t="s">
        <v>30</v>
      </c>
      <c r="G469" s="110">
        <v>17</v>
      </c>
      <c r="H469" s="110" t="s">
        <v>5745</v>
      </c>
      <c r="I469" s="110" t="s">
        <v>5746</v>
      </c>
      <c r="J469" s="110"/>
      <c r="K469" s="119" t="s">
        <v>5747</v>
      </c>
      <c r="L469" s="110" t="s">
        <v>5748</v>
      </c>
      <c r="M469" s="116">
        <v>3819.54</v>
      </c>
      <c r="N469" s="116">
        <v>1820</v>
      </c>
      <c r="O469" s="111"/>
      <c r="P469" s="112" t="s">
        <v>27</v>
      </c>
      <c r="Q469" s="110" t="s">
        <v>35</v>
      </c>
      <c r="R469" s="110" t="s">
        <v>27</v>
      </c>
      <c r="S469" s="110">
        <v>1456</v>
      </c>
      <c r="T469" s="110">
        <f t="shared" si="7"/>
        <v>364</v>
      </c>
      <c r="U469" s="111">
        <v>46064</v>
      </c>
      <c r="V469" s="110" t="s">
        <v>5749</v>
      </c>
      <c r="W469" s="110"/>
      <c r="X469" s="114" t="s">
        <v>5438</v>
      </c>
      <c r="Y469" s="114" t="s">
        <v>5438</v>
      </c>
      <c r="AA469" s="113" t="e">
        <v>#N/A</v>
      </c>
      <c r="AB469" s="113" t="e">
        <v>#N/A</v>
      </c>
    </row>
    <row r="470" spans="1:28">
      <c r="A470" s="108">
        <v>469</v>
      </c>
      <c r="B470" s="108" t="s">
        <v>225</v>
      </c>
      <c r="C470" s="109">
        <v>46055</v>
      </c>
      <c r="D470" s="110" t="s">
        <v>28</v>
      </c>
      <c r="E470" s="110" t="s">
        <v>5252</v>
      </c>
      <c r="F470" s="110" t="s">
        <v>30</v>
      </c>
      <c r="G470" s="110">
        <v>15</v>
      </c>
      <c r="H470" s="110" t="s">
        <v>5750</v>
      </c>
      <c r="I470" s="110" t="s">
        <v>5751</v>
      </c>
      <c r="J470" s="110"/>
      <c r="K470" s="119" t="s">
        <v>5752</v>
      </c>
      <c r="L470" s="110" t="s">
        <v>5753</v>
      </c>
      <c r="M470" s="116">
        <v>2357.16</v>
      </c>
      <c r="N470" s="163">
        <v>2358</v>
      </c>
      <c r="O470" s="111"/>
      <c r="P470" s="112" t="s">
        <v>27</v>
      </c>
      <c r="Q470" s="110" t="s">
        <v>35</v>
      </c>
      <c r="R470" s="110" t="s">
        <v>27</v>
      </c>
      <c r="S470" s="110"/>
      <c r="T470" s="110">
        <f t="shared" si="7"/>
        <v>2358</v>
      </c>
      <c r="U470" s="110"/>
      <c r="V470" s="110"/>
      <c r="W470" s="110"/>
      <c r="X470" s="114" t="s">
        <v>82</v>
      </c>
      <c r="Y470" s="114" t="s">
        <v>82</v>
      </c>
      <c r="AA470" s="113" t="e">
        <v>#N/A</v>
      </c>
      <c r="AB470" s="113" t="e">
        <v>#N/A</v>
      </c>
    </row>
    <row r="471" spans="1:28">
      <c r="A471" s="108">
        <v>470</v>
      </c>
      <c r="B471" s="108" t="s">
        <v>5010</v>
      </c>
      <c r="C471" s="109">
        <v>46056</v>
      </c>
      <c r="D471" s="110" t="s">
        <v>28</v>
      </c>
      <c r="E471" s="110" t="s">
        <v>5252</v>
      </c>
      <c r="F471" s="110" t="s">
        <v>30</v>
      </c>
      <c r="G471" s="110">
        <v>15</v>
      </c>
      <c r="H471" s="110" t="s">
        <v>5754</v>
      </c>
      <c r="I471" s="110" t="s">
        <v>5755</v>
      </c>
      <c r="J471" s="110"/>
      <c r="K471" s="119" t="s">
        <v>5756</v>
      </c>
      <c r="L471" s="110"/>
      <c r="M471" s="116">
        <v>4059.46</v>
      </c>
      <c r="N471" s="116">
        <v>4059.46</v>
      </c>
      <c r="O471" s="111"/>
      <c r="P471" s="112" t="s">
        <v>27</v>
      </c>
      <c r="Q471" s="110" t="s">
        <v>35</v>
      </c>
      <c r="R471" s="110" t="s">
        <v>27</v>
      </c>
      <c r="S471" s="110"/>
      <c r="T471" s="110">
        <f t="shared" si="7"/>
        <v>4059.46</v>
      </c>
      <c r="U471" s="110"/>
      <c r="V471" s="110"/>
      <c r="W471" s="110"/>
      <c r="X471" s="114" t="s">
        <v>444</v>
      </c>
      <c r="Y471" s="114" t="s">
        <v>444</v>
      </c>
      <c r="AA471" s="113" t="e">
        <v>#N/A</v>
      </c>
      <c r="AB471" s="113" t="e">
        <v>#N/A</v>
      </c>
    </row>
    <row r="472" spans="1:28">
      <c r="A472" s="108">
        <v>471</v>
      </c>
      <c r="B472" s="108" t="s">
        <v>225</v>
      </c>
      <c r="C472" s="109">
        <v>46057</v>
      </c>
      <c r="D472" s="110" t="s">
        <v>28</v>
      </c>
      <c r="E472" s="110" t="s">
        <v>5252</v>
      </c>
      <c r="F472" s="110" t="s">
        <v>30</v>
      </c>
      <c r="G472" s="110">
        <v>17</v>
      </c>
      <c r="H472" s="110" t="s">
        <v>5757</v>
      </c>
      <c r="I472" s="110" t="s">
        <v>5758</v>
      </c>
      <c r="J472" s="110"/>
      <c r="K472" s="119" t="s">
        <v>5759</v>
      </c>
      <c r="L472" s="110" t="s">
        <v>5760</v>
      </c>
      <c r="M472" s="116">
        <v>2471.88</v>
      </c>
      <c r="N472" s="116">
        <v>2471</v>
      </c>
      <c r="O472" s="111"/>
      <c r="P472" s="112" t="s">
        <v>27</v>
      </c>
      <c r="Q472" s="110" t="s">
        <v>35</v>
      </c>
      <c r="R472" s="110" t="s">
        <v>27</v>
      </c>
      <c r="S472" s="110"/>
      <c r="T472" s="110">
        <f t="shared" si="7"/>
        <v>2471</v>
      </c>
      <c r="U472" s="110"/>
      <c r="V472" s="110"/>
      <c r="W472" s="110"/>
      <c r="X472" s="114" t="s">
        <v>444</v>
      </c>
      <c r="Y472" s="114" t="s">
        <v>444</v>
      </c>
      <c r="AA472" s="113" t="e">
        <v>#N/A</v>
      </c>
      <c r="AB472" s="113" t="e">
        <v>#N/A</v>
      </c>
    </row>
    <row r="473" spans="1:28">
      <c r="A473" s="108">
        <v>472</v>
      </c>
      <c r="B473" s="108"/>
      <c r="C473" s="109">
        <v>46052</v>
      </c>
      <c r="D473" s="110" t="s">
        <v>28</v>
      </c>
      <c r="E473" s="110" t="s">
        <v>5252</v>
      </c>
      <c r="F473" s="110" t="s">
        <v>30</v>
      </c>
      <c r="G473" s="110">
        <v>12</v>
      </c>
      <c r="H473" s="110" t="s">
        <v>5761</v>
      </c>
      <c r="I473" s="110" t="s">
        <v>5762</v>
      </c>
      <c r="J473" s="110"/>
      <c r="K473" s="119" t="s">
        <v>5763</v>
      </c>
      <c r="L473" s="110"/>
      <c r="M473" s="116">
        <v>3814.8</v>
      </c>
      <c r="N473" s="116">
        <v>3814.8</v>
      </c>
      <c r="O473" s="111"/>
      <c r="P473" s="112" t="s">
        <v>27</v>
      </c>
      <c r="Q473" s="110" t="s">
        <v>35</v>
      </c>
      <c r="R473" s="110" t="s">
        <v>27</v>
      </c>
      <c r="S473" s="110"/>
      <c r="T473" s="110">
        <f t="shared" si="7"/>
        <v>3814.8</v>
      </c>
      <c r="U473" s="110"/>
      <c r="V473" s="110"/>
      <c r="W473" s="110"/>
      <c r="X473" s="114" t="s">
        <v>55</v>
      </c>
      <c r="Y473" s="114" t="s">
        <v>55</v>
      </c>
      <c r="AA473" s="113" t="e">
        <v>#N/A</v>
      </c>
      <c r="AB473" s="113" t="e">
        <v>#N/A</v>
      </c>
    </row>
    <row r="474" spans="1:28">
      <c r="A474" s="108">
        <v>473</v>
      </c>
      <c r="B474" s="108" t="s">
        <v>225</v>
      </c>
      <c r="C474" s="109">
        <v>46055</v>
      </c>
      <c r="D474" s="110" t="s">
        <v>28</v>
      </c>
      <c r="E474" s="110" t="s">
        <v>5252</v>
      </c>
      <c r="F474" s="110" t="s">
        <v>30</v>
      </c>
      <c r="G474" s="110">
        <v>15</v>
      </c>
      <c r="H474" s="110" t="s">
        <v>5764</v>
      </c>
      <c r="I474" s="110" t="s">
        <v>5765</v>
      </c>
      <c r="J474" s="110"/>
      <c r="K474" s="119" t="s">
        <v>5766</v>
      </c>
      <c r="L474" s="110" t="s">
        <v>5767</v>
      </c>
      <c r="M474" s="116">
        <v>5138.8999999999996</v>
      </c>
      <c r="N474" s="163">
        <v>5149</v>
      </c>
      <c r="O474" s="111"/>
      <c r="P474" s="112" t="s">
        <v>27</v>
      </c>
      <c r="Q474" s="110" t="s">
        <v>35</v>
      </c>
      <c r="R474" s="110" t="s">
        <v>27</v>
      </c>
      <c r="S474" s="110"/>
      <c r="T474" s="110">
        <f t="shared" si="7"/>
        <v>5149</v>
      </c>
      <c r="U474" s="110"/>
      <c r="V474" s="110"/>
      <c r="W474" s="110"/>
      <c r="X474" s="114" t="s">
        <v>55</v>
      </c>
      <c r="Y474" s="114" t="s">
        <v>55</v>
      </c>
      <c r="AA474" s="113" t="e">
        <v>#N/A</v>
      </c>
      <c r="AB474" s="113" t="e">
        <v>#N/A</v>
      </c>
    </row>
    <row r="475" spans="1:28">
      <c r="A475" s="108">
        <v>474</v>
      </c>
      <c r="B475" s="108"/>
      <c r="C475" s="109">
        <v>46052</v>
      </c>
      <c r="D475" s="110" t="s">
        <v>28</v>
      </c>
      <c r="E475" s="110" t="s">
        <v>5252</v>
      </c>
      <c r="F475" s="110" t="s">
        <v>30</v>
      </c>
      <c r="G475" s="110">
        <v>12</v>
      </c>
      <c r="H475" s="110" t="s">
        <v>1607</v>
      </c>
      <c r="I475" s="110" t="s">
        <v>5768</v>
      </c>
      <c r="J475" s="110"/>
      <c r="K475" s="119" t="s">
        <v>1609</v>
      </c>
      <c r="L475" s="110" t="s">
        <v>1610</v>
      </c>
      <c r="M475" s="116">
        <v>2964.82</v>
      </c>
      <c r="N475" s="116">
        <v>2964.82</v>
      </c>
      <c r="O475" s="111"/>
      <c r="P475" s="112" t="s">
        <v>27</v>
      </c>
      <c r="Q475" s="110" t="s">
        <v>35</v>
      </c>
      <c r="R475" s="110" t="s">
        <v>27</v>
      </c>
      <c r="S475" s="110"/>
      <c r="T475" s="110">
        <f t="shared" si="7"/>
        <v>2964.82</v>
      </c>
      <c r="U475" s="110"/>
      <c r="V475" s="110"/>
      <c r="W475" s="110"/>
      <c r="X475" s="114" t="s">
        <v>5438</v>
      </c>
      <c r="Y475" s="114" t="s">
        <v>5438</v>
      </c>
      <c r="AA475" s="113" t="e">
        <v>#N/A</v>
      </c>
      <c r="AB475" s="113" t="e">
        <v>#N/A</v>
      </c>
    </row>
    <row r="476" spans="1:28">
      <c r="A476" s="108">
        <v>475</v>
      </c>
      <c r="B476" s="108"/>
      <c r="C476" s="109">
        <v>46052</v>
      </c>
      <c r="D476" s="110" t="s">
        <v>28</v>
      </c>
      <c r="E476" s="110" t="s">
        <v>5252</v>
      </c>
      <c r="F476" s="110" t="s">
        <v>30</v>
      </c>
      <c r="G476" s="110">
        <v>12</v>
      </c>
      <c r="H476" s="110" t="s">
        <v>5769</v>
      </c>
      <c r="I476" s="110" t="s">
        <v>5770</v>
      </c>
      <c r="J476" s="110"/>
      <c r="K476" s="119" t="s">
        <v>5771</v>
      </c>
      <c r="L476" s="110" t="s">
        <v>5772</v>
      </c>
      <c r="M476" s="116">
        <v>3680.36</v>
      </c>
      <c r="N476" s="116">
        <v>3680.36</v>
      </c>
      <c r="O476" s="111"/>
      <c r="P476" s="112" t="s">
        <v>27</v>
      </c>
      <c r="Q476" s="110" t="s">
        <v>35</v>
      </c>
      <c r="R476" s="110" t="s">
        <v>27</v>
      </c>
      <c r="S476" s="110"/>
      <c r="T476" s="110">
        <f t="shared" si="7"/>
        <v>3680.36</v>
      </c>
      <c r="U476" s="110"/>
      <c r="V476" s="110"/>
      <c r="W476" s="110"/>
      <c r="X476" s="114" t="s">
        <v>5438</v>
      </c>
      <c r="Y476" s="114" t="s">
        <v>5438</v>
      </c>
      <c r="AA476" s="113" t="e">
        <v>#N/A</v>
      </c>
      <c r="AB476" s="113" t="e">
        <v>#N/A</v>
      </c>
    </row>
    <row r="477" spans="1:28">
      <c r="A477" s="108">
        <v>476</v>
      </c>
      <c r="B477" s="108" t="s">
        <v>225</v>
      </c>
      <c r="C477" s="109">
        <v>46058</v>
      </c>
      <c r="D477" s="110" t="s">
        <v>28</v>
      </c>
      <c r="E477" s="110" t="s">
        <v>5252</v>
      </c>
      <c r="F477" s="110" t="s">
        <v>30</v>
      </c>
      <c r="G477" s="110">
        <v>18</v>
      </c>
      <c r="H477" s="110" t="s">
        <v>5773</v>
      </c>
      <c r="I477" s="110" t="s">
        <v>5774</v>
      </c>
      <c r="J477" s="110"/>
      <c r="K477" s="119" t="s">
        <v>5775</v>
      </c>
      <c r="L477" s="162" t="s">
        <v>5776</v>
      </c>
      <c r="M477" s="116">
        <v>3556.26</v>
      </c>
      <c r="N477" s="116">
        <v>3557</v>
      </c>
      <c r="O477" s="111"/>
      <c r="P477" s="112" t="s">
        <v>27</v>
      </c>
      <c r="Q477" s="110" t="s">
        <v>35</v>
      </c>
      <c r="R477" s="110" t="s">
        <v>27</v>
      </c>
      <c r="S477" s="110"/>
      <c r="T477" s="110">
        <f t="shared" si="7"/>
        <v>3557</v>
      </c>
      <c r="U477" s="110"/>
      <c r="V477" s="110"/>
      <c r="W477" s="110"/>
      <c r="X477" s="114" t="s">
        <v>37</v>
      </c>
      <c r="Y477" s="114" t="s">
        <v>37</v>
      </c>
      <c r="AA477" s="113" t="e">
        <v>#N/A</v>
      </c>
      <c r="AB477" s="113" t="e">
        <v>#N/A</v>
      </c>
    </row>
    <row r="478" spans="1:28">
      <c r="A478" s="108">
        <v>477</v>
      </c>
      <c r="B478" s="108" t="s">
        <v>225</v>
      </c>
      <c r="C478" s="109">
        <v>46058</v>
      </c>
      <c r="D478" s="110" t="s">
        <v>28</v>
      </c>
      <c r="E478" s="110" t="s">
        <v>5252</v>
      </c>
      <c r="F478" s="110" t="s">
        <v>30</v>
      </c>
      <c r="G478" s="110">
        <v>18</v>
      </c>
      <c r="H478" s="110" t="s">
        <v>5777</v>
      </c>
      <c r="I478" s="110" t="s">
        <v>5778</v>
      </c>
      <c r="J478" s="110"/>
      <c r="K478" s="119" t="s">
        <v>5779</v>
      </c>
      <c r="L478" s="162" t="s">
        <v>5780</v>
      </c>
      <c r="M478" s="116">
        <v>2344.52</v>
      </c>
      <c r="N478" s="116">
        <v>2344.52</v>
      </c>
      <c r="O478" s="111"/>
      <c r="P478" s="112" t="s">
        <v>27</v>
      </c>
      <c r="Q478" s="110" t="s">
        <v>35</v>
      </c>
      <c r="R478" s="110" t="s">
        <v>27</v>
      </c>
      <c r="S478" s="110"/>
      <c r="T478" s="110">
        <f t="shared" si="7"/>
        <v>2344.52</v>
      </c>
      <c r="U478" s="110"/>
      <c r="V478" s="110"/>
      <c r="W478" s="110"/>
      <c r="X478" s="114" t="s">
        <v>82</v>
      </c>
      <c r="Y478" s="114" t="s">
        <v>82</v>
      </c>
      <c r="AA478" s="113" t="e">
        <v>#N/A</v>
      </c>
      <c r="AB478" s="113" t="e">
        <v>#N/A</v>
      </c>
    </row>
    <row r="479" spans="1:28">
      <c r="A479" s="108">
        <v>478</v>
      </c>
      <c r="B479" s="108" t="s">
        <v>5010</v>
      </c>
      <c r="C479" s="109">
        <v>46058</v>
      </c>
      <c r="D479" s="110" t="s">
        <v>28</v>
      </c>
      <c r="E479" s="110" t="s">
        <v>5252</v>
      </c>
      <c r="F479" s="110" t="s">
        <v>30</v>
      </c>
      <c r="G479" s="110">
        <v>18</v>
      </c>
      <c r="H479" s="110" t="s">
        <v>5781</v>
      </c>
      <c r="I479" s="110" t="s">
        <v>5782</v>
      </c>
      <c r="J479" s="110"/>
      <c r="K479" s="119" t="s">
        <v>5783</v>
      </c>
      <c r="L479" s="162"/>
      <c r="M479" s="116">
        <v>4451.62</v>
      </c>
      <c r="N479" s="116">
        <v>4451.62</v>
      </c>
      <c r="O479" s="111"/>
      <c r="P479" s="112" t="s">
        <v>27</v>
      </c>
      <c r="Q479" s="110" t="s">
        <v>35</v>
      </c>
      <c r="R479" s="110" t="s">
        <v>27</v>
      </c>
      <c r="S479" s="110"/>
      <c r="T479" s="110">
        <f t="shared" si="7"/>
        <v>4451.62</v>
      </c>
      <c r="U479" s="110"/>
      <c r="V479" s="110"/>
      <c r="W479" s="110"/>
      <c r="X479" s="114" t="s">
        <v>37</v>
      </c>
      <c r="Y479" s="114" t="s">
        <v>37</v>
      </c>
      <c r="AA479" s="113" t="e">
        <v>#N/A</v>
      </c>
      <c r="AB479" s="113" t="e">
        <v>#N/A</v>
      </c>
    </row>
    <row r="480" spans="1:28">
      <c r="A480" s="108">
        <v>479</v>
      </c>
      <c r="B480" s="108" t="s">
        <v>225</v>
      </c>
      <c r="C480" s="109">
        <v>46055</v>
      </c>
      <c r="D480" s="110" t="s">
        <v>28</v>
      </c>
      <c r="E480" s="110" t="s">
        <v>5252</v>
      </c>
      <c r="F480" s="110" t="s">
        <v>30</v>
      </c>
      <c r="G480" s="110">
        <v>15</v>
      </c>
      <c r="H480" s="110" t="s">
        <v>5784</v>
      </c>
      <c r="I480" s="110" t="s">
        <v>5785</v>
      </c>
      <c r="J480" s="110"/>
      <c r="K480" s="119" t="s">
        <v>5786</v>
      </c>
      <c r="L480" s="110" t="s">
        <v>5787</v>
      </c>
      <c r="M480" s="116">
        <v>2733.16</v>
      </c>
      <c r="N480" s="163">
        <v>2734</v>
      </c>
      <c r="O480" s="111"/>
      <c r="P480" s="112" t="s">
        <v>27</v>
      </c>
      <c r="Q480" s="110" t="s">
        <v>35</v>
      </c>
      <c r="R480" s="110" t="s">
        <v>27</v>
      </c>
      <c r="S480" s="110"/>
      <c r="T480" s="110">
        <f t="shared" si="7"/>
        <v>2734</v>
      </c>
      <c r="U480" s="110"/>
      <c r="V480" s="110"/>
      <c r="W480" s="110"/>
      <c r="X480" s="114" t="s">
        <v>76</v>
      </c>
      <c r="Y480" s="114" t="s">
        <v>76</v>
      </c>
      <c r="AA480" s="113" t="e">
        <v>#N/A</v>
      </c>
      <c r="AB480" s="113" t="e">
        <v>#N/A</v>
      </c>
    </row>
    <row r="481" spans="1:28">
      <c r="A481" s="108">
        <v>480</v>
      </c>
      <c r="B481" s="108"/>
      <c r="C481" s="109">
        <v>46052</v>
      </c>
      <c r="D481" s="110" t="s">
        <v>28</v>
      </c>
      <c r="E481" s="110" t="s">
        <v>5252</v>
      </c>
      <c r="F481" s="110" t="s">
        <v>30</v>
      </c>
      <c r="G481" s="110">
        <v>12</v>
      </c>
      <c r="H481" s="110" t="s">
        <v>5788</v>
      </c>
      <c r="I481" s="110" t="s">
        <v>5789</v>
      </c>
      <c r="J481" s="110"/>
      <c r="K481" s="119" t="s">
        <v>5790</v>
      </c>
      <c r="L481" s="110" t="s">
        <v>5791</v>
      </c>
      <c r="M481" s="116">
        <v>2989.56</v>
      </c>
      <c r="N481" s="116">
        <v>2989.56</v>
      </c>
      <c r="O481" s="111"/>
      <c r="P481" s="112" t="s">
        <v>27</v>
      </c>
      <c r="Q481" s="110" t="s">
        <v>35</v>
      </c>
      <c r="R481" s="110" t="s">
        <v>27</v>
      </c>
      <c r="S481" s="110"/>
      <c r="T481" s="110">
        <f t="shared" si="7"/>
        <v>2989.56</v>
      </c>
      <c r="U481" s="110"/>
      <c r="V481" s="110"/>
      <c r="W481" s="110"/>
      <c r="X481" s="114" t="s">
        <v>55</v>
      </c>
      <c r="Y481" s="114" t="s">
        <v>55</v>
      </c>
      <c r="AA481" s="113" t="e">
        <v>#N/A</v>
      </c>
      <c r="AB481" s="113" t="e">
        <v>#N/A</v>
      </c>
    </row>
    <row r="482" spans="1:28">
      <c r="A482" s="108">
        <v>481</v>
      </c>
      <c r="B482" s="108" t="s">
        <v>5010</v>
      </c>
      <c r="C482" s="109">
        <v>46056</v>
      </c>
      <c r="D482" s="110" t="s">
        <v>28</v>
      </c>
      <c r="E482" s="110" t="s">
        <v>5252</v>
      </c>
      <c r="F482" s="110" t="s">
        <v>30</v>
      </c>
      <c r="G482" s="110">
        <v>15</v>
      </c>
      <c r="H482" s="110" t="s">
        <v>1957</v>
      </c>
      <c r="I482" s="110" t="s">
        <v>5792</v>
      </c>
      <c r="J482" s="110"/>
      <c r="K482" s="119" t="s">
        <v>1959</v>
      </c>
      <c r="L482" s="110" t="s">
        <v>1960</v>
      </c>
      <c r="M482" s="116">
        <v>2820.76</v>
      </c>
      <c r="N482" s="116">
        <v>2820.76</v>
      </c>
      <c r="O482" s="111"/>
      <c r="P482" s="112" t="s">
        <v>27</v>
      </c>
      <c r="Q482" s="110" t="s">
        <v>35</v>
      </c>
      <c r="R482" s="110" t="s">
        <v>27</v>
      </c>
      <c r="S482" s="110"/>
      <c r="T482" s="110">
        <f t="shared" si="7"/>
        <v>2820.76</v>
      </c>
      <c r="U482" s="110"/>
      <c r="V482" s="110"/>
      <c r="W482" s="110"/>
      <c r="X482" s="114" t="s">
        <v>124</v>
      </c>
      <c r="Y482" s="114" t="s">
        <v>124</v>
      </c>
      <c r="AA482" s="113" t="e">
        <v>#N/A</v>
      </c>
      <c r="AB482" s="113" t="e">
        <v>#N/A</v>
      </c>
    </row>
    <row r="483" spans="1:28">
      <c r="A483" s="108">
        <v>482</v>
      </c>
      <c r="B483" s="108"/>
      <c r="C483" s="109">
        <v>46052</v>
      </c>
      <c r="D483" s="110" t="s">
        <v>28</v>
      </c>
      <c r="E483" s="110" t="s">
        <v>5252</v>
      </c>
      <c r="F483" s="110" t="s">
        <v>30</v>
      </c>
      <c r="G483" s="110">
        <v>12</v>
      </c>
      <c r="H483" s="110" t="s">
        <v>5793</v>
      </c>
      <c r="I483" s="110" t="s">
        <v>5794</v>
      </c>
      <c r="J483" s="110"/>
      <c r="K483" s="119" t="s">
        <v>5795</v>
      </c>
      <c r="L483" s="110" t="s">
        <v>5796</v>
      </c>
      <c r="M483" s="116">
        <v>5900.65</v>
      </c>
      <c r="N483" s="116">
        <v>5900.65</v>
      </c>
      <c r="O483" s="111"/>
      <c r="P483" s="112" t="s">
        <v>27</v>
      </c>
      <c r="Q483" s="110" t="s">
        <v>35</v>
      </c>
      <c r="R483" s="110" t="s">
        <v>27</v>
      </c>
      <c r="S483" s="110"/>
      <c r="T483" s="110">
        <f t="shared" si="7"/>
        <v>5900.65</v>
      </c>
      <c r="U483" s="110"/>
      <c r="V483" s="110"/>
      <c r="W483" s="110"/>
      <c r="X483" s="114" t="s">
        <v>117</v>
      </c>
      <c r="Y483" s="114" t="s">
        <v>117</v>
      </c>
      <c r="AA483" s="113" t="e">
        <v>#N/A</v>
      </c>
      <c r="AB483" s="113" t="e">
        <v>#N/A</v>
      </c>
    </row>
    <row r="484" spans="1:28">
      <c r="A484" s="108">
        <v>483</v>
      </c>
      <c r="B484" s="108" t="s">
        <v>225</v>
      </c>
      <c r="C484" s="109">
        <v>46057</v>
      </c>
      <c r="D484" s="110" t="s">
        <v>28</v>
      </c>
      <c r="E484" s="110" t="s">
        <v>5252</v>
      </c>
      <c r="F484" s="110" t="s">
        <v>30</v>
      </c>
      <c r="G484" s="110">
        <v>17</v>
      </c>
      <c r="H484" s="110" t="s">
        <v>5797</v>
      </c>
      <c r="I484" s="110" t="s">
        <v>5798</v>
      </c>
      <c r="J484" s="110"/>
      <c r="K484" s="119" t="s">
        <v>5799</v>
      </c>
      <c r="L484" s="110" t="s">
        <v>5800</v>
      </c>
      <c r="M484" s="116">
        <v>2575.3200000000002</v>
      </c>
      <c r="N484" s="163">
        <v>2576</v>
      </c>
      <c r="O484" s="111"/>
      <c r="P484" s="112" t="s">
        <v>27</v>
      </c>
      <c r="Q484" s="110" t="s">
        <v>35</v>
      </c>
      <c r="R484" s="110" t="s">
        <v>27</v>
      </c>
      <c r="S484" s="110"/>
      <c r="T484" s="110">
        <f t="shared" si="7"/>
        <v>2576</v>
      </c>
      <c r="U484" s="110"/>
      <c r="V484" s="110"/>
      <c r="W484" s="110"/>
      <c r="X484" s="114" t="s">
        <v>5438</v>
      </c>
      <c r="Y484" s="114" t="s">
        <v>5438</v>
      </c>
      <c r="AA484" s="113" t="e">
        <v>#N/A</v>
      </c>
      <c r="AB484" s="113" t="e">
        <v>#N/A</v>
      </c>
    </row>
    <row r="485" spans="1:28">
      <c r="A485" s="108">
        <v>484</v>
      </c>
      <c r="B485" s="108"/>
      <c r="C485" s="109">
        <v>46052</v>
      </c>
      <c r="D485" s="110" t="s">
        <v>28</v>
      </c>
      <c r="E485" s="110" t="s">
        <v>5252</v>
      </c>
      <c r="F485" s="110" t="s">
        <v>30</v>
      </c>
      <c r="G485" s="110">
        <v>12</v>
      </c>
      <c r="H485" s="110" t="s">
        <v>5801</v>
      </c>
      <c r="I485" s="110" t="s">
        <v>5802</v>
      </c>
      <c r="J485" s="110"/>
      <c r="K485" s="119" t="s">
        <v>5803</v>
      </c>
      <c r="L485" s="110" t="s">
        <v>5804</v>
      </c>
      <c r="M485" s="116">
        <v>3041.32</v>
      </c>
      <c r="N485" s="116">
        <v>3041.32</v>
      </c>
      <c r="O485" s="111"/>
      <c r="P485" s="112" t="s">
        <v>27</v>
      </c>
      <c r="Q485" s="110" t="s">
        <v>35</v>
      </c>
      <c r="R485" s="110" t="s">
        <v>27</v>
      </c>
      <c r="S485" s="110"/>
      <c r="T485" s="110">
        <f t="shared" si="7"/>
        <v>3041.32</v>
      </c>
      <c r="U485" s="110"/>
      <c r="V485" s="110"/>
      <c r="W485" s="110"/>
      <c r="X485" s="114" t="s">
        <v>124</v>
      </c>
      <c r="Y485" s="114" t="s">
        <v>124</v>
      </c>
      <c r="AA485" s="113" t="e">
        <v>#N/A</v>
      </c>
      <c r="AB485" s="113" t="e">
        <v>#N/A</v>
      </c>
    </row>
    <row r="486" spans="1:28">
      <c r="A486" s="108">
        <v>485</v>
      </c>
      <c r="B486" s="108" t="s">
        <v>225</v>
      </c>
      <c r="C486" s="109">
        <v>46058</v>
      </c>
      <c r="D486" s="110" t="s">
        <v>28</v>
      </c>
      <c r="E486" s="110" t="s">
        <v>5252</v>
      </c>
      <c r="F486" s="110" t="s">
        <v>30</v>
      </c>
      <c r="G486" s="110">
        <v>18</v>
      </c>
      <c r="H486" s="110" t="s">
        <v>5805</v>
      </c>
      <c r="I486" s="110" t="s">
        <v>5806</v>
      </c>
      <c r="J486" s="110"/>
      <c r="K486" s="119" t="s">
        <v>5807</v>
      </c>
      <c r="L486" s="162" t="s">
        <v>5808</v>
      </c>
      <c r="M486" s="116">
        <v>2574.5700000000002</v>
      </c>
      <c r="N486" s="116">
        <v>2574.5700000000002</v>
      </c>
      <c r="O486" s="111"/>
      <c r="P486" s="112" t="s">
        <v>27</v>
      </c>
      <c r="Q486" s="110" t="s">
        <v>35</v>
      </c>
      <c r="R486" s="110" t="s">
        <v>27</v>
      </c>
      <c r="S486" s="110"/>
      <c r="T486" s="110">
        <f t="shared" si="7"/>
        <v>2574.5700000000002</v>
      </c>
      <c r="U486" s="110"/>
      <c r="V486" s="110"/>
      <c r="W486" s="110"/>
      <c r="X486" s="114" t="s">
        <v>4335</v>
      </c>
      <c r="Y486" s="114" t="s">
        <v>4335</v>
      </c>
      <c r="AA486" s="113" t="e">
        <v>#N/A</v>
      </c>
      <c r="AB486" s="113" t="e">
        <v>#N/A</v>
      </c>
    </row>
    <row r="487" spans="1:28">
      <c r="A487" s="108">
        <v>486</v>
      </c>
      <c r="B487" s="108" t="s">
        <v>225</v>
      </c>
      <c r="C487" s="109">
        <v>46054</v>
      </c>
      <c r="D487" s="110" t="s">
        <v>28</v>
      </c>
      <c r="E487" s="110" t="s">
        <v>5252</v>
      </c>
      <c r="F487" s="110" t="s">
        <v>30</v>
      </c>
      <c r="G487" s="110">
        <v>14</v>
      </c>
      <c r="H487" s="110" t="s">
        <v>5809</v>
      </c>
      <c r="I487" s="110" t="s">
        <v>5810</v>
      </c>
      <c r="J487" s="110"/>
      <c r="K487" s="119" t="s">
        <v>5811</v>
      </c>
      <c r="L487" s="162" t="s">
        <v>5812</v>
      </c>
      <c r="M487" s="116">
        <v>2583.88</v>
      </c>
      <c r="N487" s="163">
        <v>2594</v>
      </c>
      <c r="O487" s="111"/>
      <c r="P487" s="112" t="s">
        <v>27</v>
      </c>
      <c r="Q487" s="110" t="s">
        <v>35</v>
      </c>
      <c r="R487" s="110" t="s">
        <v>27</v>
      </c>
      <c r="S487" s="110"/>
      <c r="T487" s="110">
        <f t="shared" si="7"/>
        <v>2594</v>
      </c>
      <c r="U487" s="110"/>
      <c r="V487" s="110"/>
      <c r="W487" s="110"/>
      <c r="X487" s="114" t="s">
        <v>124</v>
      </c>
      <c r="Y487" s="114" t="s">
        <v>124</v>
      </c>
      <c r="AA487" s="113" t="e">
        <v>#N/A</v>
      </c>
      <c r="AB487" s="113" t="e">
        <v>#N/A</v>
      </c>
    </row>
    <row r="488" spans="1:28">
      <c r="A488" s="108">
        <v>487</v>
      </c>
      <c r="B488" s="108"/>
      <c r="C488" s="109">
        <v>46052</v>
      </c>
      <c r="D488" s="110" t="s">
        <v>28</v>
      </c>
      <c r="E488" s="110" t="s">
        <v>5252</v>
      </c>
      <c r="F488" s="110" t="s">
        <v>30</v>
      </c>
      <c r="G488" s="110">
        <v>12</v>
      </c>
      <c r="H488" s="110" t="s">
        <v>5813</v>
      </c>
      <c r="I488" s="110" t="s">
        <v>5814</v>
      </c>
      <c r="J488" s="110"/>
      <c r="K488" s="119" t="s">
        <v>5815</v>
      </c>
      <c r="L488" s="110" t="s">
        <v>5816</v>
      </c>
      <c r="M488" s="116">
        <v>2505.64</v>
      </c>
      <c r="N488" s="116">
        <v>2505.64</v>
      </c>
      <c r="O488" s="111"/>
      <c r="P488" s="112" t="s">
        <v>27</v>
      </c>
      <c r="Q488" s="110" t="s">
        <v>35</v>
      </c>
      <c r="R488" s="110" t="s">
        <v>27</v>
      </c>
      <c r="S488" s="110"/>
      <c r="T488" s="110">
        <f t="shared" si="7"/>
        <v>2505.64</v>
      </c>
      <c r="U488" s="110"/>
      <c r="V488" s="110"/>
      <c r="W488" s="110"/>
      <c r="X488" s="114" t="s">
        <v>55</v>
      </c>
      <c r="Y488" s="114" t="s">
        <v>55</v>
      </c>
      <c r="AA488" s="113" t="e">
        <v>#N/A</v>
      </c>
      <c r="AB488" s="113" t="e">
        <v>#N/A</v>
      </c>
    </row>
    <row r="489" spans="1:28">
      <c r="A489" s="108">
        <v>488</v>
      </c>
      <c r="B489" s="108" t="s">
        <v>225</v>
      </c>
      <c r="C489" s="109">
        <v>46055</v>
      </c>
      <c r="D489" s="110" t="s">
        <v>28</v>
      </c>
      <c r="E489" s="110" t="s">
        <v>5252</v>
      </c>
      <c r="F489" s="110" t="s">
        <v>30</v>
      </c>
      <c r="G489" s="110">
        <v>15</v>
      </c>
      <c r="H489" s="110" t="s">
        <v>5817</v>
      </c>
      <c r="I489" s="110" t="s">
        <v>5818</v>
      </c>
      <c r="J489" s="110"/>
      <c r="K489" s="119" t="s">
        <v>5819</v>
      </c>
      <c r="L489" s="110" t="s">
        <v>5820</v>
      </c>
      <c r="M489" s="116">
        <v>2437</v>
      </c>
      <c r="N489" s="163">
        <v>2437</v>
      </c>
      <c r="O489" s="111"/>
      <c r="P489" s="112" t="s">
        <v>27</v>
      </c>
      <c r="Q489" s="110" t="s">
        <v>35</v>
      </c>
      <c r="R489" s="110" t="s">
        <v>27</v>
      </c>
      <c r="S489" s="110"/>
      <c r="T489" s="110">
        <f t="shared" si="7"/>
        <v>2437</v>
      </c>
      <c r="U489" s="110"/>
      <c r="V489" s="110"/>
      <c r="W489" s="110"/>
      <c r="X489" s="114" t="s">
        <v>4335</v>
      </c>
      <c r="Y489" s="114" t="s">
        <v>4335</v>
      </c>
      <c r="AA489" s="113" t="e">
        <v>#N/A</v>
      </c>
      <c r="AB489" s="113" t="e">
        <v>#N/A</v>
      </c>
    </row>
    <row r="490" spans="1:28">
      <c r="A490" s="108">
        <v>489</v>
      </c>
      <c r="B490" s="108" t="s">
        <v>225</v>
      </c>
      <c r="C490" s="109">
        <v>46055</v>
      </c>
      <c r="D490" s="110" t="s">
        <v>28</v>
      </c>
      <c r="E490" s="110" t="s">
        <v>5252</v>
      </c>
      <c r="F490" s="110" t="s">
        <v>30</v>
      </c>
      <c r="G490" s="110">
        <v>15</v>
      </c>
      <c r="H490" s="110" t="s">
        <v>5821</v>
      </c>
      <c r="I490" s="110" t="s">
        <v>5822</v>
      </c>
      <c r="J490" s="110"/>
      <c r="K490" s="119" t="s">
        <v>5823</v>
      </c>
      <c r="L490" s="110" t="s">
        <v>5824</v>
      </c>
      <c r="M490" s="116">
        <v>3617.45</v>
      </c>
      <c r="N490" s="163">
        <v>3618</v>
      </c>
      <c r="O490" s="111"/>
      <c r="P490" s="112" t="s">
        <v>27</v>
      </c>
      <c r="Q490" s="110" t="s">
        <v>35</v>
      </c>
      <c r="R490" s="110" t="s">
        <v>27</v>
      </c>
      <c r="S490" s="110"/>
      <c r="T490" s="110">
        <f t="shared" si="7"/>
        <v>3618</v>
      </c>
      <c r="U490" s="110"/>
      <c r="V490" s="110"/>
      <c r="W490" s="110"/>
      <c r="X490" s="114" t="s">
        <v>117</v>
      </c>
      <c r="Y490" s="114" t="s">
        <v>117</v>
      </c>
      <c r="AA490" s="113" t="e">
        <v>#N/A</v>
      </c>
      <c r="AB490" s="113" t="e">
        <v>#N/A</v>
      </c>
    </row>
    <row r="491" spans="1:28">
      <c r="A491" s="108">
        <v>490</v>
      </c>
      <c r="B491" s="108"/>
      <c r="C491" s="109">
        <v>46052</v>
      </c>
      <c r="D491" s="110" t="s">
        <v>28</v>
      </c>
      <c r="E491" s="110" t="s">
        <v>5252</v>
      </c>
      <c r="F491" s="110" t="s">
        <v>30</v>
      </c>
      <c r="G491" s="110">
        <v>12</v>
      </c>
      <c r="H491" s="110" t="s">
        <v>4196</v>
      </c>
      <c r="I491" s="110" t="s">
        <v>5825</v>
      </c>
      <c r="J491" s="110"/>
      <c r="K491" s="119" t="s">
        <v>5826</v>
      </c>
      <c r="L491" s="110"/>
      <c r="M491" s="116">
        <v>2298.17</v>
      </c>
      <c r="N491" s="116">
        <v>2298.17</v>
      </c>
      <c r="O491" s="111">
        <v>46056</v>
      </c>
      <c r="P491" s="112" t="s">
        <v>45</v>
      </c>
      <c r="Q491" s="110" t="s">
        <v>52</v>
      </c>
      <c r="R491" s="110" t="s">
        <v>27</v>
      </c>
      <c r="S491" s="110">
        <v>2298</v>
      </c>
      <c r="T491" s="110">
        <f t="shared" si="7"/>
        <v>0.17000000000007276</v>
      </c>
      <c r="U491" s="111">
        <v>46056</v>
      </c>
      <c r="V491" s="110" t="s">
        <v>5827</v>
      </c>
      <c r="W491" s="110" t="s">
        <v>54</v>
      </c>
      <c r="X491" s="114" t="s">
        <v>45</v>
      </c>
      <c r="Y491" s="114" t="s">
        <v>45</v>
      </c>
      <c r="AA491" s="113" t="e">
        <v>#N/A</v>
      </c>
      <c r="AB491" s="113" t="e">
        <v>#N/A</v>
      </c>
    </row>
    <row r="492" spans="1:28">
      <c r="A492" s="108">
        <v>491</v>
      </c>
      <c r="B492" s="108" t="s">
        <v>225</v>
      </c>
      <c r="C492" s="109">
        <v>46057</v>
      </c>
      <c r="D492" s="110" t="s">
        <v>28</v>
      </c>
      <c r="E492" s="110" t="s">
        <v>5252</v>
      </c>
      <c r="F492" s="110" t="s">
        <v>30</v>
      </c>
      <c r="G492" s="110">
        <v>17</v>
      </c>
      <c r="H492" s="110" t="s">
        <v>5828</v>
      </c>
      <c r="I492" s="110" t="s">
        <v>5829</v>
      </c>
      <c r="J492" s="110"/>
      <c r="K492" s="119" t="s">
        <v>5830</v>
      </c>
      <c r="L492" s="110" t="s">
        <v>5831</v>
      </c>
      <c r="M492" s="116">
        <v>2101.1999999999998</v>
      </c>
      <c r="N492" s="163">
        <v>2103</v>
      </c>
      <c r="O492" s="111"/>
      <c r="P492" s="112" t="s">
        <v>27</v>
      </c>
      <c r="Q492" s="110" t="s">
        <v>35</v>
      </c>
      <c r="R492" s="110" t="s">
        <v>27</v>
      </c>
      <c r="S492" s="110"/>
      <c r="T492" s="110">
        <f t="shared" si="7"/>
        <v>2103</v>
      </c>
      <c r="U492" s="110"/>
      <c r="V492" s="110"/>
      <c r="W492" s="110"/>
      <c r="X492" s="114" t="s">
        <v>76</v>
      </c>
      <c r="Y492" s="114" t="s">
        <v>76</v>
      </c>
      <c r="AA492" s="113" t="e">
        <v>#N/A</v>
      </c>
      <c r="AB492" s="113" t="e">
        <v>#N/A</v>
      </c>
    </row>
    <row r="493" spans="1:28">
      <c r="A493" s="108">
        <v>492</v>
      </c>
      <c r="B493" s="108"/>
      <c r="C493" s="109">
        <v>46052</v>
      </c>
      <c r="D493" s="110" t="s">
        <v>28</v>
      </c>
      <c r="E493" s="110" t="s">
        <v>5252</v>
      </c>
      <c r="F493" s="110" t="s">
        <v>30</v>
      </c>
      <c r="G493" s="110">
        <v>12</v>
      </c>
      <c r="H493" s="110" t="s">
        <v>5832</v>
      </c>
      <c r="I493" s="110" t="s">
        <v>5833</v>
      </c>
      <c r="J493" s="110"/>
      <c r="K493" s="119" t="s">
        <v>5834</v>
      </c>
      <c r="L493" s="110"/>
      <c r="M493" s="116">
        <v>2760.5</v>
      </c>
      <c r="N493" s="116">
        <v>2760.5</v>
      </c>
      <c r="O493" s="111"/>
      <c r="P493" s="112" t="s">
        <v>27</v>
      </c>
      <c r="Q493" s="110" t="s">
        <v>35</v>
      </c>
      <c r="R493" s="110" t="s">
        <v>27</v>
      </c>
      <c r="S493" s="110">
        <v>800</v>
      </c>
      <c r="T493" s="110">
        <f t="shared" si="7"/>
        <v>1960.5</v>
      </c>
      <c r="U493" s="111">
        <v>46062</v>
      </c>
      <c r="V493" s="110" t="s">
        <v>5835</v>
      </c>
      <c r="W493" s="110"/>
      <c r="X493" s="114" t="s">
        <v>55</v>
      </c>
      <c r="Y493" s="114" t="s">
        <v>55</v>
      </c>
      <c r="AA493" s="113" t="e">
        <v>#N/A</v>
      </c>
      <c r="AB493" s="113" t="e">
        <v>#N/A</v>
      </c>
    </row>
    <row r="494" spans="1:28">
      <c r="A494" s="108">
        <v>493</v>
      </c>
      <c r="B494" s="108" t="s">
        <v>225</v>
      </c>
      <c r="C494" s="109">
        <v>46054</v>
      </c>
      <c r="D494" s="110" t="s">
        <v>28</v>
      </c>
      <c r="E494" s="110" t="s">
        <v>5252</v>
      </c>
      <c r="F494" s="110" t="s">
        <v>30</v>
      </c>
      <c r="G494" s="110">
        <v>14</v>
      </c>
      <c r="H494" s="110" t="s">
        <v>577</v>
      </c>
      <c r="I494" s="110" t="s">
        <v>5836</v>
      </c>
      <c r="J494" s="110"/>
      <c r="K494" s="119" t="s">
        <v>579</v>
      </c>
      <c r="L494" s="162" t="s">
        <v>580</v>
      </c>
      <c r="M494" s="116">
        <v>3523.83</v>
      </c>
      <c r="N494" s="163">
        <v>3539</v>
      </c>
      <c r="O494" s="111"/>
      <c r="P494" s="112" t="s">
        <v>27</v>
      </c>
      <c r="Q494" s="110" t="s">
        <v>35</v>
      </c>
      <c r="R494" s="110" t="s">
        <v>27</v>
      </c>
      <c r="S494" s="110"/>
      <c r="T494" s="110">
        <f t="shared" si="7"/>
        <v>3539</v>
      </c>
      <c r="U494" s="110"/>
      <c r="V494" s="110"/>
      <c r="W494" s="110"/>
      <c r="X494" s="114" t="s">
        <v>76</v>
      </c>
      <c r="Y494" s="114" t="s">
        <v>76</v>
      </c>
      <c r="AA494" s="113" t="e">
        <v>#N/A</v>
      </c>
      <c r="AB494" s="113" t="e">
        <v>#N/A</v>
      </c>
    </row>
    <row r="495" spans="1:28">
      <c r="A495" s="108">
        <v>494</v>
      </c>
      <c r="B495" s="108" t="s">
        <v>225</v>
      </c>
      <c r="C495" s="109">
        <v>46057</v>
      </c>
      <c r="D495" s="110" t="s">
        <v>28</v>
      </c>
      <c r="E495" s="110" t="s">
        <v>5252</v>
      </c>
      <c r="F495" s="110" t="s">
        <v>30</v>
      </c>
      <c r="G495" s="110">
        <v>17</v>
      </c>
      <c r="H495" s="110" t="s">
        <v>5837</v>
      </c>
      <c r="I495" s="110" t="s">
        <v>5838</v>
      </c>
      <c r="J495" s="110"/>
      <c r="K495" s="119" t="s">
        <v>5839</v>
      </c>
      <c r="L495" s="110" t="s">
        <v>5840</v>
      </c>
      <c r="M495" s="116">
        <v>1871.66</v>
      </c>
      <c r="N495" s="116">
        <v>1628</v>
      </c>
      <c r="O495" s="111"/>
      <c r="P495" s="112" t="s">
        <v>27</v>
      </c>
      <c r="Q495" s="110" t="s">
        <v>35</v>
      </c>
      <c r="R495" s="110" t="s">
        <v>27</v>
      </c>
      <c r="S495" s="110"/>
      <c r="T495" s="110">
        <f t="shared" si="7"/>
        <v>1628</v>
      </c>
      <c r="U495" s="110"/>
      <c r="V495" s="110"/>
      <c r="W495" s="110"/>
      <c r="X495" s="114" t="s">
        <v>89</v>
      </c>
      <c r="Y495" s="114" t="s">
        <v>89</v>
      </c>
      <c r="AA495" s="113" t="e">
        <v>#N/A</v>
      </c>
      <c r="AB495" s="113" t="e">
        <v>#N/A</v>
      </c>
    </row>
    <row r="496" spans="1:28">
      <c r="A496" s="108">
        <v>495</v>
      </c>
      <c r="B496" s="108" t="s">
        <v>225</v>
      </c>
      <c r="C496" s="109">
        <v>46055</v>
      </c>
      <c r="D496" s="110" t="s">
        <v>28</v>
      </c>
      <c r="E496" s="110" t="s">
        <v>5252</v>
      </c>
      <c r="F496" s="110" t="s">
        <v>30</v>
      </c>
      <c r="G496" s="110">
        <v>15</v>
      </c>
      <c r="H496" s="110" t="s">
        <v>5841</v>
      </c>
      <c r="I496" s="110" t="s">
        <v>5842</v>
      </c>
      <c r="J496" s="110"/>
      <c r="K496" s="119" t="s">
        <v>5843</v>
      </c>
      <c r="L496" s="110" t="s">
        <v>5844</v>
      </c>
      <c r="M496" s="116">
        <v>1926.59</v>
      </c>
      <c r="N496" s="163">
        <v>1937</v>
      </c>
      <c r="O496" s="111"/>
      <c r="P496" s="112" t="s">
        <v>27</v>
      </c>
      <c r="Q496" s="110" t="s">
        <v>35</v>
      </c>
      <c r="R496" s="110" t="s">
        <v>27</v>
      </c>
      <c r="S496" s="110"/>
      <c r="T496" s="110">
        <f t="shared" si="7"/>
        <v>1937</v>
      </c>
      <c r="U496" s="110"/>
      <c r="V496" s="110"/>
      <c r="W496" s="110"/>
      <c r="X496" s="114" t="s">
        <v>444</v>
      </c>
      <c r="Y496" s="114" t="s">
        <v>444</v>
      </c>
      <c r="AA496" s="113" t="e">
        <v>#N/A</v>
      </c>
      <c r="AB496" s="113" t="e">
        <v>#N/A</v>
      </c>
    </row>
    <row r="497" spans="1:28">
      <c r="A497" s="108">
        <v>496</v>
      </c>
      <c r="B497" s="108" t="s">
        <v>225</v>
      </c>
      <c r="C497" s="109">
        <v>46058</v>
      </c>
      <c r="D497" s="110" t="s">
        <v>28</v>
      </c>
      <c r="E497" s="110" t="s">
        <v>5252</v>
      </c>
      <c r="F497" s="110" t="s">
        <v>30</v>
      </c>
      <c r="G497" s="110">
        <v>18</v>
      </c>
      <c r="H497" s="110" t="s">
        <v>5845</v>
      </c>
      <c r="I497" s="110" t="s">
        <v>5846</v>
      </c>
      <c r="J497" s="110"/>
      <c r="K497" s="119" t="s">
        <v>5847</v>
      </c>
      <c r="L497" s="162" t="s">
        <v>5848</v>
      </c>
      <c r="M497" s="116">
        <v>1889.87</v>
      </c>
      <c r="N497" s="116">
        <v>1889.87</v>
      </c>
      <c r="O497" s="111"/>
      <c r="P497" s="112" t="s">
        <v>27</v>
      </c>
      <c r="Q497" s="110" t="s">
        <v>35</v>
      </c>
      <c r="R497" s="110" t="s">
        <v>27</v>
      </c>
      <c r="S497" s="110"/>
      <c r="T497" s="110">
        <f t="shared" si="7"/>
        <v>1889.87</v>
      </c>
      <c r="U497" s="110"/>
      <c r="V497" s="110"/>
      <c r="W497" s="110"/>
      <c r="X497" s="114" t="s">
        <v>82</v>
      </c>
      <c r="Y497" s="114" t="s">
        <v>82</v>
      </c>
      <c r="AA497" s="113" t="e">
        <v>#N/A</v>
      </c>
      <c r="AB497" s="113" t="e">
        <v>#N/A</v>
      </c>
    </row>
    <row r="498" spans="1:28">
      <c r="A498" s="108">
        <v>497</v>
      </c>
      <c r="B498" s="108" t="s">
        <v>5010</v>
      </c>
      <c r="C498" s="109">
        <v>46056</v>
      </c>
      <c r="D498" s="110" t="s">
        <v>28</v>
      </c>
      <c r="E498" s="110" t="s">
        <v>5252</v>
      </c>
      <c r="F498" s="110" t="s">
        <v>30</v>
      </c>
      <c r="G498" s="110">
        <v>15</v>
      </c>
      <c r="H498" s="110" t="s">
        <v>5849</v>
      </c>
      <c r="I498" s="110" t="s">
        <v>5850</v>
      </c>
      <c r="J498" s="110"/>
      <c r="K498" s="119" t="s">
        <v>5851</v>
      </c>
      <c r="L498" s="110" t="s">
        <v>5852</v>
      </c>
      <c r="M498" s="116">
        <v>3415.41</v>
      </c>
      <c r="N498" s="116">
        <v>3415.41</v>
      </c>
      <c r="O498" s="111"/>
      <c r="P498" s="112" t="s">
        <v>27</v>
      </c>
      <c r="Q498" s="110" t="s">
        <v>35</v>
      </c>
      <c r="R498" s="110" t="s">
        <v>27</v>
      </c>
      <c r="S498" s="110"/>
      <c r="T498" s="110">
        <f t="shared" si="7"/>
        <v>3415.41</v>
      </c>
      <c r="U498" s="110"/>
      <c r="V498" s="110"/>
      <c r="W498" s="110"/>
      <c r="X498" s="114" t="s">
        <v>45</v>
      </c>
      <c r="Y498" s="114" t="s">
        <v>45</v>
      </c>
      <c r="AA498" s="113" t="e">
        <v>#N/A</v>
      </c>
      <c r="AB498" s="113" t="e">
        <v>#N/A</v>
      </c>
    </row>
    <row r="499" spans="1:28">
      <c r="A499" s="108">
        <v>498</v>
      </c>
      <c r="B499" s="108"/>
      <c r="C499" s="109">
        <v>46052</v>
      </c>
      <c r="D499" s="110" t="s">
        <v>28</v>
      </c>
      <c r="E499" s="110" t="s">
        <v>5252</v>
      </c>
      <c r="F499" s="110" t="s">
        <v>30</v>
      </c>
      <c r="G499" s="110">
        <v>12</v>
      </c>
      <c r="H499" s="110" t="s">
        <v>5853</v>
      </c>
      <c r="I499" s="110" t="s">
        <v>5854</v>
      </c>
      <c r="J499" s="110"/>
      <c r="K499" s="119" t="s">
        <v>5855</v>
      </c>
      <c r="L499" s="110" t="s">
        <v>5856</v>
      </c>
      <c r="M499" s="116">
        <v>2034.46</v>
      </c>
      <c r="N499" s="116">
        <v>2034.46</v>
      </c>
      <c r="O499" s="111"/>
      <c r="P499" s="112" t="s">
        <v>27</v>
      </c>
      <c r="Q499" s="110" t="s">
        <v>35</v>
      </c>
      <c r="R499" s="110" t="s">
        <v>27</v>
      </c>
      <c r="S499" s="110"/>
      <c r="T499" s="110">
        <f t="shared" si="7"/>
        <v>2034.46</v>
      </c>
      <c r="U499" s="110"/>
      <c r="V499" s="110"/>
      <c r="W499" s="110"/>
      <c r="X499" s="114" t="s">
        <v>89</v>
      </c>
      <c r="Y499" s="114" t="s">
        <v>89</v>
      </c>
      <c r="AA499" s="113" t="e">
        <v>#N/A</v>
      </c>
      <c r="AB499" s="113" t="e">
        <v>#N/A</v>
      </c>
    </row>
    <row r="500" spans="1:28">
      <c r="A500" s="108">
        <v>499</v>
      </c>
      <c r="B500" s="108" t="s">
        <v>225</v>
      </c>
      <c r="C500" s="109">
        <v>46054</v>
      </c>
      <c r="D500" s="110" t="s">
        <v>28</v>
      </c>
      <c r="E500" s="110" t="s">
        <v>5252</v>
      </c>
      <c r="F500" s="110" t="s">
        <v>30</v>
      </c>
      <c r="G500" s="110">
        <v>14</v>
      </c>
      <c r="H500" s="110" t="s">
        <v>4680</v>
      </c>
      <c r="I500" s="110" t="s">
        <v>4681</v>
      </c>
      <c r="J500" s="110"/>
      <c r="K500" s="119" t="s">
        <v>5857</v>
      </c>
      <c r="L500" s="162" t="s">
        <v>5858</v>
      </c>
      <c r="M500" s="116">
        <v>1887.35</v>
      </c>
      <c r="N500" s="163">
        <v>1898</v>
      </c>
      <c r="O500" s="111"/>
      <c r="P500" s="112" t="s">
        <v>27</v>
      </c>
      <c r="Q500" s="110" t="s">
        <v>35</v>
      </c>
      <c r="R500" s="110" t="s">
        <v>27</v>
      </c>
      <c r="S500" s="110"/>
      <c r="T500" s="110">
        <f t="shared" si="7"/>
        <v>1898</v>
      </c>
      <c r="U500" s="110"/>
      <c r="V500" s="110"/>
      <c r="W500" s="110"/>
      <c r="X500" s="114" t="s">
        <v>124</v>
      </c>
      <c r="Y500" s="114" t="s">
        <v>124</v>
      </c>
      <c r="AA500" s="113" t="e">
        <v>#N/A</v>
      </c>
      <c r="AB500" s="113" t="e">
        <v>#N/A</v>
      </c>
    </row>
    <row r="501" spans="1:28">
      <c r="A501" s="108">
        <v>500</v>
      </c>
      <c r="B501" s="108"/>
      <c r="C501" s="109">
        <v>46054</v>
      </c>
      <c r="D501" s="110" t="s">
        <v>28</v>
      </c>
      <c r="E501" s="110" t="s">
        <v>5252</v>
      </c>
      <c r="F501" s="110" t="s">
        <v>30</v>
      </c>
      <c r="G501" s="110">
        <v>14</v>
      </c>
      <c r="H501" s="110" t="s">
        <v>5859</v>
      </c>
      <c r="I501" s="110" t="s">
        <v>5860</v>
      </c>
      <c r="J501" s="110"/>
      <c r="K501" s="119" t="s">
        <v>5861</v>
      </c>
      <c r="L501" s="110"/>
      <c r="M501" s="116">
        <v>3949.62</v>
      </c>
      <c r="N501" s="116">
        <v>3949.62</v>
      </c>
      <c r="O501" s="111"/>
      <c r="P501" s="112" t="s">
        <v>27</v>
      </c>
      <c r="Q501" s="110" t="s">
        <v>35</v>
      </c>
      <c r="R501" s="110" t="s">
        <v>27</v>
      </c>
      <c r="S501" s="110"/>
      <c r="T501" s="110">
        <f t="shared" si="7"/>
        <v>3949.62</v>
      </c>
      <c r="U501" s="110"/>
      <c r="V501" s="110"/>
      <c r="W501" s="110"/>
      <c r="X501" s="114" t="s">
        <v>55</v>
      </c>
      <c r="Y501" s="114" t="s">
        <v>55</v>
      </c>
      <c r="AA501" s="113" t="e">
        <v>#N/A</v>
      </c>
      <c r="AB501" s="113" t="e">
        <v>#N/A</v>
      </c>
    </row>
    <row r="502" spans="1:28">
      <c r="A502" s="108">
        <v>501</v>
      </c>
      <c r="B502" s="108"/>
      <c r="C502" s="109">
        <v>46052</v>
      </c>
      <c r="D502" s="110" t="s">
        <v>28</v>
      </c>
      <c r="E502" s="110" t="s">
        <v>5252</v>
      </c>
      <c r="F502" s="110" t="s">
        <v>30</v>
      </c>
      <c r="G502" s="110">
        <v>12</v>
      </c>
      <c r="H502" s="110" t="s">
        <v>5862</v>
      </c>
      <c r="I502" s="110" t="s">
        <v>5863</v>
      </c>
      <c r="J502" s="110"/>
      <c r="K502" s="119" t="s">
        <v>5864</v>
      </c>
      <c r="L502" s="110" t="s">
        <v>501</v>
      </c>
      <c r="M502" s="116">
        <v>2079.65</v>
      </c>
      <c r="N502" s="116">
        <v>2079.65</v>
      </c>
      <c r="O502" s="111">
        <v>46058</v>
      </c>
      <c r="P502" s="112" t="s">
        <v>82</v>
      </c>
      <c r="Q502" s="110" t="s">
        <v>52</v>
      </c>
      <c r="R502" s="110" t="s">
        <v>27</v>
      </c>
      <c r="S502" s="110">
        <v>2000</v>
      </c>
      <c r="T502" s="110">
        <f t="shared" si="7"/>
        <v>79.650000000000091</v>
      </c>
      <c r="U502" s="111">
        <v>46058</v>
      </c>
      <c r="V502" s="110" t="s">
        <v>5865</v>
      </c>
      <c r="W502" s="110"/>
      <c r="X502" s="114" t="s">
        <v>82</v>
      </c>
      <c r="Y502" s="114" t="s">
        <v>82</v>
      </c>
      <c r="AA502" s="113" t="e">
        <v>#N/A</v>
      </c>
      <c r="AB502" s="113" t="e">
        <v>#N/A</v>
      </c>
    </row>
    <row r="503" spans="1:28">
      <c r="A503" s="108">
        <v>502</v>
      </c>
      <c r="B503" s="108" t="s">
        <v>225</v>
      </c>
      <c r="C503" s="109">
        <v>46054</v>
      </c>
      <c r="D503" s="110" t="s">
        <v>28</v>
      </c>
      <c r="E503" s="110" t="s">
        <v>5252</v>
      </c>
      <c r="F503" s="110" t="s">
        <v>30</v>
      </c>
      <c r="G503" s="110">
        <v>14</v>
      </c>
      <c r="H503" s="110" t="s">
        <v>5866</v>
      </c>
      <c r="I503" s="110" t="s">
        <v>5867</v>
      </c>
      <c r="J503" s="110"/>
      <c r="K503" s="119" t="s">
        <v>5868</v>
      </c>
      <c r="L503" s="162" t="s">
        <v>5869</v>
      </c>
      <c r="M503" s="116">
        <v>1716.97</v>
      </c>
      <c r="N503" s="163">
        <v>1727</v>
      </c>
      <c r="O503" s="111"/>
      <c r="P503" s="112" t="s">
        <v>27</v>
      </c>
      <c r="Q503" s="110" t="s">
        <v>35</v>
      </c>
      <c r="R503" s="110" t="s">
        <v>27</v>
      </c>
      <c r="S503" s="110"/>
      <c r="T503" s="110">
        <f t="shared" si="7"/>
        <v>1727</v>
      </c>
      <c r="U503" s="110"/>
      <c r="V503" s="110"/>
      <c r="W503" s="110"/>
      <c r="X503" s="114" t="s">
        <v>444</v>
      </c>
      <c r="Y503" s="114" t="s">
        <v>444</v>
      </c>
      <c r="AA503" s="113" t="e">
        <v>#N/A</v>
      </c>
      <c r="AB503" s="113" t="e">
        <v>#N/A</v>
      </c>
    </row>
    <row r="504" spans="1:28">
      <c r="A504" s="108">
        <v>503</v>
      </c>
      <c r="B504" s="108"/>
      <c r="C504" s="109">
        <v>46052</v>
      </c>
      <c r="D504" s="110" t="s">
        <v>28</v>
      </c>
      <c r="E504" s="110" t="s">
        <v>5252</v>
      </c>
      <c r="F504" s="110" t="s">
        <v>30</v>
      </c>
      <c r="G504" s="110">
        <v>12</v>
      </c>
      <c r="H504" s="110" t="s">
        <v>5870</v>
      </c>
      <c r="I504" s="110" t="s">
        <v>5871</v>
      </c>
      <c r="J504" s="110"/>
      <c r="K504" s="119" t="s">
        <v>5872</v>
      </c>
      <c r="L504" s="110" t="s">
        <v>5873</v>
      </c>
      <c r="M504" s="116">
        <v>3150.1</v>
      </c>
      <c r="N504" s="116">
        <v>3150.1</v>
      </c>
      <c r="O504" s="111"/>
      <c r="P504" s="112" t="s">
        <v>27</v>
      </c>
      <c r="Q504" s="110" t="s">
        <v>35</v>
      </c>
      <c r="R504" s="110" t="s">
        <v>27</v>
      </c>
      <c r="S504" s="110"/>
      <c r="T504" s="110">
        <f t="shared" si="7"/>
        <v>3150.1</v>
      </c>
      <c r="U504" s="110"/>
      <c r="V504" s="110"/>
      <c r="W504" s="110"/>
      <c r="X504" s="114" t="s">
        <v>69</v>
      </c>
      <c r="Y504" s="114" t="s">
        <v>69</v>
      </c>
      <c r="AA504" s="113" t="e">
        <v>#N/A</v>
      </c>
      <c r="AB504" s="113" t="e">
        <v>#N/A</v>
      </c>
    </row>
    <row r="505" spans="1:28">
      <c r="A505" s="108">
        <v>504</v>
      </c>
      <c r="B505" s="108" t="s">
        <v>225</v>
      </c>
      <c r="C505" s="109">
        <v>46054</v>
      </c>
      <c r="D505" s="110" t="s">
        <v>28</v>
      </c>
      <c r="E505" s="110" t="s">
        <v>5252</v>
      </c>
      <c r="F505" s="110" t="s">
        <v>30</v>
      </c>
      <c r="G505" s="110">
        <v>14</v>
      </c>
      <c r="H505" s="110" t="s">
        <v>5874</v>
      </c>
      <c r="I505" s="110" t="s">
        <v>5875</v>
      </c>
      <c r="J505" s="110"/>
      <c r="K505" s="119" t="s">
        <v>5876</v>
      </c>
      <c r="L505" s="162" t="s">
        <v>5877</v>
      </c>
      <c r="M505" s="116">
        <v>10886.12</v>
      </c>
      <c r="N505" s="163">
        <v>10897</v>
      </c>
      <c r="O505" s="111"/>
      <c r="P505" s="112" t="s">
        <v>27</v>
      </c>
      <c r="Q505" s="110" t="s">
        <v>35</v>
      </c>
      <c r="R505" s="110" t="s">
        <v>27</v>
      </c>
      <c r="S505" s="110"/>
      <c r="T505" s="110">
        <f t="shared" si="7"/>
        <v>10897</v>
      </c>
      <c r="U505" s="110"/>
      <c r="V505" s="110"/>
      <c r="W505" s="110"/>
      <c r="X505" s="114" t="s">
        <v>82</v>
      </c>
      <c r="Y505" s="114" t="s">
        <v>82</v>
      </c>
      <c r="AA505" s="113" t="e">
        <v>#N/A</v>
      </c>
      <c r="AB505" s="113" t="e">
        <v>#N/A</v>
      </c>
    </row>
    <row r="506" spans="1:28">
      <c r="A506" s="108">
        <v>505</v>
      </c>
      <c r="B506" s="108" t="s">
        <v>225</v>
      </c>
      <c r="C506" s="109">
        <v>46055</v>
      </c>
      <c r="D506" s="110" t="s">
        <v>28</v>
      </c>
      <c r="E506" s="110" t="s">
        <v>5252</v>
      </c>
      <c r="F506" s="110" t="s">
        <v>30</v>
      </c>
      <c r="G506" s="110">
        <v>15</v>
      </c>
      <c r="H506" s="110" t="s">
        <v>1980</v>
      </c>
      <c r="I506" s="110" t="s">
        <v>5878</v>
      </c>
      <c r="J506" s="110"/>
      <c r="K506" s="119" t="s">
        <v>1982</v>
      </c>
      <c r="L506" s="110" t="s">
        <v>1983</v>
      </c>
      <c r="M506" s="116">
        <v>1902.27</v>
      </c>
      <c r="N506" s="163">
        <v>1903</v>
      </c>
      <c r="O506" s="111"/>
      <c r="P506" s="112" t="s">
        <v>27</v>
      </c>
      <c r="Q506" s="110" t="s">
        <v>35</v>
      </c>
      <c r="R506" s="110" t="s">
        <v>27</v>
      </c>
      <c r="S506" s="110"/>
      <c r="T506" s="110">
        <f t="shared" si="7"/>
        <v>1903</v>
      </c>
      <c r="U506" s="110"/>
      <c r="V506" s="110"/>
      <c r="W506" s="110"/>
      <c r="X506" s="114" t="s">
        <v>117</v>
      </c>
      <c r="Y506" s="114" t="s">
        <v>117</v>
      </c>
      <c r="AA506" s="113" t="e">
        <v>#N/A</v>
      </c>
      <c r="AB506" s="113" t="e">
        <v>#N/A</v>
      </c>
    </row>
    <row r="507" spans="1:28">
      <c r="A507" s="108">
        <v>506</v>
      </c>
      <c r="B507" s="108" t="s">
        <v>225</v>
      </c>
      <c r="C507" s="109">
        <v>46055</v>
      </c>
      <c r="D507" s="110" t="s">
        <v>28</v>
      </c>
      <c r="E507" s="110" t="s">
        <v>5252</v>
      </c>
      <c r="F507" s="110" t="s">
        <v>30</v>
      </c>
      <c r="G507" s="110">
        <v>15</v>
      </c>
      <c r="H507" s="110" t="s">
        <v>5879</v>
      </c>
      <c r="I507" s="110" t="s">
        <v>5880</v>
      </c>
      <c r="J507" s="110"/>
      <c r="K507" s="119" t="s">
        <v>5881</v>
      </c>
      <c r="L507" s="110" t="s">
        <v>5882</v>
      </c>
      <c r="M507" s="116">
        <v>1843.01</v>
      </c>
      <c r="N507" s="163">
        <v>1844</v>
      </c>
      <c r="O507" s="111">
        <v>46059</v>
      </c>
      <c r="P507" s="112" t="s">
        <v>444</v>
      </c>
      <c r="Q507" s="110" t="s">
        <v>52</v>
      </c>
      <c r="R507" s="110" t="s">
        <v>27</v>
      </c>
      <c r="S507" s="110">
        <v>1844</v>
      </c>
      <c r="T507" s="110">
        <f t="shared" si="7"/>
        <v>0</v>
      </c>
      <c r="U507" s="111">
        <v>46059</v>
      </c>
      <c r="V507" s="110" t="s">
        <v>5883</v>
      </c>
      <c r="W507" s="110"/>
      <c r="X507" s="114" t="s">
        <v>444</v>
      </c>
      <c r="Y507" s="114" t="s">
        <v>444</v>
      </c>
      <c r="AA507" s="113" t="e">
        <v>#N/A</v>
      </c>
      <c r="AB507" s="113" t="e">
        <v>#N/A</v>
      </c>
    </row>
    <row r="508" spans="1:28">
      <c r="A508" s="108">
        <v>507</v>
      </c>
      <c r="B508" s="108" t="s">
        <v>5010</v>
      </c>
      <c r="C508" s="109">
        <v>46056</v>
      </c>
      <c r="D508" s="110" t="s">
        <v>28</v>
      </c>
      <c r="E508" s="110" t="s">
        <v>5252</v>
      </c>
      <c r="F508" s="110" t="s">
        <v>30</v>
      </c>
      <c r="G508" s="110">
        <v>15</v>
      </c>
      <c r="H508" s="110" t="s">
        <v>5884</v>
      </c>
      <c r="I508" s="110" t="s">
        <v>5885</v>
      </c>
      <c r="J508" s="110"/>
      <c r="K508" s="119" t="s">
        <v>5886</v>
      </c>
      <c r="L508" s="110" t="s">
        <v>5887</v>
      </c>
      <c r="M508" s="116">
        <v>2972.38</v>
      </c>
      <c r="N508" s="116">
        <v>2972.38</v>
      </c>
      <c r="O508" s="111"/>
      <c r="P508" s="112" t="s">
        <v>27</v>
      </c>
      <c r="Q508" s="110" t="s">
        <v>35</v>
      </c>
      <c r="R508" s="110" t="s">
        <v>27</v>
      </c>
      <c r="S508" s="110"/>
      <c r="T508" s="110">
        <f t="shared" si="7"/>
        <v>2972.38</v>
      </c>
      <c r="U508" s="110"/>
      <c r="V508" s="110"/>
      <c r="W508" s="110"/>
      <c r="X508" s="114" t="s">
        <v>45</v>
      </c>
      <c r="Y508" s="114" t="s">
        <v>45</v>
      </c>
      <c r="AA508" s="113" t="e">
        <v>#N/A</v>
      </c>
      <c r="AB508" s="113" t="e">
        <v>#N/A</v>
      </c>
    </row>
    <row r="509" spans="1:28">
      <c r="A509" s="108">
        <v>508</v>
      </c>
      <c r="B509" s="108" t="s">
        <v>225</v>
      </c>
      <c r="C509" s="109">
        <v>46055</v>
      </c>
      <c r="D509" s="110" t="s">
        <v>28</v>
      </c>
      <c r="E509" s="110" t="s">
        <v>5252</v>
      </c>
      <c r="F509" s="110" t="s">
        <v>30</v>
      </c>
      <c r="G509" s="110">
        <v>15</v>
      </c>
      <c r="H509" s="110" t="s">
        <v>4753</v>
      </c>
      <c r="I509" s="110" t="s">
        <v>4754</v>
      </c>
      <c r="J509" s="110"/>
      <c r="K509" s="119" t="s">
        <v>4755</v>
      </c>
      <c r="L509" s="110" t="s">
        <v>4756</v>
      </c>
      <c r="M509" s="116">
        <v>3201.79</v>
      </c>
      <c r="N509" s="163">
        <v>3220</v>
      </c>
      <c r="O509" s="111"/>
      <c r="P509" s="112" t="s">
        <v>27</v>
      </c>
      <c r="Q509" s="110" t="s">
        <v>35</v>
      </c>
      <c r="R509" s="110" t="s">
        <v>27</v>
      </c>
      <c r="S509" s="110"/>
      <c r="T509" s="110">
        <f t="shared" si="7"/>
        <v>3220</v>
      </c>
      <c r="U509" s="110"/>
      <c r="V509" s="110"/>
      <c r="W509" s="110"/>
      <c r="X509" s="114" t="s">
        <v>37</v>
      </c>
      <c r="Y509" s="114" t="s">
        <v>37</v>
      </c>
      <c r="AA509" s="113" t="e">
        <v>#N/A</v>
      </c>
      <c r="AB509" s="113" t="e">
        <v>#N/A</v>
      </c>
    </row>
    <row r="510" spans="1:28">
      <c r="A510" s="108">
        <v>509</v>
      </c>
      <c r="B510" s="108" t="s">
        <v>225</v>
      </c>
      <c r="C510" s="109">
        <v>46054</v>
      </c>
      <c r="D510" s="110" t="s">
        <v>28</v>
      </c>
      <c r="E510" s="110" t="s">
        <v>5252</v>
      </c>
      <c r="F510" s="110" t="s">
        <v>30</v>
      </c>
      <c r="G510" s="110">
        <v>14</v>
      </c>
      <c r="H510" s="110" t="s">
        <v>5888</v>
      </c>
      <c r="I510" s="110" t="s">
        <v>5889</v>
      </c>
      <c r="J510" s="110"/>
      <c r="K510" s="119" t="s">
        <v>5890</v>
      </c>
      <c r="L510" s="162" t="s">
        <v>5891</v>
      </c>
      <c r="M510" s="116">
        <v>1819.5</v>
      </c>
      <c r="N510" s="163">
        <v>1829</v>
      </c>
      <c r="O510" s="111"/>
      <c r="P510" s="112" t="s">
        <v>27</v>
      </c>
      <c r="Q510" s="110" t="s">
        <v>35</v>
      </c>
      <c r="R510" s="110" t="s">
        <v>27</v>
      </c>
      <c r="S510" s="110"/>
      <c r="T510" s="110">
        <f t="shared" si="7"/>
        <v>1829</v>
      </c>
      <c r="U510" s="110"/>
      <c r="V510" s="110"/>
      <c r="W510" s="110"/>
      <c r="X510" s="114" t="s">
        <v>89</v>
      </c>
      <c r="Y510" s="114" t="s">
        <v>89</v>
      </c>
      <c r="AA510" s="113" t="e">
        <v>#N/A</v>
      </c>
      <c r="AB510" s="113" t="e">
        <v>#N/A</v>
      </c>
    </row>
    <row r="511" spans="1:28">
      <c r="A511" s="108">
        <v>510</v>
      </c>
      <c r="B511" s="108" t="s">
        <v>225</v>
      </c>
      <c r="C511" s="109">
        <v>46057</v>
      </c>
      <c r="D511" s="110" t="s">
        <v>28</v>
      </c>
      <c r="E511" s="110" t="s">
        <v>5252</v>
      </c>
      <c r="F511" s="110" t="s">
        <v>30</v>
      </c>
      <c r="G511" s="110">
        <v>17</v>
      </c>
      <c r="H511" s="110" t="s">
        <v>5892</v>
      </c>
      <c r="I511" s="110" t="s">
        <v>5893</v>
      </c>
      <c r="J511" s="110"/>
      <c r="K511" s="119" t="s">
        <v>5894</v>
      </c>
      <c r="L511" s="110" t="s">
        <v>5895</v>
      </c>
      <c r="M511" s="116">
        <v>1837.04</v>
      </c>
      <c r="N511" s="116">
        <v>1838</v>
      </c>
      <c r="O511" s="111"/>
      <c r="P511" s="112" t="s">
        <v>27</v>
      </c>
      <c r="Q511" s="110" t="s">
        <v>35</v>
      </c>
      <c r="R511" s="110" t="s">
        <v>27</v>
      </c>
      <c r="S511" s="110"/>
      <c r="T511" s="110">
        <f t="shared" si="7"/>
        <v>1838</v>
      </c>
      <c r="U511" s="110"/>
      <c r="V511" s="110"/>
      <c r="W511" s="110"/>
      <c r="X511" s="114" t="s">
        <v>5438</v>
      </c>
      <c r="Y511" s="114" t="s">
        <v>5438</v>
      </c>
      <c r="AA511" s="113" t="e">
        <v>#N/A</v>
      </c>
      <c r="AB511" s="113" t="e">
        <v>#N/A</v>
      </c>
    </row>
    <row r="512" spans="1:28">
      <c r="A512" s="108">
        <v>511</v>
      </c>
      <c r="B512" s="108" t="s">
        <v>225</v>
      </c>
      <c r="C512" s="109">
        <v>46058</v>
      </c>
      <c r="D512" s="110" t="s">
        <v>28</v>
      </c>
      <c r="E512" s="110" t="s">
        <v>5252</v>
      </c>
      <c r="F512" s="110" t="s">
        <v>30</v>
      </c>
      <c r="G512" s="110">
        <v>18</v>
      </c>
      <c r="H512" s="110" t="s">
        <v>5896</v>
      </c>
      <c r="I512" s="110" t="s">
        <v>5897</v>
      </c>
      <c r="J512" s="110"/>
      <c r="K512" s="119" t="s">
        <v>5898</v>
      </c>
      <c r="L512" s="162" t="s">
        <v>5899</v>
      </c>
      <c r="M512" s="116">
        <v>1916.01</v>
      </c>
      <c r="N512" s="116">
        <v>1917</v>
      </c>
      <c r="O512" s="111"/>
      <c r="P512" s="112" t="s">
        <v>27</v>
      </c>
      <c r="Q512" s="110" t="s">
        <v>35</v>
      </c>
      <c r="R512" s="110" t="s">
        <v>27</v>
      </c>
      <c r="S512" s="110">
        <v>1400</v>
      </c>
      <c r="T512" s="110">
        <f t="shared" si="7"/>
        <v>517</v>
      </c>
      <c r="U512" s="111">
        <v>46063</v>
      </c>
      <c r="V512" s="110" t="s">
        <v>5900</v>
      </c>
      <c r="W512" s="110" t="s">
        <v>54</v>
      </c>
      <c r="X512" s="114" t="s">
        <v>45</v>
      </c>
      <c r="Y512" s="114" t="s">
        <v>45</v>
      </c>
      <c r="AA512" s="113" t="e">
        <v>#N/A</v>
      </c>
      <c r="AB512" s="113" t="e">
        <v>#N/A</v>
      </c>
    </row>
    <row r="513" spans="1:28">
      <c r="A513" s="108">
        <v>512</v>
      </c>
      <c r="B513" s="108"/>
      <c r="C513" s="109">
        <v>46052</v>
      </c>
      <c r="D513" s="110" t="s">
        <v>28</v>
      </c>
      <c r="E513" s="110" t="s">
        <v>5252</v>
      </c>
      <c r="F513" s="110" t="s">
        <v>30</v>
      </c>
      <c r="G513" s="110">
        <v>12</v>
      </c>
      <c r="H513" s="110" t="s">
        <v>5901</v>
      </c>
      <c r="I513" s="110" t="s">
        <v>5902</v>
      </c>
      <c r="J513" s="110"/>
      <c r="K513" s="119" t="s">
        <v>5903</v>
      </c>
      <c r="L513" s="110" t="s">
        <v>5904</v>
      </c>
      <c r="M513" s="116">
        <v>1379.55</v>
      </c>
      <c r="N513" s="116">
        <v>1379.55</v>
      </c>
      <c r="O513" s="111"/>
      <c r="P513" s="112" t="s">
        <v>27</v>
      </c>
      <c r="Q513" s="110" t="s">
        <v>35</v>
      </c>
      <c r="R513" s="110" t="s">
        <v>27</v>
      </c>
      <c r="S513" s="110"/>
      <c r="T513" s="110">
        <f t="shared" si="7"/>
        <v>1379.55</v>
      </c>
      <c r="U513" s="110"/>
      <c r="V513" s="110"/>
      <c r="W513" s="110"/>
      <c r="X513" s="114" t="s">
        <v>444</v>
      </c>
      <c r="Y513" s="114" t="s">
        <v>444</v>
      </c>
      <c r="AA513" s="113" t="e">
        <v>#N/A</v>
      </c>
      <c r="AB513" s="113" t="e">
        <v>#N/A</v>
      </c>
    </row>
    <row r="514" spans="1:28">
      <c r="A514" s="108">
        <v>513</v>
      </c>
      <c r="B514" s="108" t="s">
        <v>225</v>
      </c>
      <c r="C514" s="109">
        <v>46054</v>
      </c>
      <c r="D514" s="110" t="s">
        <v>28</v>
      </c>
      <c r="E514" s="110" t="s">
        <v>5252</v>
      </c>
      <c r="F514" s="110" t="s">
        <v>30</v>
      </c>
      <c r="G514" s="110">
        <v>14</v>
      </c>
      <c r="H514" s="110" t="s">
        <v>5905</v>
      </c>
      <c r="I514" s="110" t="s">
        <v>5906</v>
      </c>
      <c r="J514" s="110"/>
      <c r="K514" s="119" t="s">
        <v>5907</v>
      </c>
      <c r="L514" s="162" t="s">
        <v>5908</v>
      </c>
      <c r="M514" s="116">
        <v>1510.84</v>
      </c>
      <c r="N514" s="163">
        <v>1525</v>
      </c>
      <c r="O514" s="111"/>
      <c r="P514" s="112" t="s">
        <v>27</v>
      </c>
      <c r="Q514" s="110" t="s">
        <v>35</v>
      </c>
      <c r="R514" s="110" t="s">
        <v>27</v>
      </c>
      <c r="S514" s="110"/>
      <c r="T514" s="110">
        <f t="shared" si="7"/>
        <v>1525</v>
      </c>
      <c r="U514" s="110"/>
      <c r="V514" s="110"/>
      <c r="W514" s="110"/>
      <c r="X514" s="114" t="s">
        <v>5420</v>
      </c>
      <c r="Y514" s="114" t="s">
        <v>5420</v>
      </c>
      <c r="AA514" s="113" t="e">
        <v>#N/A</v>
      </c>
      <c r="AB514" s="113" t="e">
        <v>#N/A</v>
      </c>
    </row>
    <row r="515" spans="1:28">
      <c r="A515" s="108">
        <v>514</v>
      </c>
      <c r="B515" s="108" t="s">
        <v>5010</v>
      </c>
      <c r="C515" s="109">
        <v>46057</v>
      </c>
      <c r="D515" s="110" t="s">
        <v>28</v>
      </c>
      <c r="E515" s="110" t="s">
        <v>5252</v>
      </c>
      <c r="F515" s="110" t="s">
        <v>30</v>
      </c>
      <c r="G515" s="110">
        <v>17</v>
      </c>
      <c r="H515" s="110" t="s">
        <v>5909</v>
      </c>
      <c r="I515" s="110" t="s">
        <v>5910</v>
      </c>
      <c r="J515" s="110"/>
      <c r="K515" s="119" t="s">
        <v>5911</v>
      </c>
      <c r="L515" s="110"/>
      <c r="M515" s="116">
        <v>3428.43</v>
      </c>
      <c r="N515" s="116">
        <v>3428.43</v>
      </c>
      <c r="O515" s="111"/>
      <c r="P515" s="112" t="s">
        <v>27</v>
      </c>
      <c r="Q515" s="110" t="s">
        <v>35</v>
      </c>
      <c r="R515" s="110" t="s">
        <v>27</v>
      </c>
      <c r="S515" s="110"/>
      <c r="T515" s="110">
        <f t="shared" si="7"/>
        <v>3428.43</v>
      </c>
      <c r="U515" s="110"/>
      <c r="V515" s="110"/>
      <c r="W515" s="110"/>
      <c r="X515" s="114" t="s">
        <v>69</v>
      </c>
      <c r="Y515" s="114" t="s">
        <v>69</v>
      </c>
      <c r="AA515" s="113" t="e">
        <v>#N/A</v>
      </c>
      <c r="AB515" s="113" t="e">
        <v>#N/A</v>
      </c>
    </row>
    <row r="516" spans="1:28">
      <c r="A516" s="108">
        <v>515</v>
      </c>
      <c r="B516" s="108" t="s">
        <v>5010</v>
      </c>
      <c r="C516" s="109">
        <v>46056</v>
      </c>
      <c r="D516" s="110" t="s">
        <v>28</v>
      </c>
      <c r="E516" s="110" t="s">
        <v>5252</v>
      </c>
      <c r="F516" s="110" t="s">
        <v>30</v>
      </c>
      <c r="G516" s="110">
        <v>15</v>
      </c>
      <c r="H516" s="110" t="s">
        <v>5912</v>
      </c>
      <c r="I516" s="110" t="s">
        <v>5913</v>
      </c>
      <c r="J516" s="110"/>
      <c r="K516" s="119" t="s">
        <v>5914</v>
      </c>
      <c r="L516" s="110"/>
      <c r="M516" s="116">
        <v>2763.7</v>
      </c>
      <c r="N516" s="116">
        <v>2763.7</v>
      </c>
      <c r="O516" s="111"/>
      <c r="P516" s="112" t="s">
        <v>27</v>
      </c>
      <c r="Q516" s="110" t="s">
        <v>35</v>
      </c>
      <c r="R516" s="110" t="s">
        <v>27</v>
      </c>
      <c r="S516" s="110">
        <v>1200</v>
      </c>
      <c r="T516" s="110">
        <f t="shared" ref="T516:T579" si="8">N516-S516</f>
        <v>1563.6999999999998</v>
      </c>
      <c r="U516" s="111">
        <v>46063</v>
      </c>
      <c r="V516" s="110" t="s">
        <v>5915</v>
      </c>
      <c r="W516" s="110"/>
      <c r="X516" s="114" t="s">
        <v>45</v>
      </c>
      <c r="Y516" s="114" t="s">
        <v>45</v>
      </c>
      <c r="AA516" s="113" t="e">
        <v>#N/A</v>
      </c>
      <c r="AB516" s="113" t="e">
        <v>#N/A</v>
      </c>
    </row>
    <row r="517" spans="1:28">
      <c r="A517" s="108">
        <v>516</v>
      </c>
      <c r="B517" s="108" t="s">
        <v>5010</v>
      </c>
      <c r="C517" s="109">
        <v>46057</v>
      </c>
      <c r="D517" s="110" t="s">
        <v>28</v>
      </c>
      <c r="E517" s="110" t="s">
        <v>5252</v>
      </c>
      <c r="F517" s="110" t="s">
        <v>30</v>
      </c>
      <c r="G517" s="110">
        <v>17</v>
      </c>
      <c r="H517" s="110" t="s">
        <v>5916</v>
      </c>
      <c r="I517" s="110" t="s">
        <v>5917</v>
      </c>
      <c r="J517" s="110"/>
      <c r="K517" s="119" t="s">
        <v>5918</v>
      </c>
      <c r="L517" s="110"/>
      <c r="M517" s="116">
        <v>3377.46</v>
      </c>
      <c r="N517" s="116">
        <v>3377.46</v>
      </c>
      <c r="O517" s="111"/>
      <c r="P517" s="112" t="s">
        <v>27</v>
      </c>
      <c r="Q517" s="110" t="s">
        <v>35</v>
      </c>
      <c r="R517" s="110" t="s">
        <v>27</v>
      </c>
      <c r="S517" s="110"/>
      <c r="T517" s="110">
        <f t="shared" si="8"/>
        <v>3377.46</v>
      </c>
      <c r="U517" s="110"/>
      <c r="V517" s="110"/>
      <c r="W517" s="110"/>
      <c r="X517" s="114" t="s">
        <v>62</v>
      </c>
      <c r="Y517" s="114" t="s">
        <v>62</v>
      </c>
      <c r="AA517" s="113" t="e">
        <v>#N/A</v>
      </c>
      <c r="AB517" s="113" t="e">
        <v>#N/A</v>
      </c>
    </row>
    <row r="518" spans="1:28">
      <c r="A518" s="108">
        <v>517</v>
      </c>
      <c r="B518" s="108"/>
      <c r="C518" s="109">
        <v>46054</v>
      </c>
      <c r="D518" s="110" t="s">
        <v>28</v>
      </c>
      <c r="E518" s="110" t="s">
        <v>5252</v>
      </c>
      <c r="F518" s="110" t="s">
        <v>30</v>
      </c>
      <c r="G518" s="110">
        <v>14</v>
      </c>
      <c r="H518" s="110" t="s">
        <v>5919</v>
      </c>
      <c r="I518" s="110" t="s">
        <v>5920</v>
      </c>
      <c r="J518" s="110"/>
      <c r="K518" s="119" t="s">
        <v>5921</v>
      </c>
      <c r="L518" s="162" t="s">
        <v>5922</v>
      </c>
      <c r="M518" s="116">
        <v>2774.61</v>
      </c>
      <c r="N518" s="116">
        <v>2774.61</v>
      </c>
      <c r="O518" s="111">
        <v>46058</v>
      </c>
      <c r="P518" s="112" t="s">
        <v>82</v>
      </c>
      <c r="Q518" s="110" t="s">
        <v>52</v>
      </c>
      <c r="R518" s="110" t="s">
        <v>27</v>
      </c>
      <c r="S518" s="110">
        <v>2775</v>
      </c>
      <c r="T518" s="110">
        <f t="shared" si="8"/>
        <v>-0.38999999999987267</v>
      </c>
      <c r="U518" s="111">
        <v>46058</v>
      </c>
      <c r="V518" s="110" t="s">
        <v>5923</v>
      </c>
      <c r="W518" s="110" t="s">
        <v>54</v>
      </c>
      <c r="X518" s="114" t="s">
        <v>82</v>
      </c>
      <c r="Y518" s="114" t="s">
        <v>82</v>
      </c>
      <c r="AA518" s="113" t="e">
        <v>#N/A</v>
      </c>
      <c r="AB518" s="113" t="e">
        <v>#N/A</v>
      </c>
    </row>
    <row r="519" spans="1:28">
      <c r="A519" s="108">
        <v>518</v>
      </c>
      <c r="B519" s="108"/>
      <c r="C519" s="109">
        <v>46052</v>
      </c>
      <c r="D519" s="110" t="s">
        <v>28</v>
      </c>
      <c r="E519" s="110" t="s">
        <v>5252</v>
      </c>
      <c r="F519" s="110" t="s">
        <v>30</v>
      </c>
      <c r="G519" s="110">
        <v>12</v>
      </c>
      <c r="H519" s="110" t="s">
        <v>5924</v>
      </c>
      <c r="I519" s="110" t="s">
        <v>5925</v>
      </c>
      <c r="J519" s="110"/>
      <c r="K519" s="119" t="s">
        <v>5926</v>
      </c>
      <c r="L519" s="110" t="s">
        <v>5927</v>
      </c>
      <c r="M519" s="116">
        <v>1223.1600000000001</v>
      </c>
      <c r="N519" s="116">
        <v>1223.1600000000001</v>
      </c>
      <c r="O519" s="111"/>
      <c r="P519" s="112" t="s">
        <v>27</v>
      </c>
      <c r="Q519" s="110" t="s">
        <v>35</v>
      </c>
      <c r="R519" s="110" t="s">
        <v>27</v>
      </c>
      <c r="S519" s="110"/>
      <c r="T519" s="110">
        <f t="shared" si="8"/>
        <v>1223.1600000000001</v>
      </c>
      <c r="U519" s="110"/>
      <c r="V519" s="110"/>
      <c r="W519" s="110"/>
      <c r="X519" s="114" t="s">
        <v>4335</v>
      </c>
      <c r="Y519" s="114" t="s">
        <v>4335</v>
      </c>
      <c r="AA519" s="113" t="e">
        <v>#N/A</v>
      </c>
      <c r="AB519" s="113" t="e">
        <v>#N/A</v>
      </c>
    </row>
    <row r="520" spans="1:28">
      <c r="A520" s="108">
        <v>519</v>
      </c>
      <c r="B520" s="108" t="s">
        <v>225</v>
      </c>
      <c r="C520" s="109">
        <v>46054</v>
      </c>
      <c r="D520" s="110" t="s">
        <v>28</v>
      </c>
      <c r="E520" s="110" t="s">
        <v>5252</v>
      </c>
      <c r="F520" s="110" t="s">
        <v>30</v>
      </c>
      <c r="G520" s="110">
        <v>14</v>
      </c>
      <c r="H520" s="110" t="s">
        <v>440</v>
      </c>
      <c r="I520" s="110" t="s">
        <v>4633</v>
      </c>
      <c r="J520" s="110"/>
      <c r="K520" s="119" t="s">
        <v>442</v>
      </c>
      <c r="L520" s="162" t="s">
        <v>443</v>
      </c>
      <c r="M520" s="116">
        <v>1543.4</v>
      </c>
      <c r="N520" s="163">
        <v>1559</v>
      </c>
      <c r="O520" s="111"/>
      <c r="P520" s="112" t="s">
        <v>27</v>
      </c>
      <c r="Q520" s="110" t="s">
        <v>35</v>
      </c>
      <c r="R520" s="110" t="s">
        <v>27</v>
      </c>
      <c r="S520" s="110"/>
      <c r="T520" s="110">
        <f t="shared" si="8"/>
        <v>1559</v>
      </c>
      <c r="U520" s="110"/>
      <c r="V520" s="110"/>
      <c r="W520" s="110"/>
      <c r="X520" s="114" t="s">
        <v>444</v>
      </c>
      <c r="Y520" s="114" t="s">
        <v>444</v>
      </c>
      <c r="AA520" s="113" t="e">
        <v>#N/A</v>
      </c>
      <c r="AB520" s="113" t="e">
        <v>#N/A</v>
      </c>
    </row>
    <row r="521" spans="1:28">
      <c r="A521" s="108">
        <v>520</v>
      </c>
      <c r="B521" s="108" t="s">
        <v>5010</v>
      </c>
      <c r="C521" s="109">
        <v>46056</v>
      </c>
      <c r="D521" s="110" t="s">
        <v>28</v>
      </c>
      <c r="E521" s="110" t="s">
        <v>5252</v>
      </c>
      <c r="F521" s="110" t="s">
        <v>30</v>
      </c>
      <c r="G521" s="110">
        <v>15</v>
      </c>
      <c r="H521" s="110" t="s">
        <v>5928</v>
      </c>
      <c r="I521" s="110" t="s">
        <v>5929</v>
      </c>
      <c r="J521" s="110"/>
      <c r="K521" s="119" t="s">
        <v>5930</v>
      </c>
      <c r="L521" s="110"/>
      <c r="M521" s="116">
        <v>1872.6</v>
      </c>
      <c r="N521" s="116">
        <v>1872.6</v>
      </c>
      <c r="O521" s="111"/>
      <c r="P521" s="112" t="s">
        <v>27</v>
      </c>
      <c r="Q521" s="110" t="s">
        <v>35</v>
      </c>
      <c r="R521" s="110" t="s">
        <v>27</v>
      </c>
      <c r="S521" s="110"/>
      <c r="T521" s="110">
        <f t="shared" si="8"/>
        <v>1872.6</v>
      </c>
      <c r="U521" s="110"/>
      <c r="V521" s="110"/>
      <c r="W521" s="110"/>
      <c r="X521" s="114" t="s">
        <v>45</v>
      </c>
      <c r="Y521" s="114" t="s">
        <v>45</v>
      </c>
      <c r="AA521" s="113" t="e">
        <v>#N/A</v>
      </c>
      <c r="AB521" s="113" t="e">
        <v>#N/A</v>
      </c>
    </row>
    <row r="522" spans="1:28">
      <c r="A522" s="108">
        <v>521</v>
      </c>
      <c r="B522" s="108"/>
      <c r="C522" s="109">
        <v>46052</v>
      </c>
      <c r="D522" s="110" t="s">
        <v>28</v>
      </c>
      <c r="E522" s="110" t="s">
        <v>5252</v>
      </c>
      <c r="F522" s="110" t="s">
        <v>30</v>
      </c>
      <c r="G522" s="110">
        <v>12</v>
      </c>
      <c r="H522" s="110" t="s">
        <v>5525</v>
      </c>
      <c r="I522" s="110" t="s">
        <v>5526</v>
      </c>
      <c r="J522" s="110"/>
      <c r="K522" s="119" t="s">
        <v>5931</v>
      </c>
      <c r="L522" s="110"/>
      <c r="M522" s="116">
        <v>8239.83</v>
      </c>
      <c r="N522" s="116">
        <v>8239.83</v>
      </c>
      <c r="O522" s="111"/>
      <c r="P522" s="112" t="s">
        <v>27</v>
      </c>
      <c r="Q522" s="110" t="s">
        <v>35</v>
      </c>
      <c r="R522" s="110" t="s">
        <v>27</v>
      </c>
      <c r="S522" s="110"/>
      <c r="T522" s="110">
        <f t="shared" si="8"/>
        <v>8239.83</v>
      </c>
      <c r="U522" s="110"/>
      <c r="V522" s="110"/>
      <c r="W522" s="110"/>
      <c r="X522" s="114" t="s">
        <v>62</v>
      </c>
      <c r="Y522" s="114" t="s">
        <v>62</v>
      </c>
      <c r="AA522" s="113" t="e">
        <v>#N/A</v>
      </c>
      <c r="AB522" s="113" t="e">
        <v>#N/A</v>
      </c>
    </row>
    <row r="523" spans="1:28">
      <c r="A523" s="108">
        <v>522</v>
      </c>
      <c r="B523" s="108"/>
      <c r="C523" s="109">
        <v>46052</v>
      </c>
      <c r="D523" s="110" t="s">
        <v>28</v>
      </c>
      <c r="E523" s="110" t="s">
        <v>5252</v>
      </c>
      <c r="F523" s="110" t="s">
        <v>30</v>
      </c>
      <c r="G523" s="110">
        <v>12</v>
      </c>
      <c r="H523" s="110" t="s">
        <v>1668</v>
      </c>
      <c r="I523" s="110" t="s">
        <v>5932</v>
      </c>
      <c r="J523" s="110"/>
      <c r="K523" s="119" t="s">
        <v>5933</v>
      </c>
      <c r="L523" s="110" t="s">
        <v>5934</v>
      </c>
      <c r="M523" s="116">
        <v>543.75</v>
      </c>
      <c r="N523" s="116">
        <v>543.75</v>
      </c>
      <c r="O523" s="111"/>
      <c r="P523" s="112" t="s">
        <v>27</v>
      </c>
      <c r="Q523" s="110" t="s">
        <v>35</v>
      </c>
      <c r="R523" s="110" t="s">
        <v>27</v>
      </c>
      <c r="S523" s="110"/>
      <c r="T523" s="110">
        <f t="shared" si="8"/>
        <v>543.75</v>
      </c>
      <c r="U523" s="110"/>
      <c r="V523" s="110"/>
      <c r="W523" s="110"/>
      <c r="X523" s="114" t="s">
        <v>5420</v>
      </c>
      <c r="Y523" s="114" t="s">
        <v>5420</v>
      </c>
      <c r="AA523" s="113" t="e">
        <v>#N/A</v>
      </c>
      <c r="AB523" s="113" t="e">
        <v>#N/A</v>
      </c>
    </row>
    <row r="524" spans="1:28">
      <c r="A524" s="108">
        <v>523</v>
      </c>
      <c r="B524" s="108" t="s">
        <v>225</v>
      </c>
      <c r="C524" s="109">
        <v>46054</v>
      </c>
      <c r="D524" s="110" t="s">
        <v>28</v>
      </c>
      <c r="E524" s="110" t="s">
        <v>5252</v>
      </c>
      <c r="F524" s="110" t="s">
        <v>30</v>
      </c>
      <c r="G524" s="110">
        <v>14</v>
      </c>
      <c r="H524" s="110" t="s">
        <v>4637</v>
      </c>
      <c r="I524" s="110" t="s">
        <v>4638</v>
      </c>
      <c r="J524" s="110"/>
      <c r="K524" s="119" t="s">
        <v>4639</v>
      </c>
      <c r="L524" s="162" t="s">
        <v>4640</v>
      </c>
      <c r="M524" s="116">
        <v>1315.14</v>
      </c>
      <c r="N524" s="163">
        <v>1322</v>
      </c>
      <c r="O524" s="111"/>
      <c r="P524" s="112" t="s">
        <v>27</v>
      </c>
      <c r="Q524" s="110" t="s">
        <v>35</v>
      </c>
      <c r="R524" s="110" t="s">
        <v>27</v>
      </c>
      <c r="S524" s="110"/>
      <c r="T524" s="110">
        <f t="shared" si="8"/>
        <v>1322</v>
      </c>
      <c r="U524" s="110"/>
      <c r="V524" s="110"/>
      <c r="W524" s="110"/>
      <c r="X524" s="114" t="s">
        <v>4335</v>
      </c>
      <c r="Y524" s="114" t="s">
        <v>4335</v>
      </c>
      <c r="AA524" s="113" t="e">
        <v>#N/A</v>
      </c>
      <c r="AB524" s="113" t="e">
        <v>#N/A</v>
      </c>
    </row>
    <row r="525" spans="1:28">
      <c r="A525" s="108">
        <v>524</v>
      </c>
      <c r="B525" s="108" t="s">
        <v>5010</v>
      </c>
      <c r="C525" s="109">
        <v>46056</v>
      </c>
      <c r="D525" s="110" t="s">
        <v>28</v>
      </c>
      <c r="E525" s="110" t="s">
        <v>5252</v>
      </c>
      <c r="F525" s="110" t="s">
        <v>30</v>
      </c>
      <c r="G525" s="110">
        <v>15</v>
      </c>
      <c r="H525" s="110" t="s">
        <v>5935</v>
      </c>
      <c r="I525" s="110" t="s">
        <v>5936</v>
      </c>
      <c r="J525" s="110"/>
      <c r="K525" s="119" t="s">
        <v>5937</v>
      </c>
      <c r="L525" s="110"/>
      <c r="M525" s="116">
        <v>2415.12</v>
      </c>
      <c r="N525" s="116">
        <v>2415.12</v>
      </c>
      <c r="O525" s="111"/>
      <c r="P525" s="112" t="s">
        <v>27</v>
      </c>
      <c r="Q525" s="110" t="s">
        <v>35</v>
      </c>
      <c r="R525" s="110" t="s">
        <v>27</v>
      </c>
      <c r="S525" s="110"/>
      <c r="T525" s="110">
        <f t="shared" si="8"/>
        <v>2415.12</v>
      </c>
      <c r="U525" s="110"/>
      <c r="V525" s="110"/>
      <c r="W525" s="110"/>
      <c r="X525" s="114" t="s">
        <v>82</v>
      </c>
      <c r="Y525" s="114" t="s">
        <v>82</v>
      </c>
      <c r="AA525" s="113" t="e">
        <v>#N/A</v>
      </c>
      <c r="AB525" s="113" t="e">
        <v>#N/A</v>
      </c>
    </row>
    <row r="526" spans="1:28">
      <c r="A526" s="108">
        <v>525</v>
      </c>
      <c r="B526" s="108" t="s">
        <v>225</v>
      </c>
      <c r="C526" s="109">
        <v>46055</v>
      </c>
      <c r="D526" s="110" t="s">
        <v>28</v>
      </c>
      <c r="E526" s="110" t="s">
        <v>5252</v>
      </c>
      <c r="F526" s="110" t="s">
        <v>30</v>
      </c>
      <c r="G526" s="110">
        <v>15</v>
      </c>
      <c r="H526" s="110" t="s">
        <v>5938</v>
      </c>
      <c r="I526" s="110" t="s">
        <v>5939</v>
      </c>
      <c r="J526" s="110"/>
      <c r="K526" s="119" t="s">
        <v>5940</v>
      </c>
      <c r="L526" s="110" t="s">
        <v>5941</v>
      </c>
      <c r="M526" s="116">
        <v>1418.39</v>
      </c>
      <c r="N526" s="163">
        <v>1429</v>
      </c>
      <c r="O526" s="111"/>
      <c r="P526" s="112" t="s">
        <v>27</v>
      </c>
      <c r="Q526" s="110" t="s">
        <v>35</v>
      </c>
      <c r="R526" s="110" t="s">
        <v>27</v>
      </c>
      <c r="S526" s="110"/>
      <c r="T526" s="110">
        <f t="shared" si="8"/>
        <v>1429</v>
      </c>
      <c r="U526" s="110"/>
      <c r="V526" s="110"/>
      <c r="W526" s="110"/>
      <c r="X526" s="114" t="s">
        <v>82</v>
      </c>
      <c r="Y526" s="114" t="s">
        <v>82</v>
      </c>
      <c r="AA526" s="113" t="e">
        <v>#N/A</v>
      </c>
      <c r="AB526" s="113" t="e">
        <v>#N/A</v>
      </c>
    </row>
    <row r="527" spans="1:28">
      <c r="A527" s="108">
        <v>526</v>
      </c>
      <c r="B527" s="108"/>
      <c r="C527" s="109">
        <v>46052</v>
      </c>
      <c r="D527" s="110" t="s">
        <v>28</v>
      </c>
      <c r="E527" s="110" t="s">
        <v>5252</v>
      </c>
      <c r="F527" s="110" t="s">
        <v>30</v>
      </c>
      <c r="G527" s="110">
        <v>12</v>
      </c>
      <c r="H527" s="110" t="s">
        <v>5942</v>
      </c>
      <c r="I527" s="110" t="s">
        <v>5943</v>
      </c>
      <c r="J527" s="110"/>
      <c r="K527" s="119" t="s">
        <v>5944</v>
      </c>
      <c r="L527" s="110" t="s">
        <v>5945</v>
      </c>
      <c r="M527" s="116">
        <v>823.95</v>
      </c>
      <c r="N527" s="116">
        <v>823.95</v>
      </c>
      <c r="O527" s="111"/>
      <c r="P527" s="112" t="s">
        <v>27</v>
      </c>
      <c r="Q527" s="110" t="s">
        <v>35</v>
      </c>
      <c r="R527" s="110" t="s">
        <v>27</v>
      </c>
      <c r="S527" s="110"/>
      <c r="T527" s="110">
        <f t="shared" si="8"/>
        <v>823.95</v>
      </c>
      <c r="U527" s="110"/>
      <c r="V527" s="110"/>
      <c r="W527" s="110"/>
      <c r="X527" s="114" t="s">
        <v>69</v>
      </c>
      <c r="Y527" s="114" t="s">
        <v>69</v>
      </c>
      <c r="AA527" s="113" t="e">
        <v>#N/A</v>
      </c>
      <c r="AB527" s="113" t="e">
        <v>#N/A</v>
      </c>
    </row>
    <row r="528" spans="1:28">
      <c r="A528" s="108">
        <v>527</v>
      </c>
      <c r="B528" s="108" t="s">
        <v>5010</v>
      </c>
      <c r="C528" s="109">
        <v>46056</v>
      </c>
      <c r="D528" s="110" t="s">
        <v>28</v>
      </c>
      <c r="E528" s="110" t="s">
        <v>5252</v>
      </c>
      <c r="F528" s="110" t="s">
        <v>30</v>
      </c>
      <c r="G528" s="110">
        <v>15</v>
      </c>
      <c r="H528" s="110" t="s">
        <v>5946</v>
      </c>
      <c r="I528" s="110" t="s">
        <v>5947</v>
      </c>
      <c r="J528" s="110"/>
      <c r="K528" s="119" t="s">
        <v>5948</v>
      </c>
      <c r="L528" s="110" t="s">
        <v>1635</v>
      </c>
      <c r="M528" s="116">
        <v>1765.32</v>
      </c>
      <c r="N528" s="116">
        <v>1765.32</v>
      </c>
      <c r="O528" s="111"/>
      <c r="P528" s="112" t="s">
        <v>27</v>
      </c>
      <c r="Q528" s="110" t="s">
        <v>35</v>
      </c>
      <c r="R528" s="110" t="s">
        <v>27</v>
      </c>
      <c r="S528" s="110"/>
      <c r="T528" s="110">
        <f t="shared" si="8"/>
        <v>1765.32</v>
      </c>
      <c r="U528" s="110"/>
      <c r="V528" s="110"/>
      <c r="W528" s="110"/>
      <c r="X528" s="114" t="s">
        <v>55</v>
      </c>
      <c r="Y528" s="114" t="s">
        <v>55</v>
      </c>
      <c r="AA528" s="113" t="e">
        <v>#N/A</v>
      </c>
      <c r="AB528" s="113" t="e">
        <v>#N/A</v>
      </c>
    </row>
    <row r="529" spans="1:28">
      <c r="A529" s="108">
        <v>528</v>
      </c>
      <c r="B529" s="108"/>
      <c r="C529" s="109">
        <v>46054</v>
      </c>
      <c r="D529" s="110" t="s">
        <v>28</v>
      </c>
      <c r="E529" s="110" t="s">
        <v>5252</v>
      </c>
      <c r="F529" s="110" t="s">
        <v>30</v>
      </c>
      <c r="G529" s="110">
        <v>14</v>
      </c>
      <c r="H529" s="110" t="s">
        <v>5949</v>
      </c>
      <c r="I529" s="110" t="s">
        <v>5950</v>
      </c>
      <c r="J529" s="110"/>
      <c r="K529" s="119" t="s">
        <v>5951</v>
      </c>
      <c r="L529" s="110"/>
      <c r="M529" s="116">
        <v>1948.6</v>
      </c>
      <c r="N529" s="116">
        <v>1948.6</v>
      </c>
      <c r="O529" s="111"/>
      <c r="P529" s="112" t="s">
        <v>27</v>
      </c>
      <c r="Q529" s="110" t="s">
        <v>35</v>
      </c>
      <c r="R529" s="110" t="s">
        <v>27</v>
      </c>
      <c r="S529" s="110"/>
      <c r="T529" s="110">
        <f t="shared" si="8"/>
        <v>1948.6</v>
      </c>
      <c r="U529" s="110"/>
      <c r="V529" s="110"/>
      <c r="W529" s="110"/>
      <c r="X529" s="114" t="s">
        <v>55</v>
      </c>
      <c r="Y529" s="114" t="s">
        <v>55</v>
      </c>
      <c r="AA529" s="113" t="e">
        <v>#N/A</v>
      </c>
      <c r="AB529" s="113" t="e">
        <v>#N/A</v>
      </c>
    </row>
    <row r="530" spans="1:28">
      <c r="A530" s="108">
        <v>529</v>
      </c>
      <c r="B530" s="108"/>
      <c r="C530" s="109">
        <v>46052</v>
      </c>
      <c r="D530" s="110" t="s">
        <v>28</v>
      </c>
      <c r="E530" s="110" t="s">
        <v>5252</v>
      </c>
      <c r="F530" s="110" t="s">
        <v>30</v>
      </c>
      <c r="G530" s="110">
        <v>12</v>
      </c>
      <c r="H530" s="110" t="s">
        <v>5952</v>
      </c>
      <c r="I530" s="110" t="s">
        <v>5953</v>
      </c>
      <c r="J530" s="110"/>
      <c r="K530" s="119" t="s">
        <v>5954</v>
      </c>
      <c r="L530" s="110" t="s">
        <v>5955</v>
      </c>
      <c r="M530" s="116">
        <v>3676.95</v>
      </c>
      <c r="N530" s="116">
        <v>3676.95</v>
      </c>
      <c r="O530" s="111"/>
      <c r="P530" s="112" t="s">
        <v>27</v>
      </c>
      <c r="Q530" s="110" t="s">
        <v>35</v>
      </c>
      <c r="R530" s="110" t="s">
        <v>27</v>
      </c>
      <c r="S530" s="110"/>
      <c r="T530" s="110">
        <f t="shared" si="8"/>
        <v>3676.95</v>
      </c>
      <c r="U530" s="110"/>
      <c r="V530" s="110"/>
      <c r="W530" s="110"/>
      <c r="X530" s="114" t="s">
        <v>444</v>
      </c>
      <c r="Y530" s="114" t="s">
        <v>444</v>
      </c>
      <c r="AA530" s="113" t="e">
        <v>#N/A</v>
      </c>
      <c r="AB530" s="113" t="e">
        <v>#N/A</v>
      </c>
    </row>
    <row r="531" spans="1:28">
      <c r="A531" s="108">
        <v>530</v>
      </c>
      <c r="B531" s="108" t="s">
        <v>225</v>
      </c>
      <c r="C531" s="109">
        <v>46054</v>
      </c>
      <c r="D531" s="110" t="s">
        <v>28</v>
      </c>
      <c r="E531" s="110" t="s">
        <v>5252</v>
      </c>
      <c r="F531" s="110" t="s">
        <v>30</v>
      </c>
      <c r="G531" s="110">
        <v>14</v>
      </c>
      <c r="H531" s="110" t="s">
        <v>4653</v>
      </c>
      <c r="I531" s="110" t="s">
        <v>4654</v>
      </c>
      <c r="J531" s="110"/>
      <c r="K531" s="119" t="s">
        <v>4655</v>
      </c>
      <c r="L531" s="162" t="s">
        <v>4656</v>
      </c>
      <c r="M531" s="116">
        <v>2325.5100000000002</v>
      </c>
      <c r="N531" s="163">
        <v>2336</v>
      </c>
      <c r="O531" s="111"/>
      <c r="P531" s="112" t="s">
        <v>27</v>
      </c>
      <c r="Q531" s="110" t="s">
        <v>35</v>
      </c>
      <c r="R531" s="110" t="s">
        <v>27</v>
      </c>
      <c r="S531" s="110"/>
      <c r="T531" s="110">
        <f t="shared" si="8"/>
        <v>2336</v>
      </c>
      <c r="U531" s="110"/>
      <c r="V531" s="110"/>
      <c r="W531" s="110"/>
      <c r="X531" s="114" t="s">
        <v>103</v>
      </c>
      <c r="Y531" s="114" t="s">
        <v>103</v>
      </c>
      <c r="AA531" s="113" t="e">
        <v>#N/A</v>
      </c>
      <c r="AB531" s="113" t="e">
        <v>#N/A</v>
      </c>
    </row>
    <row r="532" spans="1:28">
      <c r="A532" s="108">
        <v>531</v>
      </c>
      <c r="B532" s="108"/>
      <c r="C532" s="109">
        <v>46052</v>
      </c>
      <c r="D532" s="110" t="s">
        <v>28</v>
      </c>
      <c r="E532" s="110" t="s">
        <v>5252</v>
      </c>
      <c r="F532" s="110" t="s">
        <v>30</v>
      </c>
      <c r="G532" s="110">
        <v>12</v>
      </c>
      <c r="H532" s="110" t="s">
        <v>5956</v>
      </c>
      <c r="I532" s="110" t="s">
        <v>5957</v>
      </c>
      <c r="J532" s="110"/>
      <c r="K532" s="119" t="s">
        <v>5958</v>
      </c>
      <c r="L532" s="110"/>
      <c r="M532" s="116">
        <v>2980.36</v>
      </c>
      <c r="N532" s="116">
        <v>2980.36</v>
      </c>
      <c r="O532" s="111">
        <v>46059</v>
      </c>
      <c r="P532" s="112" t="s">
        <v>5420</v>
      </c>
      <c r="Q532" s="110" t="s">
        <v>52</v>
      </c>
      <c r="R532" s="110" t="s">
        <v>27</v>
      </c>
      <c r="S532" s="110">
        <v>2981</v>
      </c>
      <c r="T532" s="110">
        <f t="shared" si="8"/>
        <v>-0.63999999999987267</v>
      </c>
      <c r="U532" s="111">
        <v>46059</v>
      </c>
      <c r="V532" s="110" t="s">
        <v>5959</v>
      </c>
      <c r="W532" s="110"/>
      <c r="X532" s="114" t="s">
        <v>5420</v>
      </c>
      <c r="Y532" s="114" t="s">
        <v>5420</v>
      </c>
      <c r="AA532" s="113" t="e">
        <v>#N/A</v>
      </c>
      <c r="AB532" s="113" t="e">
        <v>#N/A</v>
      </c>
    </row>
    <row r="533" spans="1:28">
      <c r="A533" s="108">
        <v>532</v>
      </c>
      <c r="B533" s="108" t="s">
        <v>225</v>
      </c>
      <c r="C533" s="109">
        <v>46055</v>
      </c>
      <c r="D533" s="110" t="s">
        <v>28</v>
      </c>
      <c r="E533" s="110" t="s">
        <v>5252</v>
      </c>
      <c r="F533" s="110" t="s">
        <v>30</v>
      </c>
      <c r="G533" s="110">
        <v>15</v>
      </c>
      <c r="H533" s="110" t="s">
        <v>4775</v>
      </c>
      <c r="I533" s="110" t="s">
        <v>4776</v>
      </c>
      <c r="J533" s="110"/>
      <c r="K533" s="119" t="s">
        <v>4777</v>
      </c>
      <c r="L533" s="110" t="s">
        <v>4778</v>
      </c>
      <c r="M533" s="116">
        <v>1027.43</v>
      </c>
      <c r="N533" s="163">
        <v>1038</v>
      </c>
      <c r="O533" s="111"/>
      <c r="P533" s="112" t="s">
        <v>27</v>
      </c>
      <c r="Q533" s="110" t="s">
        <v>35</v>
      </c>
      <c r="R533" s="110" t="s">
        <v>27</v>
      </c>
      <c r="S533" s="110"/>
      <c r="T533" s="110">
        <f t="shared" si="8"/>
        <v>1038</v>
      </c>
      <c r="U533" s="110"/>
      <c r="V533" s="110"/>
      <c r="W533" s="110"/>
      <c r="X533" s="114" t="s">
        <v>444</v>
      </c>
      <c r="Y533" s="114" t="s">
        <v>444</v>
      </c>
      <c r="AA533" s="113" t="e">
        <v>#N/A</v>
      </c>
      <c r="AB533" s="113" t="e">
        <v>#N/A</v>
      </c>
    </row>
    <row r="534" spans="1:28">
      <c r="A534" s="108">
        <v>533</v>
      </c>
      <c r="B534" s="108" t="s">
        <v>225</v>
      </c>
      <c r="C534" s="109">
        <v>46054</v>
      </c>
      <c r="D534" s="110" t="s">
        <v>28</v>
      </c>
      <c r="E534" s="110" t="s">
        <v>5252</v>
      </c>
      <c r="F534" s="110" t="s">
        <v>30</v>
      </c>
      <c r="G534" s="110">
        <v>14</v>
      </c>
      <c r="H534" s="110" t="s">
        <v>4657</v>
      </c>
      <c r="I534" s="110" t="s">
        <v>4658</v>
      </c>
      <c r="J534" s="110"/>
      <c r="K534" s="119" t="s">
        <v>4659</v>
      </c>
      <c r="L534" s="162" t="s">
        <v>4660</v>
      </c>
      <c r="M534" s="116">
        <v>1157.9100000000001</v>
      </c>
      <c r="N534" s="163">
        <v>1168</v>
      </c>
      <c r="O534" s="111"/>
      <c r="P534" s="112" t="s">
        <v>27</v>
      </c>
      <c r="Q534" s="110" t="s">
        <v>35</v>
      </c>
      <c r="R534" s="110" t="s">
        <v>27</v>
      </c>
      <c r="S534" s="110"/>
      <c r="T534" s="110">
        <f t="shared" si="8"/>
        <v>1168</v>
      </c>
      <c r="U534" s="110"/>
      <c r="V534" s="110"/>
      <c r="W534" s="110"/>
      <c r="X534" s="114" t="s">
        <v>62</v>
      </c>
      <c r="Y534" s="114" t="s">
        <v>62</v>
      </c>
      <c r="AA534" s="113" t="e">
        <v>#N/A</v>
      </c>
      <c r="AB534" s="113" t="e">
        <v>#N/A</v>
      </c>
    </row>
    <row r="535" spans="1:28">
      <c r="A535" s="108">
        <v>534</v>
      </c>
      <c r="B535" s="108"/>
      <c r="C535" s="109">
        <v>46052</v>
      </c>
      <c r="D535" s="110" t="s">
        <v>28</v>
      </c>
      <c r="E535" s="110" t="s">
        <v>5252</v>
      </c>
      <c r="F535" s="110" t="s">
        <v>30</v>
      </c>
      <c r="G535" s="110">
        <v>12</v>
      </c>
      <c r="H535" s="110" t="s">
        <v>5960</v>
      </c>
      <c r="I535" s="110" t="s">
        <v>5961</v>
      </c>
      <c r="J535" s="110"/>
      <c r="K535" s="119" t="s">
        <v>5962</v>
      </c>
      <c r="L535" s="110" t="s">
        <v>5963</v>
      </c>
      <c r="M535" s="116">
        <v>938.79</v>
      </c>
      <c r="N535" s="116">
        <v>938.79</v>
      </c>
      <c r="O535" s="111"/>
      <c r="P535" s="112" t="s">
        <v>27</v>
      </c>
      <c r="Q535" s="110" t="s">
        <v>35</v>
      </c>
      <c r="R535" s="110" t="s">
        <v>27</v>
      </c>
      <c r="S535" s="110"/>
      <c r="T535" s="110">
        <f t="shared" si="8"/>
        <v>938.79</v>
      </c>
      <c r="U535" s="110"/>
      <c r="V535" s="110"/>
      <c r="W535" s="110"/>
      <c r="X535" s="114" t="s">
        <v>444</v>
      </c>
      <c r="Y535" s="114" t="s">
        <v>444</v>
      </c>
      <c r="AA535" s="113" t="e">
        <v>#N/A</v>
      </c>
      <c r="AB535" s="113" t="e">
        <v>#N/A</v>
      </c>
    </row>
    <row r="536" spans="1:28">
      <c r="A536" s="108">
        <v>535</v>
      </c>
      <c r="B536" s="108" t="s">
        <v>225</v>
      </c>
      <c r="C536" s="109">
        <v>46054</v>
      </c>
      <c r="D536" s="110" t="s">
        <v>28</v>
      </c>
      <c r="E536" s="110" t="s">
        <v>5252</v>
      </c>
      <c r="F536" s="110" t="s">
        <v>30</v>
      </c>
      <c r="G536" s="110">
        <v>14</v>
      </c>
      <c r="H536" s="110" t="s">
        <v>4673</v>
      </c>
      <c r="I536" s="110" t="s">
        <v>4674</v>
      </c>
      <c r="J536" s="110"/>
      <c r="K536" s="119" t="s">
        <v>4675</v>
      </c>
      <c r="L536" s="162" t="s">
        <v>4676</v>
      </c>
      <c r="M536" s="116">
        <v>1649.16</v>
      </c>
      <c r="N536" s="163">
        <v>1665</v>
      </c>
      <c r="O536" s="111"/>
      <c r="P536" s="112" t="s">
        <v>27</v>
      </c>
      <c r="Q536" s="110" t="s">
        <v>35</v>
      </c>
      <c r="R536" s="110" t="s">
        <v>27</v>
      </c>
      <c r="S536" s="110"/>
      <c r="T536" s="110">
        <f t="shared" si="8"/>
        <v>1665</v>
      </c>
      <c r="U536" s="110"/>
      <c r="V536" s="110"/>
      <c r="W536" s="110"/>
      <c r="X536" s="114" t="s">
        <v>89</v>
      </c>
      <c r="Y536" s="114" t="s">
        <v>89</v>
      </c>
      <c r="AA536" s="113" t="e">
        <v>#N/A</v>
      </c>
      <c r="AB536" s="113" t="e">
        <v>#N/A</v>
      </c>
    </row>
    <row r="537" spans="1:28">
      <c r="A537" s="108">
        <v>536</v>
      </c>
      <c r="B537" s="108"/>
      <c r="C537" s="109">
        <v>46052</v>
      </c>
      <c r="D537" s="110" t="s">
        <v>28</v>
      </c>
      <c r="E537" s="110" t="s">
        <v>5252</v>
      </c>
      <c r="F537" s="110" t="s">
        <v>30</v>
      </c>
      <c r="G537" s="110">
        <v>12</v>
      </c>
      <c r="H537" s="110" t="s">
        <v>5964</v>
      </c>
      <c r="I537" s="110" t="s">
        <v>5965</v>
      </c>
      <c r="J537" s="110"/>
      <c r="K537" s="119" t="s">
        <v>5966</v>
      </c>
      <c r="L537" s="110" t="s">
        <v>5967</v>
      </c>
      <c r="M537" s="116">
        <v>1045.96</v>
      </c>
      <c r="N537" s="116">
        <v>1045.96</v>
      </c>
      <c r="O537" s="111"/>
      <c r="P537" s="112" t="s">
        <v>27</v>
      </c>
      <c r="Q537" s="110" t="s">
        <v>35</v>
      </c>
      <c r="R537" s="110" t="s">
        <v>27</v>
      </c>
      <c r="S537" s="110"/>
      <c r="T537" s="110">
        <f t="shared" si="8"/>
        <v>1045.96</v>
      </c>
      <c r="U537" s="110"/>
      <c r="V537" s="110"/>
      <c r="W537" s="110"/>
      <c r="X537" s="114" t="s">
        <v>55</v>
      </c>
      <c r="Y537" s="114" t="s">
        <v>55</v>
      </c>
      <c r="AA537" s="113" t="e">
        <v>#N/A</v>
      </c>
      <c r="AB537" s="113" t="e">
        <v>#N/A</v>
      </c>
    </row>
    <row r="538" spans="1:28">
      <c r="A538" s="108">
        <v>537</v>
      </c>
      <c r="B538" s="108" t="s">
        <v>225</v>
      </c>
      <c r="C538" s="109">
        <v>46054</v>
      </c>
      <c r="D538" s="110" t="s">
        <v>28</v>
      </c>
      <c r="E538" s="110" t="s">
        <v>5252</v>
      </c>
      <c r="F538" s="110" t="s">
        <v>30</v>
      </c>
      <c r="G538" s="110">
        <v>14</v>
      </c>
      <c r="H538" s="110" t="s">
        <v>5968</v>
      </c>
      <c r="I538" s="110" t="s">
        <v>5969</v>
      </c>
      <c r="J538" s="110"/>
      <c r="K538" s="119" t="s">
        <v>5970</v>
      </c>
      <c r="L538" s="162" t="s">
        <v>5971</v>
      </c>
      <c r="M538" s="116">
        <v>1047.97</v>
      </c>
      <c r="N538" s="163">
        <v>1058</v>
      </c>
      <c r="O538" s="111"/>
      <c r="P538" s="112" t="s">
        <v>27</v>
      </c>
      <c r="Q538" s="110" t="s">
        <v>35</v>
      </c>
      <c r="R538" s="110" t="s">
        <v>27</v>
      </c>
      <c r="S538" s="110"/>
      <c r="T538" s="110">
        <f t="shared" si="8"/>
        <v>1058</v>
      </c>
      <c r="U538" s="110"/>
      <c r="V538" s="110"/>
      <c r="W538" s="110"/>
      <c r="X538" s="114" t="s">
        <v>69</v>
      </c>
      <c r="Y538" s="114" t="s">
        <v>69</v>
      </c>
      <c r="AA538" s="113" t="e">
        <v>#N/A</v>
      </c>
      <c r="AB538" s="113" t="e">
        <v>#N/A</v>
      </c>
    </row>
    <row r="539" spans="1:28">
      <c r="A539" s="108">
        <v>538</v>
      </c>
      <c r="B539" s="108" t="s">
        <v>5010</v>
      </c>
      <c r="C539" s="109">
        <v>46056</v>
      </c>
      <c r="D539" s="110" t="s">
        <v>28</v>
      </c>
      <c r="E539" s="110" t="s">
        <v>5252</v>
      </c>
      <c r="F539" s="110" t="s">
        <v>30</v>
      </c>
      <c r="G539" s="110">
        <v>15</v>
      </c>
      <c r="H539" s="110" t="s">
        <v>5972</v>
      </c>
      <c r="I539" s="110" t="s">
        <v>5973</v>
      </c>
      <c r="J539" s="110"/>
      <c r="K539" s="119" t="s">
        <v>5974</v>
      </c>
      <c r="L539" s="110"/>
      <c r="M539" s="116">
        <v>2194.7399999999998</v>
      </c>
      <c r="N539" s="116">
        <v>2194.7399999999998</v>
      </c>
      <c r="O539" s="111"/>
      <c r="P539" s="112" t="s">
        <v>27</v>
      </c>
      <c r="Q539" s="110" t="s">
        <v>35</v>
      </c>
      <c r="R539" s="110" t="s">
        <v>27</v>
      </c>
      <c r="S539" s="110">
        <v>1000</v>
      </c>
      <c r="T539" s="110">
        <f t="shared" si="8"/>
        <v>1194.7399999999998</v>
      </c>
      <c r="U539" s="110"/>
      <c r="V539" s="110" t="s">
        <v>5975</v>
      </c>
      <c r="W539" s="110"/>
      <c r="X539" s="114" t="s">
        <v>5438</v>
      </c>
      <c r="Y539" s="114" t="s">
        <v>5438</v>
      </c>
      <c r="AA539" s="113" t="e">
        <v>#N/A</v>
      </c>
      <c r="AB539" s="113" t="e">
        <v>#N/A</v>
      </c>
    </row>
    <row r="540" spans="1:28">
      <c r="A540" s="108">
        <v>539</v>
      </c>
      <c r="B540" s="108" t="s">
        <v>225</v>
      </c>
      <c r="C540" s="109">
        <v>46054</v>
      </c>
      <c r="D540" s="110" t="s">
        <v>28</v>
      </c>
      <c r="E540" s="110" t="s">
        <v>5252</v>
      </c>
      <c r="F540" s="110" t="s">
        <v>30</v>
      </c>
      <c r="G540" s="110">
        <v>14</v>
      </c>
      <c r="H540" s="110" t="s">
        <v>5976</v>
      </c>
      <c r="I540" s="110" t="s">
        <v>5977</v>
      </c>
      <c r="J540" s="110"/>
      <c r="K540" s="119" t="s">
        <v>5978</v>
      </c>
      <c r="L540" s="110" t="s">
        <v>5979</v>
      </c>
      <c r="M540" s="116">
        <v>500</v>
      </c>
      <c r="N540" s="163">
        <v>515</v>
      </c>
      <c r="O540" s="111"/>
      <c r="P540" s="112" t="s">
        <v>27</v>
      </c>
      <c r="Q540" s="110" t="s">
        <v>35</v>
      </c>
      <c r="R540" s="110" t="s">
        <v>27</v>
      </c>
      <c r="S540" s="110"/>
      <c r="T540" s="110">
        <f t="shared" si="8"/>
        <v>515</v>
      </c>
      <c r="U540" s="110"/>
      <c r="V540" s="110"/>
      <c r="W540" s="110"/>
      <c r="X540" s="114" t="s">
        <v>55</v>
      </c>
      <c r="Y540" s="114" t="s">
        <v>55</v>
      </c>
      <c r="AA540" s="113" t="e">
        <v>#N/A</v>
      </c>
      <c r="AB540" s="113" t="e">
        <v>#N/A</v>
      </c>
    </row>
    <row r="541" spans="1:28">
      <c r="A541" s="108">
        <v>540</v>
      </c>
      <c r="B541" s="108"/>
      <c r="C541" s="109">
        <v>46052</v>
      </c>
      <c r="D541" s="110" t="s">
        <v>28</v>
      </c>
      <c r="E541" s="110" t="s">
        <v>5252</v>
      </c>
      <c r="F541" s="110" t="s">
        <v>30</v>
      </c>
      <c r="G541" s="110">
        <v>12</v>
      </c>
      <c r="H541" s="110" t="s">
        <v>5980</v>
      </c>
      <c r="I541" s="110" t="s">
        <v>5981</v>
      </c>
      <c r="J541" s="110"/>
      <c r="K541" s="119" t="s">
        <v>5982</v>
      </c>
      <c r="L541" s="110" t="s">
        <v>5983</v>
      </c>
      <c r="M541" s="116">
        <v>737.17</v>
      </c>
      <c r="N541" s="116">
        <v>737.17</v>
      </c>
      <c r="O541" s="111"/>
      <c r="P541" s="112" t="s">
        <v>27</v>
      </c>
      <c r="Q541" s="110" t="s">
        <v>35</v>
      </c>
      <c r="R541" s="110" t="s">
        <v>27</v>
      </c>
      <c r="S541" s="110"/>
      <c r="T541" s="110">
        <f t="shared" si="8"/>
        <v>737.17</v>
      </c>
      <c r="U541" s="110"/>
      <c r="V541" s="110"/>
      <c r="W541" s="110"/>
      <c r="X541" s="114" t="s">
        <v>55</v>
      </c>
      <c r="Y541" s="114" t="s">
        <v>55</v>
      </c>
      <c r="AA541" s="113" t="e">
        <v>#N/A</v>
      </c>
      <c r="AB541" s="113" t="e">
        <v>#N/A</v>
      </c>
    </row>
    <row r="542" spans="1:28">
      <c r="A542" s="108">
        <v>541</v>
      </c>
      <c r="B542" s="108" t="s">
        <v>225</v>
      </c>
      <c r="C542" s="109">
        <v>46054</v>
      </c>
      <c r="D542" s="110" t="s">
        <v>28</v>
      </c>
      <c r="E542" s="110" t="s">
        <v>5252</v>
      </c>
      <c r="F542" s="110" t="s">
        <v>30</v>
      </c>
      <c r="G542" s="110">
        <v>14</v>
      </c>
      <c r="H542" s="110" t="s">
        <v>5984</v>
      </c>
      <c r="I542" s="110" t="s">
        <v>5985</v>
      </c>
      <c r="J542" s="110"/>
      <c r="K542" s="119" t="s">
        <v>5986</v>
      </c>
      <c r="L542" s="162" t="s">
        <v>5987</v>
      </c>
      <c r="M542" s="116">
        <v>600.94000000000005</v>
      </c>
      <c r="N542" s="163">
        <v>615</v>
      </c>
      <c r="O542" s="111"/>
      <c r="P542" s="112" t="s">
        <v>27</v>
      </c>
      <c r="Q542" s="110" t="s">
        <v>35</v>
      </c>
      <c r="R542" s="110" t="s">
        <v>27</v>
      </c>
      <c r="S542" s="110"/>
      <c r="T542" s="110">
        <f t="shared" si="8"/>
        <v>615</v>
      </c>
      <c r="U542" s="110"/>
      <c r="V542" s="110"/>
      <c r="W542" s="110"/>
      <c r="X542" s="114" t="s">
        <v>5438</v>
      </c>
      <c r="Y542" s="114" t="s">
        <v>5438</v>
      </c>
      <c r="AA542" s="113" t="e">
        <v>#N/A</v>
      </c>
      <c r="AB542" s="113" t="e">
        <v>#N/A</v>
      </c>
    </row>
    <row r="543" spans="1:28">
      <c r="A543" s="108">
        <v>542</v>
      </c>
      <c r="B543" s="108" t="s">
        <v>225</v>
      </c>
      <c r="C543" s="109">
        <v>46057</v>
      </c>
      <c r="D543" s="110" t="s">
        <v>28</v>
      </c>
      <c r="E543" s="110" t="s">
        <v>5252</v>
      </c>
      <c r="F543" s="110" t="s">
        <v>30</v>
      </c>
      <c r="G543" s="110">
        <v>17</v>
      </c>
      <c r="H543" s="110" t="s">
        <v>5988</v>
      </c>
      <c r="I543" s="110" t="s">
        <v>5989</v>
      </c>
      <c r="J543" s="110"/>
      <c r="K543" s="119" t="s">
        <v>5990</v>
      </c>
      <c r="L543" s="110" t="s">
        <v>5991</v>
      </c>
      <c r="M543" s="116">
        <v>736.56</v>
      </c>
      <c r="N543" s="116">
        <v>736.56</v>
      </c>
      <c r="O543" s="111"/>
      <c r="P543" s="112" t="s">
        <v>27</v>
      </c>
      <c r="Q543" s="110" t="s">
        <v>35</v>
      </c>
      <c r="R543" s="110" t="s">
        <v>27</v>
      </c>
      <c r="S543" s="110"/>
      <c r="T543" s="110">
        <f t="shared" si="8"/>
        <v>736.56</v>
      </c>
      <c r="U543" s="110"/>
      <c r="V543" s="110"/>
      <c r="W543" s="110"/>
      <c r="X543" s="114" t="s">
        <v>89</v>
      </c>
      <c r="Y543" s="114" t="s">
        <v>89</v>
      </c>
      <c r="AA543" s="113" t="e">
        <v>#N/A</v>
      </c>
      <c r="AB543" s="113" t="e">
        <v>#N/A</v>
      </c>
    </row>
    <row r="544" spans="1:28">
      <c r="A544" s="108">
        <v>543</v>
      </c>
      <c r="B544" s="108" t="s">
        <v>225</v>
      </c>
      <c r="C544" s="109">
        <v>46055</v>
      </c>
      <c r="D544" s="110" t="s">
        <v>28</v>
      </c>
      <c r="E544" s="110" t="s">
        <v>5252</v>
      </c>
      <c r="F544" s="110" t="s">
        <v>30</v>
      </c>
      <c r="G544" s="110">
        <v>15</v>
      </c>
      <c r="H544" s="110" t="s">
        <v>5992</v>
      </c>
      <c r="I544" s="110" t="s">
        <v>5993</v>
      </c>
      <c r="J544" s="110"/>
      <c r="K544" s="119" t="s">
        <v>5994</v>
      </c>
      <c r="L544" s="110" t="s">
        <v>5995</v>
      </c>
      <c r="M544" s="116">
        <v>603.21</v>
      </c>
      <c r="N544" s="163">
        <v>615</v>
      </c>
      <c r="O544" s="111"/>
      <c r="P544" s="112" t="s">
        <v>27</v>
      </c>
      <c r="Q544" s="110" t="s">
        <v>35</v>
      </c>
      <c r="R544" s="110" t="s">
        <v>27</v>
      </c>
      <c r="S544" s="110"/>
      <c r="T544" s="110">
        <f t="shared" si="8"/>
        <v>615</v>
      </c>
      <c r="U544" s="110"/>
      <c r="V544" s="110"/>
      <c r="W544" s="110"/>
      <c r="X544" s="114" t="s">
        <v>444</v>
      </c>
      <c r="Y544" s="114" t="s">
        <v>444</v>
      </c>
      <c r="AA544" s="113" t="e">
        <v>#N/A</v>
      </c>
      <c r="AB544" s="113" t="e">
        <v>#N/A</v>
      </c>
    </row>
    <row r="545" spans="1:28">
      <c r="A545" s="108">
        <v>544</v>
      </c>
      <c r="B545" s="108" t="s">
        <v>225</v>
      </c>
      <c r="C545" s="109">
        <v>46054</v>
      </c>
      <c r="D545" s="110" t="s">
        <v>28</v>
      </c>
      <c r="E545" s="110" t="s">
        <v>5252</v>
      </c>
      <c r="F545" s="110" t="s">
        <v>30</v>
      </c>
      <c r="G545" s="110">
        <v>14</v>
      </c>
      <c r="H545" s="110" t="s">
        <v>5996</v>
      </c>
      <c r="I545" s="110" t="s">
        <v>5997</v>
      </c>
      <c r="J545" s="110"/>
      <c r="K545" s="119" t="s">
        <v>5998</v>
      </c>
      <c r="L545" s="162" t="s">
        <v>5999</v>
      </c>
      <c r="M545" s="116">
        <v>1585.35</v>
      </c>
      <c r="N545" s="163">
        <v>1597</v>
      </c>
      <c r="O545" s="111"/>
      <c r="P545" s="112" t="s">
        <v>27</v>
      </c>
      <c r="Q545" s="110" t="s">
        <v>35</v>
      </c>
      <c r="R545" s="110" t="s">
        <v>27</v>
      </c>
      <c r="S545" s="110"/>
      <c r="T545" s="110">
        <f t="shared" si="8"/>
        <v>1597</v>
      </c>
      <c r="U545" s="110"/>
      <c r="V545" s="110"/>
      <c r="W545" s="110"/>
      <c r="X545" s="114" t="s">
        <v>37</v>
      </c>
      <c r="Y545" s="114" t="s">
        <v>37</v>
      </c>
      <c r="AA545" s="113" t="e">
        <v>#N/A</v>
      </c>
      <c r="AB545" s="113" t="e">
        <v>#N/A</v>
      </c>
    </row>
    <row r="546" spans="1:28">
      <c r="A546" s="108">
        <v>545</v>
      </c>
      <c r="B546" s="108"/>
      <c r="C546" s="109">
        <v>46052</v>
      </c>
      <c r="D546" s="110" t="s">
        <v>28</v>
      </c>
      <c r="E546" s="110" t="s">
        <v>5252</v>
      </c>
      <c r="F546" s="110" t="s">
        <v>30</v>
      </c>
      <c r="G546" s="110">
        <v>12</v>
      </c>
      <c r="H546" s="110" t="s">
        <v>6000</v>
      </c>
      <c r="I546" s="110" t="s">
        <v>6001</v>
      </c>
      <c r="J546" s="110"/>
      <c r="K546" s="119" t="s">
        <v>6002</v>
      </c>
      <c r="L546" s="110" t="s">
        <v>6003</v>
      </c>
      <c r="M546" s="116">
        <v>490.7</v>
      </c>
      <c r="N546" s="116">
        <v>490.7</v>
      </c>
      <c r="O546" s="111"/>
      <c r="P546" s="112" t="s">
        <v>27</v>
      </c>
      <c r="Q546" s="110" t="s">
        <v>35</v>
      </c>
      <c r="R546" s="110" t="s">
        <v>27</v>
      </c>
      <c r="S546" s="110"/>
      <c r="T546" s="110">
        <f t="shared" si="8"/>
        <v>490.7</v>
      </c>
      <c r="U546" s="110"/>
      <c r="V546" s="110"/>
      <c r="W546" s="110"/>
      <c r="X546" s="114" t="s">
        <v>62</v>
      </c>
      <c r="Y546" s="114" t="s">
        <v>62</v>
      </c>
      <c r="AA546" s="113" t="e">
        <v>#N/A</v>
      </c>
      <c r="AB546" s="113" t="e">
        <v>#N/A</v>
      </c>
    </row>
    <row r="547" spans="1:28">
      <c r="A547" s="108">
        <v>546</v>
      </c>
      <c r="B547" s="108"/>
      <c r="C547" s="109">
        <v>46052</v>
      </c>
      <c r="D547" s="110" t="s">
        <v>28</v>
      </c>
      <c r="E547" s="110" t="s">
        <v>5252</v>
      </c>
      <c r="F547" s="110" t="s">
        <v>30</v>
      </c>
      <c r="G547" s="110">
        <v>12</v>
      </c>
      <c r="H547" s="110" t="s">
        <v>6004</v>
      </c>
      <c r="I547" s="110" t="s">
        <v>6005</v>
      </c>
      <c r="J547" s="110"/>
      <c r="K547" s="119" t="s">
        <v>6006</v>
      </c>
      <c r="L547" s="110" t="s">
        <v>6007</v>
      </c>
      <c r="M547" s="116">
        <v>555.05999999999995</v>
      </c>
      <c r="N547" s="116">
        <v>555.05999999999995</v>
      </c>
      <c r="O547" s="111">
        <v>46055</v>
      </c>
      <c r="P547" s="112" t="s">
        <v>76</v>
      </c>
      <c r="Q547" s="110" t="s">
        <v>52</v>
      </c>
      <c r="R547" s="110" t="s">
        <v>27</v>
      </c>
      <c r="S547" s="110">
        <v>555</v>
      </c>
      <c r="T547" s="110">
        <f t="shared" si="8"/>
        <v>5.999999999994543E-2</v>
      </c>
      <c r="U547" s="111">
        <v>46055</v>
      </c>
      <c r="V547" s="110" t="s">
        <v>6008</v>
      </c>
      <c r="W547" s="110" t="s">
        <v>54</v>
      </c>
      <c r="X547" s="114" t="s">
        <v>76</v>
      </c>
      <c r="Y547" s="114" t="s">
        <v>76</v>
      </c>
      <c r="AA547" s="113" t="e">
        <v>#N/A</v>
      </c>
      <c r="AB547" s="113" t="e">
        <v>#N/A</v>
      </c>
    </row>
    <row r="548" spans="1:28">
      <c r="A548" s="108">
        <v>547</v>
      </c>
      <c r="B548" s="108" t="s">
        <v>225</v>
      </c>
      <c r="C548" s="109">
        <v>46055</v>
      </c>
      <c r="D548" s="110" t="s">
        <v>28</v>
      </c>
      <c r="E548" s="110" t="s">
        <v>5252</v>
      </c>
      <c r="F548" s="110" t="s">
        <v>30</v>
      </c>
      <c r="G548" s="110">
        <v>15</v>
      </c>
      <c r="H548" s="110" t="s">
        <v>6009</v>
      </c>
      <c r="I548" s="110" t="s">
        <v>6010</v>
      </c>
      <c r="J548" s="110"/>
      <c r="K548" s="119" t="s">
        <v>6011</v>
      </c>
      <c r="L548" s="110" t="s">
        <v>6012</v>
      </c>
      <c r="M548" s="116">
        <v>1516.3</v>
      </c>
      <c r="N548" s="163">
        <v>1517</v>
      </c>
      <c r="O548" s="111"/>
      <c r="P548" s="112" t="s">
        <v>27</v>
      </c>
      <c r="Q548" s="110" t="s">
        <v>35</v>
      </c>
      <c r="R548" s="110" t="s">
        <v>27</v>
      </c>
      <c r="S548" s="110"/>
      <c r="T548" s="110">
        <f t="shared" si="8"/>
        <v>1517</v>
      </c>
      <c r="U548" s="110"/>
      <c r="V548" s="110"/>
      <c r="W548" s="110"/>
      <c r="X548" s="114" t="s">
        <v>89</v>
      </c>
      <c r="Y548" s="114" t="s">
        <v>89</v>
      </c>
      <c r="AA548" s="113" t="e">
        <v>#N/A</v>
      </c>
      <c r="AB548" s="113" t="e">
        <v>#N/A</v>
      </c>
    </row>
    <row r="549" spans="1:28">
      <c r="A549" s="108">
        <v>548</v>
      </c>
      <c r="B549" s="108" t="s">
        <v>225</v>
      </c>
      <c r="C549" s="109">
        <v>46055</v>
      </c>
      <c r="D549" s="110" t="s">
        <v>28</v>
      </c>
      <c r="E549" s="110" t="s">
        <v>5252</v>
      </c>
      <c r="F549" s="110" t="s">
        <v>30</v>
      </c>
      <c r="G549" s="110">
        <v>15</v>
      </c>
      <c r="H549" s="110" t="s">
        <v>6013</v>
      </c>
      <c r="I549" s="110" t="s">
        <v>6014</v>
      </c>
      <c r="J549" s="110"/>
      <c r="K549" s="119" t="s">
        <v>6015</v>
      </c>
      <c r="L549" s="110" t="s">
        <v>6016</v>
      </c>
      <c r="M549" s="116">
        <v>1607.77</v>
      </c>
      <c r="N549" s="163">
        <v>1620</v>
      </c>
      <c r="O549" s="111"/>
      <c r="P549" s="112" t="s">
        <v>27</v>
      </c>
      <c r="Q549" s="110" t="s">
        <v>35</v>
      </c>
      <c r="R549" s="110" t="s">
        <v>27</v>
      </c>
      <c r="S549" s="110">
        <v>1280</v>
      </c>
      <c r="T549" s="110">
        <f t="shared" si="8"/>
        <v>340</v>
      </c>
      <c r="U549" s="111">
        <v>46064</v>
      </c>
      <c r="V549" s="110" t="s">
        <v>6017</v>
      </c>
      <c r="W549" s="110" t="s">
        <v>54</v>
      </c>
      <c r="X549" s="114" t="s">
        <v>4335</v>
      </c>
      <c r="Y549" s="114" t="s">
        <v>4335</v>
      </c>
      <c r="AA549" s="113" t="e">
        <v>#N/A</v>
      </c>
      <c r="AB549" s="113" t="e">
        <v>#N/A</v>
      </c>
    </row>
    <row r="550" spans="1:28">
      <c r="A550" s="108">
        <v>549</v>
      </c>
      <c r="B550" s="108" t="s">
        <v>5010</v>
      </c>
      <c r="C550" s="109">
        <v>46056</v>
      </c>
      <c r="D550" s="110" t="s">
        <v>28</v>
      </c>
      <c r="E550" s="110" t="s">
        <v>5252</v>
      </c>
      <c r="F550" s="110" t="s">
        <v>30</v>
      </c>
      <c r="G550" s="110">
        <v>15</v>
      </c>
      <c r="H550" s="110" t="s">
        <v>4779</v>
      </c>
      <c r="I550" s="110" t="s">
        <v>4780</v>
      </c>
      <c r="J550" s="110"/>
      <c r="K550" s="119" t="s">
        <v>4781</v>
      </c>
      <c r="L550" s="110"/>
      <c r="M550" s="116">
        <v>1554.8</v>
      </c>
      <c r="N550" s="116">
        <v>1554.8</v>
      </c>
      <c r="O550" s="111"/>
      <c r="P550" s="112" t="s">
        <v>27</v>
      </c>
      <c r="Q550" s="110" t="s">
        <v>35</v>
      </c>
      <c r="R550" s="110" t="s">
        <v>27</v>
      </c>
      <c r="S550" s="110"/>
      <c r="T550" s="110">
        <f t="shared" si="8"/>
        <v>1554.8</v>
      </c>
      <c r="U550" s="110"/>
      <c r="V550" s="110"/>
      <c r="W550" s="110"/>
      <c r="X550" s="114" t="s">
        <v>124</v>
      </c>
      <c r="Y550" s="114" t="s">
        <v>124</v>
      </c>
      <c r="AA550" s="113" t="e">
        <v>#N/A</v>
      </c>
      <c r="AB550" s="113" t="e">
        <v>#N/A</v>
      </c>
    </row>
    <row r="551" spans="1:28">
      <c r="A551" s="108">
        <v>550</v>
      </c>
      <c r="B551" s="108" t="s">
        <v>225</v>
      </c>
      <c r="C551" s="109">
        <v>46054</v>
      </c>
      <c r="D551" s="110" t="s">
        <v>28</v>
      </c>
      <c r="E551" s="110" t="s">
        <v>5252</v>
      </c>
      <c r="F551" s="110" t="s">
        <v>30</v>
      </c>
      <c r="G551" s="110">
        <v>14</v>
      </c>
      <c r="H551" s="110" t="s">
        <v>4680</v>
      </c>
      <c r="I551" s="110" t="s">
        <v>4681</v>
      </c>
      <c r="J551" s="110"/>
      <c r="K551" s="119" t="s">
        <v>4682</v>
      </c>
      <c r="L551" s="162" t="s">
        <v>4683</v>
      </c>
      <c r="M551" s="116">
        <v>1069.19</v>
      </c>
      <c r="N551" s="163">
        <v>1079</v>
      </c>
      <c r="O551" s="111"/>
      <c r="P551" s="112" t="s">
        <v>27</v>
      </c>
      <c r="Q551" s="110" t="s">
        <v>35</v>
      </c>
      <c r="R551" s="110" t="s">
        <v>27</v>
      </c>
      <c r="S551" s="110"/>
      <c r="T551" s="110">
        <f t="shared" si="8"/>
        <v>1079</v>
      </c>
      <c r="U551" s="110"/>
      <c r="V551" s="110"/>
      <c r="W551" s="110"/>
      <c r="X551" s="114" t="s">
        <v>124</v>
      </c>
      <c r="Y551" s="114" t="s">
        <v>124</v>
      </c>
      <c r="AA551" s="113" t="e">
        <v>#N/A</v>
      </c>
      <c r="AB551" s="113" t="e">
        <v>#N/A</v>
      </c>
    </row>
    <row r="552" spans="1:28">
      <c r="A552" s="108">
        <v>551</v>
      </c>
      <c r="B552" s="108"/>
      <c r="C552" s="109">
        <v>46052</v>
      </c>
      <c r="D552" s="110" t="s">
        <v>28</v>
      </c>
      <c r="E552" s="110" t="s">
        <v>5252</v>
      </c>
      <c r="F552" s="110" t="s">
        <v>30</v>
      </c>
      <c r="G552" s="110">
        <v>12</v>
      </c>
      <c r="H552" s="110" t="s">
        <v>6018</v>
      </c>
      <c r="I552" s="110" t="s">
        <v>6019</v>
      </c>
      <c r="J552" s="110"/>
      <c r="K552" s="119" t="s">
        <v>6020</v>
      </c>
      <c r="L552" s="110" t="s">
        <v>6021</v>
      </c>
      <c r="M552" s="116">
        <v>977.73</v>
      </c>
      <c r="N552" s="116">
        <v>977.73</v>
      </c>
      <c r="O552" s="111"/>
      <c r="P552" s="112" t="s">
        <v>27</v>
      </c>
      <c r="Q552" s="110" t="s">
        <v>35</v>
      </c>
      <c r="R552" s="110" t="s">
        <v>27</v>
      </c>
      <c r="S552" s="110"/>
      <c r="T552" s="110">
        <f t="shared" si="8"/>
        <v>977.73</v>
      </c>
      <c r="U552" s="110"/>
      <c r="V552" s="110"/>
      <c r="W552" s="110"/>
      <c r="X552" s="114" t="s">
        <v>37</v>
      </c>
      <c r="Y552" s="114" t="s">
        <v>37</v>
      </c>
      <c r="AA552" s="113" t="e">
        <v>#N/A</v>
      </c>
      <c r="AB552" s="113" t="e">
        <v>#N/A</v>
      </c>
    </row>
    <row r="553" spans="1:28">
      <c r="A553" s="108">
        <v>552</v>
      </c>
      <c r="B553" s="108" t="s">
        <v>225</v>
      </c>
      <c r="C553" s="109">
        <v>46060</v>
      </c>
      <c r="D553" s="110" t="s">
        <v>933</v>
      </c>
      <c r="E553" s="110" t="s">
        <v>5252</v>
      </c>
      <c r="F553" s="110" t="s">
        <v>934</v>
      </c>
      <c r="G553" s="110">
        <v>20</v>
      </c>
      <c r="H553" s="110" t="s">
        <v>6022</v>
      </c>
      <c r="I553" s="110">
        <v>8885551317</v>
      </c>
      <c r="J553" s="110"/>
      <c r="K553" s="119" t="s">
        <v>6023</v>
      </c>
      <c r="L553" s="110" t="s">
        <v>6023</v>
      </c>
      <c r="M553" s="116">
        <v>10000</v>
      </c>
      <c r="N553" s="110">
        <v>10000</v>
      </c>
      <c r="O553" s="111">
        <v>46086</v>
      </c>
      <c r="P553" s="112" t="s">
        <v>1398</v>
      </c>
      <c r="Q553" s="110" t="s">
        <v>52</v>
      </c>
      <c r="R553" s="110" t="s">
        <v>1398</v>
      </c>
      <c r="S553" s="110">
        <f>4000+6000</f>
        <v>10000</v>
      </c>
      <c r="T553" s="110">
        <f t="shared" si="8"/>
        <v>0</v>
      </c>
      <c r="U553" s="111">
        <v>46085</v>
      </c>
      <c r="V553" s="110" t="s">
        <v>6024</v>
      </c>
      <c r="W553" s="110" t="s">
        <v>54</v>
      </c>
      <c r="X553" s="114" t="s">
        <v>6025</v>
      </c>
      <c r="Y553" s="114" t="s">
        <v>6025</v>
      </c>
      <c r="AA553" s="113" t="e">
        <v>#N/A</v>
      </c>
      <c r="AB553" s="113" t="e">
        <v>#N/A</v>
      </c>
    </row>
    <row r="554" spans="1:28">
      <c r="A554" s="108">
        <v>553</v>
      </c>
      <c r="B554" s="108" t="s">
        <v>225</v>
      </c>
      <c r="C554" s="109">
        <v>46060</v>
      </c>
      <c r="D554" s="110" t="s">
        <v>933</v>
      </c>
      <c r="E554" s="110" t="s">
        <v>5252</v>
      </c>
      <c r="F554" s="110" t="s">
        <v>934</v>
      </c>
      <c r="G554" s="110">
        <v>20</v>
      </c>
      <c r="H554" s="110" t="s">
        <v>6026</v>
      </c>
      <c r="I554" s="110">
        <v>9182441679</v>
      </c>
      <c r="J554" s="110"/>
      <c r="K554" s="119" t="s">
        <v>6027</v>
      </c>
      <c r="L554" s="110" t="s">
        <v>6027</v>
      </c>
      <c r="M554" s="116">
        <v>4890</v>
      </c>
      <c r="N554" s="110">
        <v>4895</v>
      </c>
      <c r="O554" s="111"/>
      <c r="P554" s="112" t="s">
        <v>1398</v>
      </c>
      <c r="Q554" s="110" t="s">
        <v>52</v>
      </c>
      <c r="R554" s="110" t="s">
        <v>1398</v>
      </c>
      <c r="S554" s="110"/>
      <c r="T554" s="110">
        <f t="shared" si="8"/>
        <v>4895</v>
      </c>
      <c r="U554" s="110"/>
      <c r="V554" s="110"/>
      <c r="W554" s="110"/>
      <c r="X554" s="114" t="s">
        <v>6025</v>
      </c>
      <c r="Y554" s="114" t="s">
        <v>6025</v>
      </c>
      <c r="AA554" s="113" t="e">
        <v>#N/A</v>
      </c>
      <c r="AB554" s="113" t="e">
        <v>#N/A</v>
      </c>
    </row>
    <row r="555" spans="1:28">
      <c r="A555" s="108">
        <v>554</v>
      </c>
      <c r="B555" s="108" t="s">
        <v>225</v>
      </c>
      <c r="C555" s="109">
        <v>46060</v>
      </c>
      <c r="D555" s="110" t="s">
        <v>933</v>
      </c>
      <c r="E555" s="110" t="s">
        <v>5252</v>
      </c>
      <c r="F555" s="110" t="s">
        <v>934</v>
      </c>
      <c r="G555" s="110">
        <v>20</v>
      </c>
      <c r="H555" s="110" t="s">
        <v>6028</v>
      </c>
      <c r="I555" s="110">
        <v>7569244200</v>
      </c>
      <c r="J555" s="110"/>
      <c r="K555" s="119" t="s">
        <v>6029</v>
      </c>
      <c r="L555" s="110" t="s">
        <v>6029</v>
      </c>
      <c r="M555" s="116">
        <v>20853</v>
      </c>
      <c r="N555" s="110">
        <v>20958</v>
      </c>
      <c r="O555" s="111" t="s">
        <v>239</v>
      </c>
      <c r="P555" s="143" t="s">
        <v>6030</v>
      </c>
      <c r="Q555" s="110" t="s">
        <v>239</v>
      </c>
      <c r="R555" s="110" t="s">
        <v>1398</v>
      </c>
      <c r="S555" s="110"/>
      <c r="T555" s="110">
        <f t="shared" si="8"/>
        <v>20958</v>
      </c>
      <c r="U555" s="110"/>
      <c r="V555" s="110" t="s">
        <v>6031</v>
      </c>
      <c r="W555" s="110"/>
      <c r="X555" s="114" t="s">
        <v>6030</v>
      </c>
      <c r="Y555" s="114" t="s">
        <v>6030</v>
      </c>
      <c r="Z555" s="113" t="s">
        <v>6032</v>
      </c>
      <c r="AA555" s="113" t="e">
        <v>#N/A</v>
      </c>
      <c r="AB555" s="113" t="e">
        <v>#N/A</v>
      </c>
    </row>
    <row r="556" spans="1:28">
      <c r="A556" s="108">
        <v>555</v>
      </c>
      <c r="B556" s="108" t="s">
        <v>225</v>
      </c>
      <c r="C556" s="109">
        <v>46060</v>
      </c>
      <c r="D556" s="110" t="s">
        <v>933</v>
      </c>
      <c r="E556" s="110" t="s">
        <v>5252</v>
      </c>
      <c r="F556" s="110" t="s">
        <v>30</v>
      </c>
      <c r="G556" s="110">
        <v>20</v>
      </c>
      <c r="H556" s="110" t="s">
        <v>6033</v>
      </c>
      <c r="I556" s="110">
        <v>9867525013</v>
      </c>
      <c r="J556" s="110"/>
      <c r="K556" s="119" t="s">
        <v>6034</v>
      </c>
      <c r="L556" s="110" t="s">
        <v>6034</v>
      </c>
      <c r="M556" s="116">
        <v>1004</v>
      </c>
      <c r="N556" s="110">
        <v>860</v>
      </c>
      <c r="O556" s="110" t="s">
        <v>239</v>
      </c>
      <c r="P556" s="110" t="s">
        <v>239</v>
      </c>
      <c r="Q556" s="110" t="s">
        <v>239</v>
      </c>
      <c r="R556" s="110" t="s">
        <v>1398</v>
      </c>
      <c r="S556" s="110"/>
      <c r="T556" s="110">
        <f t="shared" si="8"/>
        <v>860</v>
      </c>
      <c r="U556" s="110"/>
      <c r="V556" s="110"/>
      <c r="W556" s="110"/>
      <c r="X556" s="114" t="s">
        <v>6035</v>
      </c>
      <c r="Y556" s="114" t="s">
        <v>6035</v>
      </c>
      <c r="AA556" s="113" t="e">
        <v>#N/A</v>
      </c>
      <c r="AB556" s="113" t="e">
        <v>#N/A</v>
      </c>
    </row>
    <row r="557" spans="1:28">
      <c r="A557" s="108">
        <v>556</v>
      </c>
      <c r="B557" s="108" t="s">
        <v>225</v>
      </c>
      <c r="C557" s="109">
        <v>46061</v>
      </c>
      <c r="D557" s="110" t="s">
        <v>226</v>
      </c>
      <c r="E557" s="110" t="s">
        <v>5252</v>
      </c>
      <c r="F557" s="110" t="s">
        <v>236</v>
      </c>
      <c r="G557" s="110">
        <v>8</v>
      </c>
      <c r="H557" s="110" t="s">
        <v>6036</v>
      </c>
      <c r="I557" s="110">
        <v>9867525013</v>
      </c>
      <c r="J557" s="110"/>
      <c r="K557" s="165" t="s">
        <v>6037</v>
      </c>
      <c r="L557" s="165" t="s">
        <v>6037</v>
      </c>
      <c r="M557" s="116">
        <v>850</v>
      </c>
      <c r="N557" s="110">
        <v>860</v>
      </c>
      <c r="O557" s="110" t="s">
        <v>239</v>
      </c>
      <c r="P557" s="110" t="s">
        <v>239</v>
      </c>
      <c r="Q557" s="111" t="s">
        <v>239</v>
      </c>
      <c r="R557" s="110" t="s">
        <v>236</v>
      </c>
      <c r="S557" s="110"/>
      <c r="T557" s="110">
        <f t="shared" si="8"/>
        <v>860</v>
      </c>
      <c r="U557" s="110"/>
      <c r="V557" s="110"/>
      <c r="W557" s="110"/>
      <c r="X557" s="114" t="s">
        <v>5255</v>
      </c>
      <c r="Y557" s="114" t="s">
        <v>5255</v>
      </c>
      <c r="AA557" s="113" t="e">
        <v>#N/A</v>
      </c>
      <c r="AB557" s="113" t="e">
        <v>#N/A</v>
      </c>
    </row>
    <row r="558" spans="1:28">
      <c r="A558" s="108">
        <v>557</v>
      </c>
      <c r="B558" s="108" t="s">
        <v>225</v>
      </c>
      <c r="C558" s="109">
        <v>46061</v>
      </c>
      <c r="D558" s="110" t="s">
        <v>226</v>
      </c>
      <c r="E558" s="110" t="s">
        <v>5252</v>
      </c>
      <c r="F558" s="110" t="s">
        <v>236</v>
      </c>
      <c r="G558" s="110">
        <v>8</v>
      </c>
      <c r="H558" s="110" t="s">
        <v>6038</v>
      </c>
      <c r="I558" s="110">
        <v>9916275558</v>
      </c>
      <c r="J558" s="110"/>
      <c r="K558" s="165" t="s">
        <v>6039</v>
      </c>
      <c r="L558" s="165" t="s">
        <v>6039</v>
      </c>
      <c r="M558" s="116">
        <v>2200</v>
      </c>
      <c r="N558" s="110">
        <v>2200</v>
      </c>
      <c r="O558" s="110" t="s">
        <v>239</v>
      </c>
      <c r="P558" s="110" t="s">
        <v>239</v>
      </c>
      <c r="Q558" s="111" t="s">
        <v>239</v>
      </c>
      <c r="R558" s="110" t="s">
        <v>236</v>
      </c>
      <c r="S558" s="110"/>
      <c r="T558" s="110">
        <f t="shared" si="8"/>
        <v>2200</v>
      </c>
      <c r="U558" s="110"/>
      <c r="V558" s="110"/>
      <c r="W558" s="110"/>
      <c r="X558" s="114" t="s">
        <v>5255</v>
      </c>
      <c r="Y558" s="114" t="s">
        <v>5255</v>
      </c>
      <c r="AA558" s="113" t="e">
        <v>#N/A</v>
      </c>
      <c r="AB558" s="113" t="e">
        <v>#N/A</v>
      </c>
    </row>
    <row r="559" spans="1:28">
      <c r="A559" s="108">
        <v>558</v>
      </c>
      <c r="B559" s="108" t="s">
        <v>298</v>
      </c>
      <c r="C559" s="109">
        <v>46061</v>
      </c>
      <c r="D559" s="110" t="s">
        <v>226</v>
      </c>
      <c r="E559" s="110" t="s">
        <v>5252</v>
      </c>
      <c r="F559" s="110" t="s">
        <v>236</v>
      </c>
      <c r="G559" s="110">
        <v>8</v>
      </c>
      <c r="H559" s="110" t="s">
        <v>6040</v>
      </c>
      <c r="I559" s="110">
        <v>8762282077</v>
      </c>
      <c r="J559" s="110"/>
      <c r="K559" s="165" t="s">
        <v>6041</v>
      </c>
      <c r="L559" s="165" t="s">
        <v>6041</v>
      </c>
      <c r="M559" s="116">
        <v>1830</v>
      </c>
      <c r="N559" s="116">
        <v>1830</v>
      </c>
      <c r="O559" s="110" t="s">
        <v>239</v>
      </c>
      <c r="P559" s="110" t="s">
        <v>239</v>
      </c>
      <c r="Q559" s="111" t="s">
        <v>239</v>
      </c>
      <c r="R559" s="110" t="s">
        <v>236</v>
      </c>
      <c r="S559" s="110"/>
      <c r="T559" s="110">
        <f t="shared" si="8"/>
        <v>1830</v>
      </c>
      <c r="U559" s="110"/>
      <c r="V559" s="110"/>
      <c r="W559" s="110"/>
      <c r="X559" s="114" t="s">
        <v>5255</v>
      </c>
      <c r="Y559" s="114" t="s">
        <v>5255</v>
      </c>
      <c r="AA559" s="113" t="e">
        <v>#N/A</v>
      </c>
      <c r="AB559" s="113" t="e">
        <v>#N/A</v>
      </c>
    </row>
    <row r="560" spans="1:28">
      <c r="A560" s="108">
        <v>559</v>
      </c>
      <c r="B560" s="108" t="s">
        <v>225</v>
      </c>
      <c r="C560" s="109">
        <v>46061</v>
      </c>
      <c r="D560" s="110" t="s">
        <v>226</v>
      </c>
      <c r="E560" s="110" t="s">
        <v>5252</v>
      </c>
      <c r="F560" s="110" t="s">
        <v>236</v>
      </c>
      <c r="G560" s="110">
        <v>8</v>
      </c>
      <c r="H560" s="110" t="s">
        <v>682</v>
      </c>
      <c r="I560" s="110">
        <v>9710394354</v>
      </c>
      <c r="J560" s="110"/>
      <c r="K560" s="165" t="s">
        <v>683</v>
      </c>
      <c r="L560" s="165" t="s">
        <v>683</v>
      </c>
      <c r="M560" s="116">
        <v>1350</v>
      </c>
      <c r="N560" s="110">
        <v>1360</v>
      </c>
      <c r="O560" s="110" t="s">
        <v>239</v>
      </c>
      <c r="P560" s="110" t="s">
        <v>239</v>
      </c>
      <c r="Q560" s="111" t="s">
        <v>239</v>
      </c>
      <c r="R560" s="110" t="s">
        <v>236</v>
      </c>
      <c r="S560" s="110"/>
      <c r="T560" s="110">
        <f t="shared" si="8"/>
        <v>1360</v>
      </c>
      <c r="U560" s="110"/>
      <c r="V560" s="110"/>
      <c r="W560" s="110"/>
      <c r="X560" s="114" t="s">
        <v>5255</v>
      </c>
      <c r="Y560" s="114" t="s">
        <v>5255</v>
      </c>
      <c r="AA560" s="113" t="e">
        <v>#N/A</v>
      </c>
      <c r="AB560" s="113" t="e">
        <v>#N/A</v>
      </c>
    </row>
    <row r="561" spans="1:28">
      <c r="A561" s="108">
        <v>560</v>
      </c>
      <c r="B561" s="108" t="s">
        <v>225</v>
      </c>
      <c r="C561" s="109">
        <v>46061</v>
      </c>
      <c r="D561" s="110" t="s">
        <v>226</v>
      </c>
      <c r="E561" s="110" t="s">
        <v>5252</v>
      </c>
      <c r="F561" s="110" t="s">
        <v>236</v>
      </c>
      <c r="G561" s="110">
        <v>8</v>
      </c>
      <c r="H561" s="110" t="s">
        <v>6042</v>
      </c>
      <c r="I561" s="110">
        <v>9515079669</v>
      </c>
      <c r="J561" s="110"/>
      <c r="K561" s="165" t="s">
        <v>6043</v>
      </c>
      <c r="L561" s="165" t="s">
        <v>6043</v>
      </c>
      <c r="M561" s="116">
        <v>1620</v>
      </c>
      <c r="N561" s="110">
        <v>1629</v>
      </c>
      <c r="O561" s="110" t="s">
        <v>239</v>
      </c>
      <c r="P561" s="110" t="s">
        <v>239</v>
      </c>
      <c r="Q561" s="111" t="s">
        <v>239</v>
      </c>
      <c r="R561" s="110" t="s">
        <v>236</v>
      </c>
      <c r="S561" s="110"/>
      <c r="T561" s="110">
        <f t="shared" si="8"/>
        <v>1629</v>
      </c>
      <c r="U561" s="110"/>
      <c r="V561" s="110"/>
      <c r="W561" s="110"/>
      <c r="X561" s="114" t="s">
        <v>5255</v>
      </c>
      <c r="Y561" s="114" t="s">
        <v>5255</v>
      </c>
      <c r="AA561" s="113" t="e">
        <v>#N/A</v>
      </c>
      <c r="AB561" s="113" t="e">
        <v>#N/A</v>
      </c>
    </row>
    <row r="562" spans="1:28">
      <c r="A562" s="108">
        <v>561</v>
      </c>
      <c r="B562" s="108" t="s">
        <v>225</v>
      </c>
      <c r="C562" s="109">
        <v>46061</v>
      </c>
      <c r="D562" s="110" t="s">
        <v>226</v>
      </c>
      <c r="E562" s="110" t="s">
        <v>5252</v>
      </c>
      <c r="F562" s="110" t="s">
        <v>236</v>
      </c>
      <c r="G562" s="110">
        <v>8</v>
      </c>
      <c r="H562" s="110" t="s">
        <v>6044</v>
      </c>
      <c r="I562" s="110">
        <v>7349460959</v>
      </c>
      <c r="J562" s="110"/>
      <c r="K562" s="165" t="s">
        <v>6045</v>
      </c>
      <c r="L562" s="165" t="s">
        <v>6045</v>
      </c>
      <c r="M562" s="116">
        <v>1760</v>
      </c>
      <c r="N562" s="110">
        <v>1768</v>
      </c>
      <c r="O562" s="110" t="s">
        <v>239</v>
      </c>
      <c r="P562" s="110" t="s">
        <v>239</v>
      </c>
      <c r="Q562" s="111" t="s">
        <v>239</v>
      </c>
      <c r="R562" s="110" t="s">
        <v>236</v>
      </c>
      <c r="S562" s="110"/>
      <c r="T562" s="110">
        <f t="shared" si="8"/>
        <v>1768</v>
      </c>
      <c r="U562" s="110"/>
      <c r="V562" s="110"/>
      <c r="W562" s="110"/>
      <c r="X562" s="114" t="s">
        <v>5255</v>
      </c>
      <c r="Y562" s="114" t="s">
        <v>5255</v>
      </c>
      <c r="AA562" s="113" t="e">
        <v>#N/A</v>
      </c>
      <c r="AB562" s="113" t="e">
        <v>#N/A</v>
      </c>
    </row>
    <row r="563" spans="1:28">
      <c r="A563" s="108">
        <v>562</v>
      </c>
      <c r="B563" s="108" t="s">
        <v>225</v>
      </c>
      <c r="C563" s="109">
        <v>46061</v>
      </c>
      <c r="D563" s="110" t="s">
        <v>226</v>
      </c>
      <c r="E563" s="110" t="s">
        <v>5252</v>
      </c>
      <c r="F563" s="110" t="s">
        <v>236</v>
      </c>
      <c r="G563" s="110">
        <v>8</v>
      </c>
      <c r="H563" s="110" t="s">
        <v>6046</v>
      </c>
      <c r="I563" s="110">
        <v>8097874718</v>
      </c>
      <c r="J563" s="110"/>
      <c r="K563" s="165" t="s">
        <v>6047</v>
      </c>
      <c r="L563" s="165" t="s">
        <v>6047</v>
      </c>
      <c r="M563" s="116">
        <v>250</v>
      </c>
      <c r="N563" s="110">
        <v>255</v>
      </c>
      <c r="O563" s="110" t="s">
        <v>239</v>
      </c>
      <c r="P563" s="110" t="s">
        <v>239</v>
      </c>
      <c r="Q563" s="111" t="s">
        <v>239</v>
      </c>
      <c r="R563" s="110" t="s">
        <v>236</v>
      </c>
      <c r="S563" s="110"/>
      <c r="T563" s="110">
        <f t="shared" si="8"/>
        <v>255</v>
      </c>
      <c r="U563" s="110"/>
      <c r="V563" s="110"/>
      <c r="W563" s="110"/>
      <c r="X563" s="114" t="s">
        <v>5255</v>
      </c>
      <c r="Y563" s="114" t="s">
        <v>5255</v>
      </c>
      <c r="AA563" s="113" t="e">
        <v>#N/A</v>
      </c>
      <c r="AB563" s="113" t="e">
        <v>#N/A</v>
      </c>
    </row>
    <row r="564" spans="1:28">
      <c r="A564" s="108">
        <v>563</v>
      </c>
      <c r="B564" s="108" t="s">
        <v>225</v>
      </c>
      <c r="C564" s="109">
        <v>46061</v>
      </c>
      <c r="D564" s="110" t="s">
        <v>226</v>
      </c>
      <c r="E564" s="110" t="s">
        <v>5252</v>
      </c>
      <c r="F564" s="110" t="s">
        <v>236</v>
      </c>
      <c r="G564" s="110">
        <v>8</v>
      </c>
      <c r="H564" s="110" t="s">
        <v>6048</v>
      </c>
      <c r="I564" s="110">
        <v>9945000735</v>
      </c>
      <c r="J564" s="110"/>
      <c r="K564" s="165" t="s">
        <v>6049</v>
      </c>
      <c r="L564" s="165" t="s">
        <v>6049</v>
      </c>
      <c r="M564" s="116">
        <v>320</v>
      </c>
      <c r="N564" s="110">
        <v>326</v>
      </c>
      <c r="O564" s="110" t="s">
        <v>239</v>
      </c>
      <c r="P564" s="110" t="s">
        <v>239</v>
      </c>
      <c r="Q564" s="111" t="s">
        <v>239</v>
      </c>
      <c r="R564" s="110" t="s">
        <v>236</v>
      </c>
      <c r="S564" s="110"/>
      <c r="T564" s="110">
        <f t="shared" si="8"/>
        <v>326</v>
      </c>
      <c r="U564" s="110"/>
      <c r="V564" s="110"/>
      <c r="W564" s="110"/>
      <c r="X564" s="114" t="s">
        <v>5255</v>
      </c>
      <c r="Y564" s="114" t="s">
        <v>5255</v>
      </c>
      <c r="AA564" s="113" t="e">
        <v>#N/A</v>
      </c>
      <c r="AB564" s="113" t="e">
        <v>#N/A</v>
      </c>
    </row>
    <row r="565" spans="1:28">
      <c r="A565" s="108">
        <v>564</v>
      </c>
      <c r="B565" s="108" t="s">
        <v>225</v>
      </c>
      <c r="C565" s="109">
        <v>46061</v>
      </c>
      <c r="D565" s="110" t="s">
        <v>226</v>
      </c>
      <c r="E565" s="110" t="s">
        <v>5252</v>
      </c>
      <c r="F565" s="110" t="s">
        <v>236</v>
      </c>
      <c r="G565" s="110">
        <v>8</v>
      </c>
      <c r="H565" s="110" t="s">
        <v>6050</v>
      </c>
      <c r="I565" s="110">
        <v>9487779333</v>
      </c>
      <c r="J565" s="110"/>
      <c r="K565" s="165" t="s">
        <v>6051</v>
      </c>
      <c r="L565" s="165" t="s">
        <v>6051</v>
      </c>
      <c r="M565" s="116">
        <v>270</v>
      </c>
      <c r="N565" s="110">
        <v>276</v>
      </c>
      <c r="O565" s="110" t="s">
        <v>239</v>
      </c>
      <c r="P565" s="110" t="s">
        <v>239</v>
      </c>
      <c r="Q565" s="111" t="s">
        <v>239</v>
      </c>
      <c r="R565" s="110" t="s">
        <v>236</v>
      </c>
      <c r="S565" s="110"/>
      <c r="T565" s="110">
        <f t="shared" si="8"/>
        <v>276</v>
      </c>
      <c r="U565" s="110"/>
      <c r="V565" s="110"/>
      <c r="W565" s="110"/>
      <c r="X565" s="114" t="s">
        <v>5255</v>
      </c>
      <c r="Y565" s="114" t="s">
        <v>5255</v>
      </c>
      <c r="AA565" s="113" t="e">
        <v>#N/A</v>
      </c>
      <c r="AB565" s="113" t="e">
        <v>#N/A</v>
      </c>
    </row>
    <row r="566" spans="1:28">
      <c r="A566" s="108">
        <v>565</v>
      </c>
      <c r="B566" s="108" t="s">
        <v>298</v>
      </c>
      <c r="C566" s="109">
        <v>46061</v>
      </c>
      <c r="D566" s="110" t="s">
        <v>226</v>
      </c>
      <c r="E566" s="110" t="s">
        <v>5252</v>
      </c>
      <c r="F566" s="110" t="s">
        <v>336</v>
      </c>
      <c r="G566" s="110">
        <v>8</v>
      </c>
      <c r="H566" s="110" t="s">
        <v>6052</v>
      </c>
      <c r="I566" s="110">
        <v>8885555347</v>
      </c>
      <c r="J566" s="110"/>
      <c r="K566" s="165" t="s">
        <v>6053</v>
      </c>
      <c r="L566" s="165" t="s">
        <v>6053</v>
      </c>
      <c r="M566" s="116">
        <v>24310</v>
      </c>
      <c r="N566" s="116">
        <v>14310</v>
      </c>
      <c r="O566" s="111">
        <v>46088</v>
      </c>
      <c r="P566" s="112" t="s">
        <v>698</v>
      </c>
      <c r="Q566" s="110" t="s">
        <v>52</v>
      </c>
      <c r="R566" s="110" t="s">
        <v>340</v>
      </c>
      <c r="S566" s="110">
        <f>9000+5310</f>
        <v>14310</v>
      </c>
      <c r="T566" s="110">
        <f t="shared" si="8"/>
        <v>0</v>
      </c>
      <c r="U566" s="111">
        <v>46088</v>
      </c>
      <c r="V566" s="110" t="s">
        <v>6054</v>
      </c>
      <c r="W566" s="110" t="s">
        <v>54</v>
      </c>
      <c r="X566" s="114" t="s">
        <v>3175</v>
      </c>
      <c r="Y566" s="114" t="s">
        <v>698</v>
      </c>
      <c r="AA566" s="113" t="e">
        <v>#N/A</v>
      </c>
      <c r="AB566" s="113" t="e">
        <v>#N/A</v>
      </c>
    </row>
    <row r="567" spans="1:28">
      <c r="A567" s="108">
        <v>566</v>
      </c>
      <c r="B567" s="108" t="s">
        <v>225</v>
      </c>
      <c r="C567" s="109">
        <v>46061</v>
      </c>
      <c r="D567" s="110" t="s">
        <v>226</v>
      </c>
      <c r="E567" s="110" t="s">
        <v>5252</v>
      </c>
      <c r="F567" s="110" t="s">
        <v>336</v>
      </c>
      <c r="G567" s="110">
        <v>8</v>
      </c>
      <c r="H567" s="110" t="s">
        <v>6055</v>
      </c>
      <c r="I567" s="110">
        <v>9963959997</v>
      </c>
      <c r="J567" s="110"/>
      <c r="K567" s="165" t="s">
        <v>6056</v>
      </c>
      <c r="L567" s="165" t="s">
        <v>6056</v>
      </c>
      <c r="M567" s="116">
        <v>1639</v>
      </c>
      <c r="N567" s="110">
        <v>1645</v>
      </c>
      <c r="O567" s="110" t="s">
        <v>239</v>
      </c>
      <c r="P567" s="110" t="s">
        <v>239</v>
      </c>
      <c r="Q567" s="110" t="s">
        <v>239</v>
      </c>
      <c r="R567" s="110" t="s">
        <v>340</v>
      </c>
      <c r="S567" s="110"/>
      <c r="T567" s="110">
        <f t="shared" si="8"/>
        <v>1645</v>
      </c>
      <c r="U567" s="110"/>
      <c r="V567" s="110"/>
      <c r="W567" s="110"/>
      <c r="X567" s="114" t="s">
        <v>342</v>
      </c>
      <c r="Y567" s="114" t="s">
        <v>698</v>
      </c>
      <c r="AA567" s="113" t="s">
        <v>4983</v>
      </c>
      <c r="AB567" s="113" t="s">
        <v>4461</v>
      </c>
    </row>
    <row r="568" spans="1:28">
      <c r="A568" s="108">
        <v>567</v>
      </c>
      <c r="B568" s="108" t="s">
        <v>225</v>
      </c>
      <c r="C568" s="109">
        <v>46061</v>
      </c>
      <c r="D568" s="110" t="s">
        <v>226</v>
      </c>
      <c r="E568" s="110" t="s">
        <v>5252</v>
      </c>
      <c r="F568" s="110" t="s">
        <v>310</v>
      </c>
      <c r="G568" s="110">
        <v>8</v>
      </c>
      <c r="H568" s="110" t="s">
        <v>6057</v>
      </c>
      <c r="I568" s="110">
        <v>9985029569</v>
      </c>
      <c r="J568" s="110"/>
      <c r="K568" s="165" t="s">
        <v>6058</v>
      </c>
      <c r="L568" s="165" t="s">
        <v>6058</v>
      </c>
      <c r="M568" s="116">
        <v>14350</v>
      </c>
      <c r="N568" s="110">
        <v>14358</v>
      </c>
      <c r="O568" s="110" t="s">
        <v>239</v>
      </c>
      <c r="P568" s="110" t="s">
        <v>239</v>
      </c>
      <c r="Q568" s="110" t="s">
        <v>239</v>
      </c>
      <c r="R568" s="110" t="s">
        <v>3580</v>
      </c>
      <c r="S568" s="110"/>
      <c r="T568" s="110">
        <f t="shared" si="8"/>
        <v>14358</v>
      </c>
      <c r="U568" s="110"/>
      <c r="V568" s="110"/>
      <c r="W568" s="110"/>
      <c r="X568" s="114" t="s">
        <v>6059</v>
      </c>
      <c r="Y568" s="114" t="s">
        <v>6060</v>
      </c>
      <c r="Z568" s="113" t="s">
        <v>5105</v>
      </c>
      <c r="AA568" s="113" t="e">
        <v>#N/A</v>
      </c>
      <c r="AB568" s="113" t="e">
        <v>#N/A</v>
      </c>
    </row>
    <row r="569" spans="1:28">
      <c r="A569" s="108">
        <v>568</v>
      </c>
      <c r="B569" s="108" t="s">
        <v>225</v>
      </c>
      <c r="C569" s="109">
        <v>46061</v>
      </c>
      <c r="D569" s="110" t="s">
        <v>226</v>
      </c>
      <c r="E569" s="110" t="s">
        <v>5252</v>
      </c>
      <c r="F569" s="110" t="s">
        <v>310</v>
      </c>
      <c r="G569" s="110">
        <v>8</v>
      </c>
      <c r="H569" s="110" t="s">
        <v>6057</v>
      </c>
      <c r="I569" s="110">
        <v>9985029569</v>
      </c>
      <c r="J569" s="110"/>
      <c r="K569" s="165" t="s">
        <v>6061</v>
      </c>
      <c r="L569" s="165" t="s">
        <v>6061</v>
      </c>
      <c r="M569" s="116">
        <v>6560</v>
      </c>
      <c r="N569" s="110">
        <v>6560</v>
      </c>
      <c r="O569" s="110" t="s">
        <v>239</v>
      </c>
      <c r="P569" s="110" t="s">
        <v>239</v>
      </c>
      <c r="Q569" s="110" t="s">
        <v>239</v>
      </c>
      <c r="R569" s="110" t="s">
        <v>3580</v>
      </c>
      <c r="S569" s="110"/>
      <c r="T569" s="110">
        <f t="shared" si="8"/>
        <v>6560</v>
      </c>
      <c r="U569" s="110"/>
      <c r="V569" s="110"/>
      <c r="W569" s="110"/>
      <c r="X569" s="114" t="s">
        <v>6059</v>
      </c>
      <c r="Y569" s="114" t="s">
        <v>6060</v>
      </c>
      <c r="AA569" s="113" t="e">
        <v>#N/A</v>
      </c>
      <c r="AB569" s="113" t="e">
        <v>#N/A</v>
      </c>
    </row>
    <row r="570" spans="1:28">
      <c r="A570" s="108">
        <v>569</v>
      </c>
      <c r="B570" s="108" t="s">
        <v>225</v>
      </c>
      <c r="C570" s="109">
        <v>46061</v>
      </c>
      <c r="D570" s="110" t="s">
        <v>226</v>
      </c>
      <c r="E570" s="110" t="s">
        <v>5252</v>
      </c>
      <c r="F570" s="110" t="s">
        <v>236</v>
      </c>
      <c r="G570" s="110">
        <v>8</v>
      </c>
      <c r="H570" s="110" t="s">
        <v>6062</v>
      </c>
      <c r="I570" s="110">
        <v>9382785710</v>
      </c>
      <c r="J570" s="110"/>
      <c r="K570" s="165" t="s">
        <v>6063</v>
      </c>
      <c r="L570" s="165" t="s">
        <v>6063</v>
      </c>
      <c r="M570" s="116">
        <v>980</v>
      </c>
      <c r="N570" s="110">
        <v>987</v>
      </c>
      <c r="O570" s="110" t="s">
        <v>239</v>
      </c>
      <c r="P570" s="110" t="s">
        <v>239</v>
      </c>
      <c r="Q570" s="110" t="s">
        <v>239</v>
      </c>
      <c r="R570" s="110" t="s">
        <v>236</v>
      </c>
      <c r="S570" s="110"/>
      <c r="T570" s="110">
        <f t="shared" si="8"/>
        <v>987</v>
      </c>
      <c r="U570" s="110"/>
      <c r="V570" s="110"/>
      <c r="W570" s="110"/>
      <c r="X570" s="114" t="s">
        <v>5255</v>
      </c>
      <c r="Y570" s="114" t="s">
        <v>5255</v>
      </c>
      <c r="AA570" s="113" t="e">
        <v>#N/A</v>
      </c>
      <c r="AB570" s="113" t="e">
        <v>#N/A</v>
      </c>
    </row>
    <row r="571" spans="1:28">
      <c r="A571" s="108">
        <v>570</v>
      </c>
      <c r="B571" s="108" t="s">
        <v>225</v>
      </c>
      <c r="C571" s="109">
        <v>46061</v>
      </c>
      <c r="D571" s="110" t="s">
        <v>226</v>
      </c>
      <c r="E571" s="110" t="s">
        <v>5252</v>
      </c>
      <c r="F571" s="110" t="s">
        <v>236</v>
      </c>
      <c r="G571" s="110">
        <v>8</v>
      </c>
      <c r="H571" s="110" t="s">
        <v>6064</v>
      </c>
      <c r="I571" s="110">
        <v>7760805224</v>
      </c>
      <c r="J571" s="110"/>
      <c r="K571" s="165" t="s">
        <v>6065</v>
      </c>
      <c r="L571" s="165" t="s">
        <v>6065</v>
      </c>
      <c r="M571" s="116">
        <v>840</v>
      </c>
      <c r="N571" s="110">
        <v>845</v>
      </c>
      <c r="O571" s="110" t="s">
        <v>239</v>
      </c>
      <c r="P571" s="110" t="s">
        <v>239</v>
      </c>
      <c r="Q571" s="110" t="s">
        <v>239</v>
      </c>
      <c r="R571" s="110" t="s">
        <v>236</v>
      </c>
      <c r="S571" s="110"/>
      <c r="T571" s="110">
        <f t="shared" si="8"/>
        <v>845</v>
      </c>
      <c r="U571" s="110"/>
      <c r="V571" s="110"/>
      <c r="W571" s="110"/>
      <c r="X571" s="114" t="s">
        <v>5255</v>
      </c>
      <c r="Y571" s="114" t="s">
        <v>5255</v>
      </c>
      <c r="AA571" s="113" t="e">
        <v>#N/A</v>
      </c>
      <c r="AB571" s="113" t="e">
        <v>#N/A</v>
      </c>
    </row>
    <row r="572" spans="1:28">
      <c r="A572" s="108">
        <v>571</v>
      </c>
      <c r="B572" s="108" t="s">
        <v>225</v>
      </c>
      <c r="C572" s="109">
        <v>46061</v>
      </c>
      <c r="D572" s="110" t="s">
        <v>226</v>
      </c>
      <c r="E572" s="110" t="s">
        <v>5252</v>
      </c>
      <c r="F572" s="110" t="s">
        <v>236</v>
      </c>
      <c r="G572" s="110">
        <v>8</v>
      </c>
      <c r="H572" s="110" t="s">
        <v>6066</v>
      </c>
      <c r="I572" s="110">
        <v>7097609463</v>
      </c>
      <c r="J572" s="110"/>
      <c r="K572" s="165" t="s">
        <v>6067</v>
      </c>
      <c r="L572" s="165" t="s">
        <v>6067</v>
      </c>
      <c r="M572" s="116">
        <v>600</v>
      </c>
      <c r="N572" s="110">
        <v>600</v>
      </c>
      <c r="O572" s="110" t="s">
        <v>239</v>
      </c>
      <c r="P572" s="110" t="s">
        <v>239</v>
      </c>
      <c r="Q572" s="110" t="s">
        <v>239</v>
      </c>
      <c r="R572" s="110" t="s">
        <v>236</v>
      </c>
      <c r="S572" s="110"/>
      <c r="T572" s="110">
        <f t="shared" si="8"/>
        <v>600</v>
      </c>
      <c r="U572" s="110"/>
      <c r="V572" s="110"/>
      <c r="W572" s="110"/>
      <c r="X572" s="114" t="s">
        <v>5255</v>
      </c>
      <c r="Y572" s="114" t="s">
        <v>5255</v>
      </c>
      <c r="AA572" s="113" t="e">
        <v>#N/A</v>
      </c>
      <c r="AB572" s="113" t="e">
        <v>#N/A</v>
      </c>
    </row>
    <row r="573" spans="1:28">
      <c r="A573" s="108">
        <v>572</v>
      </c>
      <c r="B573" s="108" t="s">
        <v>225</v>
      </c>
      <c r="C573" s="109">
        <v>46060</v>
      </c>
      <c r="D573" s="110" t="s">
        <v>28</v>
      </c>
      <c r="E573" s="110" t="s">
        <v>5252</v>
      </c>
      <c r="F573" s="110" t="s">
        <v>30</v>
      </c>
      <c r="G573" s="110">
        <v>20</v>
      </c>
      <c r="H573" s="110" t="s">
        <v>4924</v>
      </c>
      <c r="I573" s="110" t="s">
        <v>4925</v>
      </c>
      <c r="J573" s="110"/>
      <c r="K573" s="165" t="s">
        <v>4926</v>
      </c>
      <c r="L573" s="165" t="s">
        <v>4926</v>
      </c>
      <c r="M573" s="116">
        <v>16363.93</v>
      </c>
      <c r="N573" s="116">
        <v>16363.93</v>
      </c>
      <c r="O573" s="111"/>
      <c r="P573" s="112" t="s">
        <v>27</v>
      </c>
      <c r="Q573" s="110" t="s">
        <v>35</v>
      </c>
      <c r="R573" s="110" t="s">
        <v>27</v>
      </c>
      <c r="S573" s="110"/>
      <c r="T573" s="110">
        <f t="shared" si="8"/>
        <v>16363.93</v>
      </c>
      <c r="U573" s="110"/>
      <c r="V573" s="110"/>
      <c r="W573" s="110"/>
      <c r="X573" s="114" t="s">
        <v>117</v>
      </c>
      <c r="Y573" s="114" t="s">
        <v>117</v>
      </c>
      <c r="AA573" s="113" t="e">
        <v>#N/A</v>
      </c>
      <c r="AB573" s="113" t="e">
        <v>#N/A</v>
      </c>
    </row>
    <row r="574" spans="1:28">
      <c r="A574" s="108">
        <v>573</v>
      </c>
      <c r="B574" s="108" t="s">
        <v>225</v>
      </c>
      <c r="C574" s="109">
        <v>46060</v>
      </c>
      <c r="D574" s="110" t="s">
        <v>28</v>
      </c>
      <c r="E574" s="110" t="s">
        <v>5252</v>
      </c>
      <c r="F574" s="110" t="s">
        <v>30</v>
      </c>
      <c r="G574" s="110">
        <v>20</v>
      </c>
      <c r="H574" s="110" t="s">
        <v>6068</v>
      </c>
      <c r="I574" s="110" t="s">
        <v>6069</v>
      </c>
      <c r="J574" s="110"/>
      <c r="K574" s="165" t="s">
        <v>6070</v>
      </c>
      <c r="L574" s="165" t="s">
        <v>6070</v>
      </c>
      <c r="M574" s="116">
        <v>3543.95</v>
      </c>
      <c r="N574" s="116">
        <v>3543.95</v>
      </c>
      <c r="O574" s="111"/>
      <c r="P574" s="112" t="s">
        <v>27</v>
      </c>
      <c r="Q574" s="110" t="s">
        <v>35</v>
      </c>
      <c r="R574" s="110" t="s">
        <v>27</v>
      </c>
      <c r="S574" s="110"/>
      <c r="T574" s="110">
        <f t="shared" si="8"/>
        <v>3543.95</v>
      </c>
      <c r="U574" s="110"/>
      <c r="V574" s="110"/>
      <c r="W574" s="110"/>
      <c r="X574" s="114" t="s">
        <v>62</v>
      </c>
      <c r="Y574" s="114" t="s">
        <v>62</v>
      </c>
      <c r="AA574" s="113" t="e">
        <v>#N/A</v>
      </c>
      <c r="AB574" s="113" t="e">
        <v>#N/A</v>
      </c>
    </row>
    <row r="575" spans="1:28">
      <c r="A575" s="108">
        <v>574</v>
      </c>
      <c r="B575" s="108" t="s">
        <v>225</v>
      </c>
      <c r="C575" s="109">
        <v>46060</v>
      </c>
      <c r="D575" s="110" t="s">
        <v>28</v>
      </c>
      <c r="E575" s="110" t="s">
        <v>5252</v>
      </c>
      <c r="F575" s="110" t="s">
        <v>30</v>
      </c>
      <c r="G575" s="110">
        <v>20</v>
      </c>
      <c r="H575" s="110" t="s">
        <v>6071</v>
      </c>
      <c r="I575" s="110" t="s">
        <v>6072</v>
      </c>
      <c r="J575" s="110"/>
      <c r="K575" s="165" t="s">
        <v>6073</v>
      </c>
      <c r="L575" s="165" t="s">
        <v>6073</v>
      </c>
      <c r="M575" s="116">
        <v>6494.4</v>
      </c>
      <c r="N575" s="116">
        <v>6494.4</v>
      </c>
      <c r="O575" s="111"/>
      <c r="P575" s="112" t="s">
        <v>27</v>
      </c>
      <c r="Q575" s="110" t="s">
        <v>35</v>
      </c>
      <c r="R575" s="110" t="s">
        <v>27</v>
      </c>
      <c r="S575" s="110"/>
      <c r="T575" s="110">
        <f t="shared" si="8"/>
        <v>6494.4</v>
      </c>
      <c r="U575" s="110"/>
      <c r="V575" s="110"/>
      <c r="W575" s="110"/>
      <c r="X575" s="114" t="s">
        <v>4335</v>
      </c>
      <c r="Y575" s="114" t="s">
        <v>4335</v>
      </c>
      <c r="AA575" s="113" t="e">
        <v>#N/A</v>
      </c>
      <c r="AB575" s="113" t="e">
        <v>#N/A</v>
      </c>
    </row>
    <row r="576" spans="1:28">
      <c r="A576" s="108">
        <v>575</v>
      </c>
      <c r="B576" s="108" t="s">
        <v>225</v>
      </c>
      <c r="C576" s="109">
        <v>46060</v>
      </c>
      <c r="D576" s="110" t="s">
        <v>28</v>
      </c>
      <c r="E576" s="110" t="s">
        <v>5252</v>
      </c>
      <c r="F576" s="110" t="s">
        <v>30</v>
      </c>
      <c r="G576" s="110">
        <v>20</v>
      </c>
      <c r="H576" s="110" t="s">
        <v>6074</v>
      </c>
      <c r="I576" s="110" t="s">
        <v>6075</v>
      </c>
      <c r="J576" s="110"/>
      <c r="K576" s="165" t="s">
        <v>6076</v>
      </c>
      <c r="L576" s="165" t="s">
        <v>6076</v>
      </c>
      <c r="M576" s="116">
        <v>2948.66</v>
      </c>
      <c r="N576" s="116">
        <v>2948.66</v>
      </c>
      <c r="O576" s="111"/>
      <c r="P576" s="112" t="s">
        <v>27</v>
      </c>
      <c r="Q576" s="110" t="s">
        <v>35</v>
      </c>
      <c r="R576" s="110" t="s">
        <v>27</v>
      </c>
      <c r="S576" s="110"/>
      <c r="T576" s="110">
        <f t="shared" si="8"/>
        <v>2948.66</v>
      </c>
      <c r="U576" s="110"/>
      <c r="V576" s="110"/>
      <c r="W576" s="110"/>
      <c r="X576" s="114" t="s">
        <v>76</v>
      </c>
      <c r="Y576" s="114" t="s">
        <v>76</v>
      </c>
      <c r="AA576" s="113" t="e">
        <v>#N/A</v>
      </c>
      <c r="AB576" s="113" t="e">
        <v>#N/A</v>
      </c>
    </row>
    <row r="577" spans="1:28">
      <c r="A577" s="108">
        <v>576</v>
      </c>
      <c r="B577" s="108" t="s">
        <v>225</v>
      </c>
      <c r="C577" s="109">
        <v>46060</v>
      </c>
      <c r="D577" s="110" t="s">
        <v>28</v>
      </c>
      <c r="E577" s="110" t="s">
        <v>5252</v>
      </c>
      <c r="F577" s="110" t="s">
        <v>30</v>
      </c>
      <c r="G577" s="110">
        <v>20</v>
      </c>
      <c r="H577" s="110" t="s">
        <v>6077</v>
      </c>
      <c r="I577" s="110" t="s">
        <v>6078</v>
      </c>
      <c r="J577" s="110"/>
      <c r="K577" s="165" t="s">
        <v>6079</v>
      </c>
      <c r="L577" s="165" t="s">
        <v>6079</v>
      </c>
      <c r="M577" s="116">
        <v>2506.7800000000002</v>
      </c>
      <c r="N577" s="116">
        <v>2506.7800000000002</v>
      </c>
      <c r="O577" s="111"/>
      <c r="P577" s="112" t="s">
        <v>27</v>
      </c>
      <c r="Q577" s="110" t="s">
        <v>35</v>
      </c>
      <c r="R577" s="110" t="s">
        <v>27</v>
      </c>
      <c r="S577" s="110"/>
      <c r="T577" s="110">
        <f t="shared" si="8"/>
        <v>2506.7800000000002</v>
      </c>
      <c r="U577" s="110"/>
      <c r="V577" s="110"/>
      <c r="W577" s="110"/>
      <c r="X577" s="114" t="s">
        <v>89</v>
      </c>
      <c r="Y577" s="114" t="s">
        <v>89</v>
      </c>
      <c r="AA577" s="113" t="e">
        <v>#N/A</v>
      </c>
      <c r="AB577" s="113" t="e">
        <v>#N/A</v>
      </c>
    </row>
    <row r="578" spans="1:28">
      <c r="A578" s="108">
        <v>577</v>
      </c>
      <c r="B578" s="108" t="s">
        <v>5010</v>
      </c>
      <c r="C578" s="109">
        <v>46060</v>
      </c>
      <c r="D578" s="110" t="s">
        <v>28</v>
      </c>
      <c r="E578" s="110" t="s">
        <v>5252</v>
      </c>
      <c r="F578" s="110" t="s">
        <v>30</v>
      </c>
      <c r="G578" s="110">
        <v>20</v>
      </c>
      <c r="H578" s="110" t="s">
        <v>6080</v>
      </c>
      <c r="I578" s="110" t="s">
        <v>6081</v>
      </c>
      <c r="J578" s="110"/>
      <c r="K578" s="165" t="s">
        <v>6082</v>
      </c>
      <c r="L578" s="165" t="s">
        <v>6082</v>
      </c>
      <c r="M578" s="116">
        <v>1880.78</v>
      </c>
      <c r="N578" s="116">
        <v>1880.78</v>
      </c>
      <c r="O578" s="111"/>
      <c r="P578" s="112" t="s">
        <v>27</v>
      </c>
      <c r="Q578" s="110" t="s">
        <v>35</v>
      </c>
      <c r="R578" s="110" t="s">
        <v>27</v>
      </c>
      <c r="S578" s="110"/>
      <c r="T578" s="110">
        <f t="shared" si="8"/>
        <v>1880.78</v>
      </c>
      <c r="U578" s="110"/>
      <c r="V578" s="110"/>
      <c r="W578" s="110"/>
      <c r="X578" s="114" t="s">
        <v>82</v>
      </c>
      <c r="Y578" s="114" t="s">
        <v>82</v>
      </c>
      <c r="AA578" s="113" t="e">
        <v>#N/A</v>
      </c>
      <c r="AB578" s="113" t="e">
        <v>#N/A</v>
      </c>
    </row>
    <row r="579" spans="1:28">
      <c r="A579" s="108">
        <v>578</v>
      </c>
      <c r="B579" s="108" t="s">
        <v>225</v>
      </c>
      <c r="C579" s="109">
        <v>46060</v>
      </c>
      <c r="D579" s="110" t="s">
        <v>28</v>
      </c>
      <c r="E579" s="110" t="s">
        <v>5252</v>
      </c>
      <c r="F579" s="110" t="s">
        <v>30</v>
      </c>
      <c r="G579" s="110">
        <v>20</v>
      </c>
      <c r="H579" s="110" t="s">
        <v>6083</v>
      </c>
      <c r="I579" s="110" t="s">
        <v>6084</v>
      </c>
      <c r="J579" s="110"/>
      <c r="K579" s="165" t="s">
        <v>6085</v>
      </c>
      <c r="L579" s="165" t="s">
        <v>6085</v>
      </c>
      <c r="M579" s="116">
        <v>1576.04</v>
      </c>
      <c r="N579" s="116">
        <v>1576.04</v>
      </c>
      <c r="O579" s="111"/>
      <c r="P579" s="112" t="s">
        <v>27</v>
      </c>
      <c r="Q579" s="110" t="s">
        <v>35</v>
      </c>
      <c r="R579" s="110" t="s">
        <v>27</v>
      </c>
      <c r="S579" s="110"/>
      <c r="T579" s="110">
        <f t="shared" si="8"/>
        <v>1576.04</v>
      </c>
      <c r="U579" s="110"/>
      <c r="V579" s="110"/>
      <c r="W579" s="110"/>
      <c r="X579" s="114" t="s">
        <v>76</v>
      </c>
      <c r="Y579" s="114" t="s">
        <v>76</v>
      </c>
      <c r="AA579" s="113" t="e">
        <v>#N/A</v>
      </c>
      <c r="AB579" s="113" t="e">
        <v>#N/A</v>
      </c>
    </row>
    <row r="580" spans="1:28">
      <c r="A580" s="108">
        <v>579</v>
      </c>
      <c r="B580" s="108" t="s">
        <v>225</v>
      </c>
      <c r="C580" s="109">
        <v>46060</v>
      </c>
      <c r="D580" s="110" t="s">
        <v>28</v>
      </c>
      <c r="E580" s="110" t="s">
        <v>5252</v>
      </c>
      <c r="F580" s="110" t="s">
        <v>30</v>
      </c>
      <c r="G580" s="110">
        <v>20</v>
      </c>
      <c r="H580" s="110" t="s">
        <v>6080</v>
      </c>
      <c r="I580" s="110" t="s">
        <v>6081</v>
      </c>
      <c r="J580" s="110"/>
      <c r="K580" s="165" t="s">
        <v>6086</v>
      </c>
      <c r="L580" s="165" t="s">
        <v>6086</v>
      </c>
      <c r="M580" s="116">
        <v>1799.6</v>
      </c>
      <c r="N580" s="116">
        <v>1799.6</v>
      </c>
      <c r="O580" s="111"/>
      <c r="P580" s="112" t="s">
        <v>27</v>
      </c>
      <c r="Q580" s="110" t="s">
        <v>35</v>
      </c>
      <c r="R580" s="110" t="s">
        <v>27</v>
      </c>
      <c r="S580" s="110"/>
      <c r="T580" s="110">
        <f t="shared" ref="T580:T643" si="9">N580-S580</f>
        <v>1799.6</v>
      </c>
      <c r="U580" s="110"/>
      <c r="V580" s="110"/>
      <c r="W580" s="110"/>
      <c r="X580" s="114" t="s">
        <v>4335</v>
      </c>
      <c r="Y580" s="114" t="s">
        <v>4335</v>
      </c>
      <c r="AA580" s="113" t="e">
        <v>#N/A</v>
      </c>
      <c r="AB580" s="113" t="e">
        <v>#N/A</v>
      </c>
    </row>
    <row r="581" spans="1:28">
      <c r="A581" s="108">
        <v>580</v>
      </c>
      <c r="B581" s="108" t="s">
        <v>225</v>
      </c>
      <c r="C581" s="109">
        <v>46060</v>
      </c>
      <c r="D581" s="110" t="s">
        <v>28</v>
      </c>
      <c r="E581" s="110" t="s">
        <v>5252</v>
      </c>
      <c r="F581" s="110" t="s">
        <v>30</v>
      </c>
      <c r="G581" s="110">
        <v>20</v>
      </c>
      <c r="H581" s="110" t="s">
        <v>6087</v>
      </c>
      <c r="I581" s="110" t="s">
        <v>6088</v>
      </c>
      <c r="J581" s="110"/>
      <c r="K581" s="165" t="s">
        <v>6089</v>
      </c>
      <c r="L581" s="165" t="s">
        <v>6089</v>
      </c>
      <c r="M581" s="116">
        <v>1385.29</v>
      </c>
      <c r="N581" s="116">
        <v>1385.29</v>
      </c>
      <c r="O581" s="111"/>
      <c r="P581" s="112" t="s">
        <v>27</v>
      </c>
      <c r="Q581" s="110" t="s">
        <v>35</v>
      </c>
      <c r="R581" s="110" t="s">
        <v>27</v>
      </c>
      <c r="S581" s="110"/>
      <c r="T581" s="110">
        <f t="shared" si="9"/>
        <v>1385.29</v>
      </c>
      <c r="U581" s="110"/>
      <c r="V581" s="110"/>
      <c r="W581" s="110"/>
      <c r="X581" s="114" t="s">
        <v>5438</v>
      </c>
      <c r="Y581" s="114" t="s">
        <v>5438</v>
      </c>
      <c r="AA581" s="113" t="e">
        <v>#N/A</v>
      </c>
      <c r="AB581" s="113" t="e">
        <v>#N/A</v>
      </c>
    </row>
    <row r="582" spans="1:28">
      <c r="A582" s="108">
        <v>581</v>
      </c>
      <c r="B582" s="108" t="s">
        <v>225</v>
      </c>
      <c r="C582" s="109">
        <v>46060</v>
      </c>
      <c r="D582" s="110" t="s">
        <v>28</v>
      </c>
      <c r="E582" s="110" t="s">
        <v>5252</v>
      </c>
      <c r="F582" s="110" t="s">
        <v>30</v>
      </c>
      <c r="G582" s="110">
        <v>20</v>
      </c>
      <c r="H582" s="110" t="s">
        <v>6090</v>
      </c>
      <c r="I582" s="110" t="s">
        <v>6091</v>
      </c>
      <c r="J582" s="110"/>
      <c r="K582" s="165" t="s">
        <v>6092</v>
      </c>
      <c r="L582" s="165" t="s">
        <v>6092</v>
      </c>
      <c r="M582" s="116">
        <v>1378.55</v>
      </c>
      <c r="N582" s="116">
        <v>1378.55</v>
      </c>
      <c r="O582" s="111"/>
      <c r="P582" s="112" t="s">
        <v>27</v>
      </c>
      <c r="Q582" s="110" t="s">
        <v>35</v>
      </c>
      <c r="R582" s="110" t="s">
        <v>27</v>
      </c>
      <c r="S582" s="110"/>
      <c r="T582" s="110">
        <f t="shared" si="9"/>
        <v>1378.55</v>
      </c>
      <c r="U582" s="110"/>
      <c r="V582" s="110"/>
      <c r="W582" s="110"/>
      <c r="X582" s="114" t="s">
        <v>89</v>
      </c>
      <c r="Y582" s="114" t="s">
        <v>89</v>
      </c>
      <c r="AA582" s="113" t="e">
        <v>#N/A</v>
      </c>
      <c r="AB582" s="113" t="e">
        <v>#N/A</v>
      </c>
    </row>
    <row r="583" spans="1:28">
      <c r="A583" s="108">
        <v>582</v>
      </c>
      <c r="B583" s="108" t="s">
        <v>225</v>
      </c>
      <c r="C583" s="109">
        <v>46060</v>
      </c>
      <c r="D583" s="110" t="s">
        <v>28</v>
      </c>
      <c r="E583" s="110" t="s">
        <v>5252</v>
      </c>
      <c r="F583" s="110" t="s">
        <v>30</v>
      </c>
      <c r="G583" s="110">
        <v>20</v>
      </c>
      <c r="H583" s="110" t="s">
        <v>6093</v>
      </c>
      <c r="I583" s="110" t="s">
        <v>6094</v>
      </c>
      <c r="J583" s="110"/>
      <c r="K583" s="165" t="s">
        <v>6095</v>
      </c>
      <c r="L583" s="165" t="s">
        <v>6095</v>
      </c>
      <c r="M583" s="116">
        <v>1281.73</v>
      </c>
      <c r="N583" s="116">
        <v>1281.73</v>
      </c>
      <c r="O583" s="111"/>
      <c r="P583" s="112" t="s">
        <v>27</v>
      </c>
      <c r="Q583" s="110" t="s">
        <v>35</v>
      </c>
      <c r="R583" s="110" t="s">
        <v>27</v>
      </c>
      <c r="S583" s="110"/>
      <c r="T583" s="110">
        <f t="shared" si="9"/>
        <v>1281.73</v>
      </c>
      <c r="U583" s="110"/>
      <c r="V583" s="110"/>
      <c r="W583" s="110"/>
      <c r="X583" s="114" t="s">
        <v>444</v>
      </c>
      <c r="Y583" s="114" t="s">
        <v>444</v>
      </c>
      <c r="AA583" s="113" t="e">
        <v>#N/A</v>
      </c>
      <c r="AB583" s="113" t="e">
        <v>#N/A</v>
      </c>
    </row>
    <row r="584" spans="1:28">
      <c r="A584" s="108">
        <v>583</v>
      </c>
      <c r="B584" s="108" t="s">
        <v>225</v>
      </c>
      <c r="C584" s="109">
        <v>46060</v>
      </c>
      <c r="D584" s="110" t="s">
        <v>28</v>
      </c>
      <c r="E584" s="110" t="s">
        <v>5252</v>
      </c>
      <c r="F584" s="110" t="s">
        <v>30</v>
      </c>
      <c r="G584" s="110">
        <v>20</v>
      </c>
      <c r="H584" s="110" t="s">
        <v>6096</v>
      </c>
      <c r="I584" s="110" t="s">
        <v>6097</v>
      </c>
      <c r="J584" s="110"/>
      <c r="K584" s="165" t="s">
        <v>6098</v>
      </c>
      <c r="L584" s="165" t="s">
        <v>6098</v>
      </c>
      <c r="M584" s="116">
        <v>200</v>
      </c>
      <c r="N584" s="116">
        <v>200</v>
      </c>
      <c r="O584" s="111"/>
      <c r="P584" s="112" t="s">
        <v>27</v>
      </c>
      <c r="Q584" s="110" t="s">
        <v>35</v>
      </c>
      <c r="R584" s="110" t="s">
        <v>27</v>
      </c>
      <c r="S584" s="110"/>
      <c r="T584" s="110">
        <f t="shared" si="9"/>
        <v>200</v>
      </c>
      <c r="U584" s="110"/>
      <c r="V584" s="110"/>
      <c r="W584" s="110"/>
      <c r="X584" s="114" t="s">
        <v>82</v>
      </c>
      <c r="Y584" s="114" t="s">
        <v>82</v>
      </c>
      <c r="AA584" s="113" t="e">
        <v>#N/A</v>
      </c>
      <c r="AB584" s="113" t="e">
        <v>#N/A</v>
      </c>
    </row>
    <row r="585" spans="1:28">
      <c r="A585" s="108">
        <v>584</v>
      </c>
      <c r="B585" s="108" t="s">
        <v>5010</v>
      </c>
      <c r="C585" s="109">
        <v>46062</v>
      </c>
      <c r="D585" s="110" t="s">
        <v>28</v>
      </c>
      <c r="E585" s="110" t="s">
        <v>5252</v>
      </c>
      <c r="F585" s="110" t="s">
        <v>30</v>
      </c>
      <c r="G585" s="110">
        <v>22</v>
      </c>
      <c r="H585" s="110" t="s">
        <v>5011</v>
      </c>
      <c r="I585" s="110" t="s">
        <v>5012</v>
      </c>
      <c r="J585" s="110"/>
      <c r="K585" s="165" t="s">
        <v>6099</v>
      </c>
      <c r="L585" s="165" t="s">
        <v>6100</v>
      </c>
      <c r="M585" s="116">
        <v>10040.34</v>
      </c>
      <c r="N585" s="116">
        <v>10040.34</v>
      </c>
      <c r="O585" s="111"/>
      <c r="P585" s="112" t="s">
        <v>27</v>
      </c>
      <c r="Q585" s="110" t="s">
        <v>35</v>
      </c>
      <c r="R585" s="110" t="s">
        <v>27</v>
      </c>
      <c r="S585" s="110"/>
      <c r="T585" s="110">
        <f t="shared" si="9"/>
        <v>10040.34</v>
      </c>
      <c r="U585" s="110"/>
      <c r="V585" s="110"/>
      <c r="W585" s="110"/>
      <c r="X585" s="114" t="s">
        <v>103</v>
      </c>
      <c r="Y585" s="114" t="s">
        <v>103</v>
      </c>
      <c r="AA585" s="113" t="e">
        <v>#N/A</v>
      </c>
      <c r="AB585" s="113" t="e">
        <v>#N/A</v>
      </c>
    </row>
    <row r="586" spans="1:28">
      <c r="A586" s="108">
        <v>585</v>
      </c>
      <c r="B586" s="108" t="s">
        <v>5010</v>
      </c>
      <c r="C586" s="109">
        <v>46062</v>
      </c>
      <c r="D586" s="110" t="s">
        <v>28</v>
      </c>
      <c r="E586" s="110" t="s">
        <v>5252</v>
      </c>
      <c r="F586" s="110" t="s">
        <v>30</v>
      </c>
      <c r="G586" s="110">
        <v>22</v>
      </c>
      <c r="H586" s="110" t="s">
        <v>6101</v>
      </c>
      <c r="I586" s="110" t="s">
        <v>6102</v>
      </c>
      <c r="J586" s="110"/>
      <c r="K586" s="165" t="s">
        <v>6103</v>
      </c>
      <c r="L586" s="165" t="s">
        <v>6104</v>
      </c>
      <c r="M586" s="116">
        <v>7718.68</v>
      </c>
      <c r="N586" s="116">
        <v>7718.68</v>
      </c>
      <c r="O586" s="111"/>
      <c r="P586" s="112" t="s">
        <v>27</v>
      </c>
      <c r="Q586" s="110" t="s">
        <v>35</v>
      </c>
      <c r="R586" s="110" t="s">
        <v>27</v>
      </c>
      <c r="S586" s="110"/>
      <c r="T586" s="110">
        <f t="shared" si="9"/>
        <v>7718.68</v>
      </c>
      <c r="U586" s="110"/>
      <c r="V586" s="110"/>
      <c r="W586" s="110"/>
      <c r="X586" s="114" t="s">
        <v>89</v>
      </c>
      <c r="Y586" s="114" t="s">
        <v>89</v>
      </c>
      <c r="AA586" s="113" t="e">
        <v>#N/A</v>
      </c>
      <c r="AB586" s="113" t="e">
        <v>#N/A</v>
      </c>
    </row>
    <row r="587" spans="1:28">
      <c r="A587" s="108">
        <v>586</v>
      </c>
      <c r="B587" s="108" t="s">
        <v>5010</v>
      </c>
      <c r="C587" s="109">
        <v>46062</v>
      </c>
      <c r="D587" s="110" t="s">
        <v>28</v>
      </c>
      <c r="E587" s="110" t="s">
        <v>5252</v>
      </c>
      <c r="F587" s="110" t="s">
        <v>30</v>
      </c>
      <c r="G587" s="110">
        <v>22</v>
      </c>
      <c r="H587" s="110" t="s">
        <v>6105</v>
      </c>
      <c r="I587" s="110" t="s">
        <v>6106</v>
      </c>
      <c r="J587" s="110"/>
      <c r="K587" s="165" t="s">
        <v>6107</v>
      </c>
      <c r="L587" s="165" t="s">
        <v>6108</v>
      </c>
      <c r="M587" s="116">
        <v>6798.76</v>
      </c>
      <c r="N587" s="116">
        <v>6798.76</v>
      </c>
      <c r="O587" s="111"/>
      <c r="P587" s="112" t="s">
        <v>27</v>
      </c>
      <c r="Q587" s="110" t="s">
        <v>35</v>
      </c>
      <c r="R587" s="110" t="s">
        <v>27</v>
      </c>
      <c r="S587" s="110"/>
      <c r="T587" s="110">
        <f t="shared" si="9"/>
        <v>6798.76</v>
      </c>
      <c r="U587" s="110"/>
      <c r="V587" s="110"/>
      <c r="W587" s="110"/>
      <c r="X587" s="114" t="s">
        <v>37</v>
      </c>
      <c r="Y587" s="114" t="s">
        <v>37</v>
      </c>
      <c r="AA587" s="113" t="e">
        <v>#N/A</v>
      </c>
      <c r="AB587" s="113" t="e">
        <v>#N/A</v>
      </c>
    </row>
    <row r="588" spans="1:28">
      <c r="A588" s="108">
        <v>587</v>
      </c>
      <c r="B588" s="108" t="s">
        <v>5010</v>
      </c>
      <c r="C588" s="109">
        <v>46062</v>
      </c>
      <c r="D588" s="110" t="s">
        <v>28</v>
      </c>
      <c r="E588" s="110" t="s">
        <v>5252</v>
      </c>
      <c r="F588" s="110" t="s">
        <v>30</v>
      </c>
      <c r="G588" s="110">
        <v>22</v>
      </c>
      <c r="H588" s="110" t="s">
        <v>6109</v>
      </c>
      <c r="I588" s="110" t="s">
        <v>6110</v>
      </c>
      <c r="J588" s="110"/>
      <c r="K588" s="165" t="s">
        <v>6111</v>
      </c>
      <c r="L588" s="165" t="s">
        <v>6112</v>
      </c>
      <c r="M588" s="116">
        <v>4202.22</v>
      </c>
      <c r="N588" s="116">
        <v>4202.22</v>
      </c>
      <c r="O588" s="111"/>
      <c r="P588" s="112" t="s">
        <v>27</v>
      </c>
      <c r="Q588" s="110" t="s">
        <v>35</v>
      </c>
      <c r="R588" s="110" t="s">
        <v>27</v>
      </c>
      <c r="S588" s="110"/>
      <c r="T588" s="110">
        <f t="shared" si="9"/>
        <v>4202.22</v>
      </c>
      <c r="U588" s="110"/>
      <c r="V588" s="110"/>
      <c r="W588" s="110"/>
      <c r="X588" s="114" t="s">
        <v>5438</v>
      </c>
      <c r="Y588" s="114" t="s">
        <v>5438</v>
      </c>
      <c r="AA588" s="113" t="e">
        <v>#N/A</v>
      </c>
      <c r="AB588" s="113" t="e">
        <v>#N/A</v>
      </c>
    </row>
    <row r="589" spans="1:28">
      <c r="A589" s="108">
        <v>588</v>
      </c>
      <c r="B589" s="108" t="s">
        <v>5010</v>
      </c>
      <c r="C589" s="109">
        <v>46062</v>
      </c>
      <c r="D589" s="110" t="s">
        <v>28</v>
      </c>
      <c r="E589" s="110" t="s">
        <v>5252</v>
      </c>
      <c r="F589" s="110" t="s">
        <v>30</v>
      </c>
      <c r="G589" s="110">
        <v>22</v>
      </c>
      <c r="H589" s="110" t="s">
        <v>6113</v>
      </c>
      <c r="I589" s="110" t="s">
        <v>6114</v>
      </c>
      <c r="J589" s="110"/>
      <c r="K589" s="165" t="s">
        <v>6115</v>
      </c>
      <c r="L589" s="165" t="s">
        <v>6116</v>
      </c>
      <c r="M589" s="116">
        <v>4223.54</v>
      </c>
      <c r="N589" s="116">
        <v>4223.54</v>
      </c>
      <c r="O589" s="111"/>
      <c r="P589" s="112" t="s">
        <v>27</v>
      </c>
      <c r="Q589" s="110" t="s">
        <v>35</v>
      </c>
      <c r="R589" s="110" t="s">
        <v>27</v>
      </c>
      <c r="S589" s="110"/>
      <c r="T589" s="110">
        <f t="shared" si="9"/>
        <v>4223.54</v>
      </c>
      <c r="U589" s="110"/>
      <c r="V589" s="110"/>
      <c r="W589" s="110"/>
      <c r="X589" s="114" t="s">
        <v>124</v>
      </c>
      <c r="Y589" s="114" t="s">
        <v>124</v>
      </c>
      <c r="AA589" s="113" t="e">
        <v>#N/A</v>
      </c>
      <c r="AB589" s="113" t="e">
        <v>#N/A</v>
      </c>
    </row>
    <row r="590" spans="1:28">
      <c r="A590" s="108">
        <v>589</v>
      </c>
      <c r="B590" s="108" t="s">
        <v>5010</v>
      </c>
      <c r="C590" s="109">
        <v>46062</v>
      </c>
      <c r="D590" s="110" t="s">
        <v>28</v>
      </c>
      <c r="E590" s="110" t="s">
        <v>5252</v>
      </c>
      <c r="F590" s="110" t="s">
        <v>30</v>
      </c>
      <c r="G590" s="110">
        <v>22</v>
      </c>
      <c r="H590" s="110" t="s">
        <v>6117</v>
      </c>
      <c r="I590" s="110" t="s">
        <v>6118</v>
      </c>
      <c r="J590" s="110"/>
      <c r="K590" s="165" t="s">
        <v>6119</v>
      </c>
      <c r="L590" s="165" t="s">
        <v>6120</v>
      </c>
      <c r="M590" s="116">
        <v>5514.84</v>
      </c>
      <c r="N590" s="116">
        <v>5514.84</v>
      </c>
      <c r="O590" s="111"/>
      <c r="P590" s="112" t="s">
        <v>27</v>
      </c>
      <c r="Q590" s="110" t="s">
        <v>35</v>
      </c>
      <c r="R590" s="110" t="s">
        <v>27</v>
      </c>
      <c r="S590" s="110"/>
      <c r="T590" s="110">
        <f t="shared" si="9"/>
        <v>5514.84</v>
      </c>
      <c r="U590" s="110"/>
      <c r="V590" s="110"/>
      <c r="W590" s="110"/>
      <c r="X590" s="114" t="s">
        <v>444</v>
      </c>
      <c r="Y590" s="114" t="s">
        <v>444</v>
      </c>
      <c r="AA590" s="113" t="e">
        <v>#N/A</v>
      </c>
      <c r="AB590" s="113" t="e">
        <v>#N/A</v>
      </c>
    </row>
    <row r="591" spans="1:28">
      <c r="A591" s="108">
        <v>590</v>
      </c>
      <c r="B591" s="108" t="s">
        <v>5010</v>
      </c>
      <c r="C591" s="109">
        <v>46062</v>
      </c>
      <c r="D591" s="110" t="s">
        <v>28</v>
      </c>
      <c r="E591" s="110" t="s">
        <v>5252</v>
      </c>
      <c r="F591" s="110" t="s">
        <v>30</v>
      </c>
      <c r="G591" s="110">
        <v>22</v>
      </c>
      <c r="H591" s="110" t="s">
        <v>6121</v>
      </c>
      <c r="I591" s="110" t="s">
        <v>6122</v>
      </c>
      <c r="J591" s="110"/>
      <c r="K591" s="165" t="s">
        <v>6123</v>
      </c>
      <c r="L591" s="165"/>
      <c r="M591" s="116">
        <v>4935.43</v>
      </c>
      <c r="N591" s="116">
        <v>4935.43</v>
      </c>
      <c r="O591" s="111"/>
      <c r="P591" s="112" t="s">
        <v>27</v>
      </c>
      <c r="Q591" s="110" t="s">
        <v>35</v>
      </c>
      <c r="R591" s="110" t="s">
        <v>27</v>
      </c>
      <c r="S591" s="110"/>
      <c r="T591" s="110">
        <f t="shared" si="9"/>
        <v>4935.43</v>
      </c>
      <c r="U591" s="110"/>
      <c r="V591" s="110"/>
      <c r="W591" s="110"/>
      <c r="X591" s="114" t="s">
        <v>76</v>
      </c>
      <c r="Y591" s="114" t="s">
        <v>76</v>
      </c>
      <c r="AA591" s="113" t="e">
        <v>#N/A</v>
      </c>
      <c r="AB591" s="113" t="e">
        <v>#N/A</v>
      </c>
    </row>
    <row r="592" spans="1:28">
      <c r="A592" s="108">
        <v>591</v>
      </c>
      <c r="B592" s="108" t="s">
        <v>5010</v>
      </c>
      <c r="C592" s="109">
        <v>46062</v>
      </c>
      <c r="D592" s="110" t="s">
        <v>28</v>
      </c>
      <c r="E592" s="110" t="s">
        <v>5252</v>
      </c>
      <c r="F592" s="110" t="s">
        <v>30</v>
      </c>
      <c r="G592" s="110">
        <v>22</v>
      </c>
      <c r="H592" s="110" t="s">
        <v>6124</v>
      </c>
      <c r="I592" s="110" t="s">
        <v>6125</v>
      </c>
      <c r="J592" s="110"/>
      <c r="K592" s="165" t="s">
        <v>6126</v>
      </c>
      <c r="L592" s="165" t="s">
        <v>6127</v>
      </c>
      <c r="M592" s="116">
        <v>3312.16</v>
      </c>
      <c r="N592" s="116">
        <v>3312.16</v>
      </c>
      <c r="O592" s="111"/>
      <c r="P592" s="112" t="s">
        <v>27</v>
      </c>
      <c r="Q592" s="110" t="s">
        <v>35</v>
      </c>
      <c r="R592" s="110" t="s">
        <v>27</v>
      </c>
      <c r="S592" s="110"/>
      <c r="T592" s="110">
        <f t="shared" si="9"/>
        <v>3312.16</v>
      </c>
      <c r="U592" s="110"/>
      <c r="V592" s="110"/>
      <c r="W592" s="110"/>
      <c r="X592" s="114" t="s">
        <v>117</v>
      </c>
      <c r="Y592" s="114" t="s">
        <v>117</v>
      </c>
      <c r="AA592" s="113" t="e">
        <v>#N/A</v>
      </c>
      <c r="AB592" s="113" t="e">
        <v>#N/A</v>
      </c>
    </row>
    <row r="593" spans="1:28">
      <c r="A593" s="108">
        <v>592</v>
      </c>
      <c r="B593" s="108" t="s">
        <v>5010</v>
      </c>
      <c r="C593" s="109">
        <v>46062</v>
      </c>
      <c r="D593" s="110" t="s">
        <v>28</v>
      </c>
      <c r="E593" s="110" t="s">
        <v>5252</v>
      </c>
      <c r="F593" s="110" t="s">
        <v>30</v>
      </c>
      <c r="G593" s="110">
        <v>22</v>
      </c>
      <c r="H593" s="110" t="s">
        <v>6128</v>
      </c>
      <c r="I593" s="110" t="s">
        <v>6129</v>
      </c>
      <c r="J593" s="110"/>
      <c r="K593" s="165" t="s">
        <v>6130</v>
      </c>
      <c r="L593" s="165" t="s">
        <v>6131</v>
      </c>
      <c r="M593" s="116">
        <v>1937.19</v>
      </c>
      <c r="N593" s="116">
        <v>1937.19</v>
      </c>
      <c r="O593" s="111"/>
      <c r="P593" s="112" t="s">
        <v>27</v>
      </c>
      <c r="Q593" s="110" t="s">
        <v>35</v>
      </c>
      <c r="R593" s="110" t="s">
        <v>27</v>
      </c>
      <c r="S593" s="110"/>
      <c r="T593" s="110">
        <f t="shared" si="9"/>
        <v>1937.19</v>
      </c>
      <c r="U593" s="110"/>
      <c r="V593" s="110"/>
      <c r="W593" s="110"/>
      <c r="X593" s="114" t="s">
        <v>5438</v>
      </c>
      <c r="Y593" s="114" t="s">
        <v>5438</v>
      </c>
      <c r="AA593" s="113" t="e">
        <v>#N/A</v>
      </c>
      <c r="AB593" s="113" t="e">
        <v>#N/A</v>
      </c>
    </row>
    <row r="594" spans="1:28">
      <c r="A594" s="108">
        <v>593</v>
      </c>
      <c r="B594" s="108" t="s">
        <v>5010</v>
      </c>
      <c r="C594" s="109">
        <v>46062</v>
      </c>
      <c r="D594" s="110" t="s">
        <v>28</v>
      </c>
      <c r="E594" s="110" t="s">
        <v>5252</v>
      </c>
      <c r="F594" s="110" t="s">
        <v>30</v>
      </c>
      <c r="G594" s="110">
        <v>22</v>
      </c>
      <c r="H594" s="110" t="s">
        <v>6132</v>
      </c>
      <c r="I594" s="110" t="s">
        <v>6133</v>
      </c>
      <c r="J594" s="110"/>
      <c r="K594" s="165" t="s">
        <v>6134</v>
      </c>
      <c r="L594" s="165" t="s">
        <v>6135</v>
      </c>
      <c r="M594" s="116">
        <v>2087.4499999999998</v>
      </c>
      <c r="N594" s="116">
        <v>2087.4499999999998</v>
      </c>
      <c r="O594" s="111"/>
      <c r="P594" s="112" t="s">
        <v>27</v>
      </c>
      <c r="Q594" s="110" t="s">
        <v>35</v>
      </c>
      <c r="R594" s="110" t="s">
        <v>27</v>
      </c>
      <c r="S594" s="110"/>
      <c r="T594" s="110">
        <f t="shared" si="9"/>
        <v>2087.4499999999998</v>
      </c>
      <c r="U594" s="110"/>
      <c r="V594" s="110"/>
      <c r="W594" s="110"/>
      <c r="X594" s="114" t="s">
        <v>4335</v>
      </c>
      <c r="Y594" s="114" t="s">
        <v>4335</v>
      </c>
      <c r="AA594" s="113" t="e">
        <v>#N/A</v>
      </c>
      <c r="AB594" s="113" t="e">
        <v>#N/A</v>
      </c>
    </row>
    <row r="595" spans="1:28">
      <c r="A595" s="108">
        <v>594</v>
      </c>
      <c r="B595" s="108" t="s">
        <v>5010</v>
      </c>
      <c r="C595" s="109">
        <v>46062</v>
      </c>
      <c r="D595" s="110" t="s">
        <v>28</v>
      </c>
      <c r="E595" s="110" t="s">
        <v>5252</v>
      </c>
      <c r="F595" s="110" t="s">
        <v>30</v>
      </c>
      <c r="G595" s="110">
        <v>22</v>
      </c>
      <c r="H595" s="110" t="s">
        <v>6136</v>
      </c>
      <c r="I595" s="110" t="s">
        <v>6137</v>
      </c>
      <c r="J595" s="110"/>
      <c r="K595" s="165" t="s">
        <v>6138</v>
      </c>
      <c r="L595" s="165" t="s">
        <v>6139</v>
      </c>
      <c r="M595" s="116">
        <v>1204.99</v>
      </c>
      <c r="N595" s="116">
        <v>1204.99</v>
      </c>
      <c r="O595" s="111"/>
      <c r="P595" s="112" t="s">
        <v>27</v>
      </c>
      <c r="Q595" s="110" t="s">
        <v>35</v>
      </c>
      <c r="R595" s="110" t="s">
        <v>27</v>
      </c>
      <c r="S595" s="110"/>
      <c r="T595" s="110">
        <f t="shared" si="9"/>
        <v>1204.99</v>
      </c>
      <c r="U595" s="110"/>
      <c r="V595" s="110"/>
      <c r="W595" s="110"/>
      <c r="X595" s="114" t="s">
        <v>103</v>
      </c>
      <c r="Y595" s="114" t="s">
        <v>103</v>
      </c>
      <c r="AA595" s="113" t="e">
        <v>#N/A</v>
      </c>
      <c r="AB595" s="113" t="e">
        <v>#N/A</v>
      </c>
    </row>
    <row r="596" spans="1:28">
      <c r="A596" s="108">
        <v>595</v>
      </c>
      <c r="B596" s="108" t="s">
        <v>5010</v>
      </c>
      <c r="C596" s="109">
        <v>46062</v>
      </c>
      <c r="D596" s="110" t="s">
        <v>28</v>
      </c>
      <c r="E596" s="110" t="s">
        <v>5252</v>
      </c>
      <c r="F596" s="110" t="s">
        <v>30</v>
      </c>
      <c r="G596" s="110">
        <v>22</v>
      </c>
      <c r="H596" s="110" t="s">
        <v>6140</v>
      </c>
      <c r="I596" s="110" t="s">
        <v>6141</v>
      </c>
      <c r="J596" s="110"/>
      <c r="K596" s="165" t="s">
        <v>6142</v>
      </c>
      <c r="L596" s="165" t="s">
        <v>6143</v>
      </c>
      <c r="M596" s="116">
        <v>1774.23</v>
      </c>
      <c r="N596" s="116">
        <v>1774.23</v>
      </c>
      <c r="O596" s="111"/>
      <c r="P596" s="112" t="s">
        <v>27</v>
      </c>
      <c r="Q596" s="110" t="s">
        <v>35</v>
      </c>
      <c r="R596" s="110" t="s">
        <v>27</v>
      </c>
      <c r="S596" s="110"/>
      <c r="T596" s="110">
        <f t="shared" si="9"/>
        <v>1774.23</v>
      </c>
      <c r="U596" s="110"/>
      <c r="V596" s="110"/>
      <c r="W596" s="110"/>
      <c r="X596" s="114" t="s">
        <v>117</v>
      </c>
      <c r="Y596" s="114" t="s">
        <v>117</v>
      </c>
      <c r="AA596" s="113" t="e">
        <v>#N/A</v>
      </c>
      <c r="AB596" s="113" t="e">
        <v>#N/A</v>
      </c>
    </row>
    <row r="597" spans="1:28">
      <c r="A597" s="108">
        <v>596</v>
      </c>
      <c r="B597" s="108" t="s">
        <v>5010</v>
      </c>
      <c r="C597" s="109">
        <v>46062</v>
      </c>
      <c r="D597" s="110" t="s">
        <v>28</v>
      </c>
      <c r="E597" s="110" t="s">
        <v>5252</v>
      </c>
      <c r="F597" s="110" t="s">
        <v>30</v>
      </c>
      <c r="G597" s="110">
        <v>22</v>
      </c>
      <c r="H597" s="110" t="s">
        <v>6144</v>
      </c>
      <c r="I597" s="110" t="s">
        <v>6145</v>
      </c>
      <c r="J597" s="110"/>
      <c r="K597" s="165" t="s">
        <v>6146</v>
      </c>
      <c r="L597" s="165" t="s">
        <v>6147</v>
      </c>
      <c r="M597" s="116">
        <v>1220.02</v>
      </c>
      <c r="N597" s="116">
        <v>1220.02</v>
      </c>
      <c r="O597" s="111"/>
      <c r="P597" s="112" t="s">
        <v>27</v>
      </c>
      <c r="Q597" s="110" t="s">
        <v>35</v>
      </c>
      <c r="R597" s="110" t="s">
        <v>27</v>
      </c>
      <c r="S597" s="110"/>
      <c r="T597" s="110">
        <f t="shared" si="9"/>
        <v>1220.02</v>
      </c>
      <c r="U597" s="110"/>
      <c r="V597" s="110"/>
      <c r="W597" s="110"/>
      <c r="X597" s="114" t="s">
        <v>82</v>
      </c>
      <c r="Y597" s="114" t="s">
        <v>82</v>
      </c>
      <c r="AA597" s="113" t="e">
        <v>#N/A</v>
      </c>
      <c r="AB597" s="113" t="e">
        <v>#N/A</v>
      </c>
    </row>
    <row r="598" spans="1:28">
      <c r="A598" s="108">
        <v>597</v>
      </c>
      <c r="B598" s="108" t="s">
        <v>5010</v>
      </c>
      <c r="C598" s="109">
        <v>46062</v>
      </c>
      <c r="D598" s="110" t="s">
        <v>28</v>
      </c>
      <c r="E598" s="110" t="s">
        <v>5252</v>
      </c>
      <c r="F598" s="110" t="s">
        <v>30</v>
      </c>
      <c r="G598" s="110">
        <v>22</v>
      </c>
      <c r="H598" s="110" t="s">
        <v>6148</v>
      </c>
      <c r="I598" s="110" t="s">
        <v>6149</v>
      </c>
      <c r="J598" s="110"/>
      <c r="K598" s="165" t="s">
        <v>6150</v>
      </c>
      <c r="L598" s="165" t="s">
        <v>6151</v>
      </c>
      <c r="M598" s="116">
        <v>804.42</v>
      </c>
      <c r="N598" s="116">
        <v>804.42</v>
      </c>
      <c r="O598" s="111"/>
      <c r="P598" s="112" t="s">
        <v>27</v>
      </c>
      <c r="Q598" s="110" t="s">
        <v>35</v>
      </c>
      <c r="R598" s="110" t="s">
        <v>27</v>
      </c>
      <c r="S598" s="110"/>
      <c r="T598" s="110">
        <f t="shared" si="9"/>
        <v>804.42</v>
      </c>
      <c r="U598" s="110"/>
      <c r="V598" s="110"/>
      <c r="W598" s="110"/>
      <c r="X598" s="114" t="s">
        <v>103</v>
      </c>
      <c r="Y598" s="114" t="s">
        <v>103</v>
      </c>
      <c r="AA598" s="113" t="e">
        <v>#N/A</v>
      </c>
      <c r="AB598" s="113" t="e">
        <v>#N/A</v>
      </c>
    </row>
    <row r="599" spans="1:28">
      <c r="A599" s="108">
        <v>598</v>
      </c>
      <c r="B599" s="108" t="s">
        <v>5010</v>
      </c>
      <c r="C599" s="109">
        <v>46062</v>
      </c>
      <c r="D599" s="110" t="s">
        <v>28</v>
      </c>
      <c r="E599" s="110" t="s">
        <v>5252</v>
      </c>
      <c r="F599" s="110" t="s">
        <v>30</v>
      </c>
      <c r="G599" s="110">
        <v>22</v>
      </c>
      <c r="H599" s="110" t="s">
        <v>6152</v>
      </c>
      <c r="I599" s="110" t="s">
        <v>6153</v>
      </c>
      <c r="J599" s="110"/>
      <c r="K599" s="165" t="s">
        <v>6154</v>
      </c>
      <c r="L599" s="165" t="s">
        <v>6155</v>
      </c>
      <c r="M599" s="116">
        <v>2322.27</v>
      </c>
      <c r="N599" s="116">
        <v>2322.27</v>
      </c>
      <c r="O599" s="111"/>
      <c r="P599" s="112" t="s">
        <v>27</v>
      </c>
      <c r="Q599" s="110" t="s">
        <v>35</v>
      </c>
      <c r="R599" s="110" t="s">
        <v>27</v>
      </c>
      <c r="S599" s="110"/>
      <c r="T599" s="110">
        <f t="shared" si="9"/>
        <v>2322.27</v>
      </c>
      <c r="U599" s="110"/>
      <c r="V599" s="110"/>
      <c r="W599" s="110"/>
      <c r="X599" s="114" t="s">
        <v>444</v>
      </c>
      <c r="Y599" s="114" t="s">
        <v>444</v>
      </c>
      <c r="AA599" s="113" t="e">
        <v>#N/A</v>
      </c>
      <c r="AB599" s="113" t="e">
        <v>#N/A</v>
      </c>
    </row>
    <row r="600" spans="1:28">
      <c r="A600" s="108">
        <v>599</v>
      </c>
      <c r="B600" s="108" t="s">
        <v>5010</v>
      </c>
      <c r="C600" s="109">
        <v>46062</v>
      </c>
      <c r="D600" s="110" t="s">
        <v>28</v>
      </c>
      <c r="E600" s="110" t="s">
        <v>5252</v>
      </c>
      <c r="F600" s="110" t="s">
        <v>30</v>
      </c>
      <c r="G600" s="110">
        <v>22</v>
      </c>
      <c r="H600" s="110" t="s">
        <v>6156</v>
      </c>
      <c r="I600" s="110" t="s">
        <v>6157</v>
      </c>
      <c r="J600" s="110"/>
      <c r="K600" s="165" t="s">
        <v>6158</v>
      </c>
      <c r="L600" s="165" t="s">
        <v>6159</v>
      </c>
      <c r="M600" s="116">
        <v>492.79</v>
      </c>
      <c r="N600" s="116">
        <v>492.79</v>
      </c>
      <c r="O600" s="111"/>
      <c r="P600" s="112" t="s">
        <v>27</v>
      </c>
      <c r="Q600" s="110" t="s">
        <v>35</v>
      </c>
      <c r="R600" s="110" t="s">
        <v>27</v>
      </c>
      <c r="S600" s="110"/>
      <c r="T600" s="110">
        <f t="shared" si="9"/>
        <v>492.79</v>
      </c>
      <c r="U600" s="110"/>
      <c r="V600" s="110"/>
      <c r="W600" s="110"/>
      <c r="X600" s="114" t="s">
        <v>89</v>
      </c>
      <c r="Y600" s="114" t="s">
        <v>89</v>
      </c>
      <c r="AA600" s="113" t="e">
        <v>#N/A</v>
      </c>
      <c r="AB600" s="113" t="e">
        <v>#N/A</v>
      </c>
    </row>
    <row r="601" spans="1:28">
      <c r="A601" s="108">
        <v>600</v>
      </c>
      <c r="B601" s="108" t="s">
        <v>5010</v>
      </c>
      <c r="C601" s="109">
        <v>46062</v>
      </c>
      <c r="D601" s="110" t="s">
        <v>28</v>
      </c>
      <c r="E601" s="110" t="s">
        <v>5252</v>
      </c>
      <c r="F601" s="110" t="s">
        <v>30</v>
      </c>
      <c r="G601" s="110">
        <v>22</v>
      </c>
      <c r="H601" s="110" t="s">
        <v>6160</v>
      </c>
      <c r="I601" s="110" t="s">
        <v>6161</v>
      </c>
      <c r="J601" s="110"/>
      <c r="K601" s="165" t="s">
        <v>6162</v>
      </c>
      <c r="L601" s="165" t="s">
        <v>6163</v>
      </c>
      <c r="M601" s="116">
        <v>1371.68</v>
      </c>
      <c r="N601" s="116">
        <v>1371.68</v>
      </c>
      <c r="O601" s="111"/>
      <c r="P601" s="112" t="s">
        <v>27</v>
      </c>
      <c r="Q601" s="110" t="s">
        <v>35</v>
      </c>
      <c r="R601" s="110" t="s">
        <v>27</v>
      </c>
      <c r="S601" s="110"/>
      <c r="T601" s="110">
        <f t="shared" si="9"/>
        <v>1371.68</v>
      </c>
      <c r="U601" s="110"/>
      <c r="V601" s="110"/>
      <c r="W601" s="110"/>
      <c r="X601" s="114" t="s">
        <v>89</v>
      </c>
      <c r="Y601" s="114" t="s">
        <v>89</v>
      </c>
      <c r="AA601" s="113" t="e">
        <v>#N/A</v>
      </c>
      <c r="AB601" s="113" t="e">
        <v>#N/A</v>
      </c>
    </row>
    <row r="602" spans="1:28">
      <c r="A602" s="108">
        <v>601</v>
      </c>
      <c r="B602" s="108" t="s">
        <v>225</v>
      </c>
      <c r="C602" s="109">
        <v>46064</v>
      </c>
      <c r="D602" s="110" t="s">
        <v>226</v>
      </c>
      <c r="E602" s="110" t="s">
        <v>5252</v>
      </c>
      <c r="F602" s="110" t="s">
        <v>336</v>
      </c>
      <c r="G602" s="110">
        <v>11</v>
      </c>
      <c r="H602" s="110" t="s">
        <v>6164</v>
      </c>
      <c r="I602" s="110">
        <v>9701842649</v>
      </c>
      <c r="J602" s="110">
        <v>8790894729</v>
      </c>
      <c r="K602" s="165" t="s">
        <v>6165</v>
      </c>
      <c r="L602" s="165" t="s">
        <v>6165</v>
      </c>
      <c r="M602" s="116">
        <v>19000</v>
      </c>
      <c r="N602" s="110">
        <v>5000</v>
      </c>
      <c r="O602" s="166">
        <v>46074</v>
      </c>
      <c r="P602" s="161" t="s">
        <v>5105</v>
      </c>
      <c r="Q602" s="116" t="s">
        <v>35</v>
      </c>
      <c r="R602" s="110" t="s">
        <v>340</v>
      </c>
      <c r="S602" s="110"/>
      <c r="T602" s="110">
        <f t="shared" si="9"/>
        <v>5000</v>
      </c>
      <c r="U602" s="110"/>
      <c r="V602" s="110"/>
      <c r="W602" s="110"/>
      <c r="X602" s="114" t="s">
        <v>342</v>
      </c>
      <c r="Y602" s="114" t="s">
        <v>370</v>
      </c>
      <c r="AA602" s="113" t="e">
        <v>#N/A</v>
      </c>
      <c r="AB602" s="113" t="e">
        <v>#N/A</v>
      </c>
    </row>
    <row r="603" spans="1:28">
      <c r="A603" s="108">
        <v>602</v>
      </c>
      <c r="B603" s="108" t="s">
        <v>225</v>
      </c>
      <c r="C603" s="109">
        <v>46064</v>
      </c>
      <c r="D603" s="110" t="s">
        <v>226</v>
      </c>
      <c r="E603" s="110" t="s">
        <v>5252</v>
      </c>
      <c r="F603" s="110" t="s">
        <v>336</v>
      </c>
      <c r="G603" s="110">
        <v>11</v>
      </c>
      <c r="H603" s="110" t="s">
        <v>4980</v>
      </c>
      <c r="I603" s="110">
        <v>7893443366</v>
      </c>
      <c r="J603" s="110" t="s">
        <v>6166</v>
      </c>
      <c r="K603" s="165" t="s">
        <v>4981</v>
      </c>
      <c r="L603" s="165" t="s">
        <v>4981</v>
      </c>
      <c r="M603" s="110">
        <v>19443</v>
      </c>
      <c r="N603" s="110">
        <v>10036</v>
      </c>
      <c r="O603" s="111">
        <v>46065</v>
      </c>
      <c r="P603" s="161" t="s">
        <v>698</v>
      </c>
      <c r="Q603" s="110" t="s">
        <v>52</v>
      </c>
      <c r="R603" s="116" t="s">
        <v>340</v>
      </c>
      <c r="S603" s="110">
        <v>9500</v>
      </c>
      <c r="T603" s="110">
        <f t="shared" si="9"/>
        <v>536</v>
      </c>
      <c r="U603" s="111">
        <v>46065</v>
      </c>
      <c r="V603" s="110" t="s">
        <v>6167</v>
      </c>
      <c r="W603" s="110" t="s">
        <v>54</v>
      </c>
      <c r="X603" s="114" t="s">
        <v>388</v>
      </c>
      <c r="Y603" s="114" t="s">
        <v>698</v>
      </c>
      <c r="AA603" s="113" t="s">
        <v>4983</v>
      </c>
      <c r="AB603" s="113" t="s">
        <v>4479</v>
      </c>
    </row>
    <row r="604" spans="1:28">
      <c r="A604" s="108">
        <v>603</v>
      </c>
      <c r="B604" s="108" t="s">
        <v>225</v>
      </c>
      <c r="C604" s="109">
        <v>46064</v>
      </c>
      <c r="D604" s="110" t="s">
        <v>226</v>
      </c>
      <c r="E604" s="110" t="s">
        <v>5252</v>
      </c>
      <c r="F604" s="110" t="s">
        <v>336</v>
      </c>
      <c r="G604" s="110">
        <v>11</v>
      </c>
      <c r="H604" s="110" t="s">
        <v>6168</v>
      </c>
      <c r="I604" s="110">
        <v>9701504405</v>
      </c>
      <c r="J604" s="110" t="s">
        <v>6169</v>
      </c>
      <c r="K604" s="165" t="s">
        <v>6170</v>
      </c>
      <c r="L604" s="165" t="s">
        <v>6170</v>
      </c>
      <c r="M604" s="116">
        <v>8888</v>
      </c>
      <c r="N604" s="110">
        <v>8778</v>
      </c>
      <c r="O604" s="166">
        <v>46065</v>
      </c>
      <c r="P604" s="161" t="s">
        <v>370</v>
      </c>
      <c r="Q604" s="110" t="s">
        <v>52</v>
      </c>
      <c r="R604" s="116" t="s">
        <v>340</v>
      </c>
      <c r="S604" s="110">
        <v>5000</v>
      </c>
      <c r="T604" s="110">
        <f t="shared" si="9"/>
        <v>3778</v>
      </c>
      <c r="U604" s="111">
        <v>46080</v>
      </c>
      <c r="V604" s="110" t="s">
        <v>6171</v>
      </c>
      <c r="W604" s="110"/>
      <c r="X604" s="114" t="s">
        <v>342</v>
      </c>
      <c r="Y604" s="114" t="s">
        <v>370</v>
      </c>
      <c r="AA604" s="113" t="s">
        <v>11</v>
      </c>
      <c r="AB604" s="113" t="s">
        <v>4916</v>
      </c>
    </row>
    <row r="605" spans="1:28">
      <c r="A605" s="108">
        <v>604</v>
      </c>
      <c r="B605" s="108" t="s">
        <v>225</v>
      </c>
      <c r="C605" s="109">
        <v>46064</v>
      </c>
      <c r="D605" s="110" t="s">
        <v>226</v>
      </c>
      <c r="E605" s="110" t="s">
        <v>5252</v>
      </c>
      <c r="F605" s="110" t="s">
        <v>336</v>
      </c>
      <c r="G605" s="110">
        <v>11</v>
      </c>
      <c r="H605" s="110" t="s">
        <v>6172</v>
      </c>
      <c r="I605" s="110">
        <v>8331978043</v>
      </c>
      <c r="J605" s="110"/>
      <c r="K605" s="165" t="s">
        <v>6173</v>
      </c>
      <c r="L605" s="165" t="s">
        <v>6173</v>
      </c>
      <c r="M605" s="116">
        <v>15910</v>
      </c>
      <c r="N605" s="110">
        <v>5918</v>
      </c>
      <c r="O605" s="110" t="s">
        <v>239</v>
      </c>
      <c r="P605" s="110" t="s">
        <v>239</v>
      </c>
      <c r="Q605" s="110" t="s">
        <v>239</v>
      </c>
      <c r="R605" s="116" t="s">
        <v>340</v>
      </c>
      <c r="S605" s="110"/>
      <c r="T605" s="110">
        <f t="shared" si="9"/>
        <v>5918</v>
      </c>
      <c r="U605" s="110"/>
      <c r="V605" s="110"/>
      <c r="W605" s="110"/>
      <c r="X605" s="114" t="s">
        <v>698</v>
      </c>
      <c r="Y605" s="114" t="s">
        <v>370</v>
      </c>
      <c r="AA605" s="113" t="s">
        <v>11</v>
      </c>
      <c r="AB605" s="113" t="s">
        <v>4464</v>
      </c>
    </row>
    <row r="606" spans="1:28">
      <c r="A606" s="108">
        <v>605</v>
      </c>
      <c r="B606" s="108" t="s">
        <v>225</v>
      </c>
      <c r="C606" s="109">
        <v>46064</v>
      </c>
      <c r="D606" s="110" t="s">
        <v>226</v>
      </c>
      <c r="E606" s="110" t="s">
        <v>5252</v>
      </c>
      <c r="F606" s="110" t="s">
        <v>336</v>
      </c>
      <c r="G606" s="110">
        <v>11</v>
      </c>
      <c r="H606" s="110" t="s">
        <v>6174</v>
      </c>
      <c r="I606" s="110">
        <v>9640039115</v>
      </c>
      <c r="J606" s="110"/>
      <c r="K606" s="165" t="s">
        <v>6175</v>
      </c>
      <c r="L606" s="165" t="s">
        <v>6175</v>
      </c>
      <c r="M606" s="116">
        <v>14380</v>
      </c>
      <c r="N606" s="110">
        <v>5390</v>
      </c>
      <c r="O606" s="111">
        <v>46072</v>
      </c>
      <c r="P606" s="112" t="s">
        <v>698</v>
      </c>
      <c r="Q606" s="110" t="s">
        <v>52</v>
      </c>
      <c r="R606" s="116" t="s">
        <v>340</v>
      </c>
      <c r="S606" s="110">
        <f>3000+1000+1000+400</f>
        <v>5400</v>
      </c>
      <c r="T606" s="110">
        <f t="shared" si="9"/>
        <v>-10</v>
      </c>
      <c r="U606" s="111">
        <v>46083</v>
      </c>
      <c r="V606" s="110" t="s">
        <v>6176</v>
      </c>
      <c r="W606" s="110" t="s">
        <v>54</v>
      </c>
      <c r="X606" s="114" t="s">
        <v>698</v>
      </c>
      <c r="Y606" s="114" t="s">
        <v>370</v>
      </c>
      <c r="AA606" s="113" t="s">
        <v>4472</v>
      </c>
      <c r="AB606" s="113" t="s">
        <v>4985</v>
      </c>
    </row>
    <row r="607" spans="1:28">
      <c r="A607" s="108">
        <v>606</v>
      </c>
      <c r="B607" s="108" t="s">
        <v>225</v>
      </c>
      <c r="C607" s="109">
        <v>46064</v>
      </c>
      <c r="D607" s="110" t="s">
        <v>226</v>
      </c>
      <c r="E607" s="110" t="s">
        <v>5252</v>
      </c>
      <c r="F607" s="110" t="s">
        <v>3190</v>
      </c>
      <c r="G607" s="110">
        <v>11</v>
      </c>
      <c r="H607" s="110" t="s">
        <v>6177</v>
      </c>
      <c r="I607" s="110" t="s">
        <v>6178</v>
      </c>
      <c r="J607" s="110">
        <v>9492586825</v>
      </c>
      <c r="K607" s="165" t="s">
        <v>6179</v>
      </c>
      <c r="L607" s="165" t="s">
        <v>6179</v>
      </c>
      <c r="M607" s="116">
        <v>37310</v>
      </c>
      <c r="N607" s="116">
        <v>24320</v>
      </c>
      <c r="O607" s="166">
        <v>46075</v>
      </c>
      <c r="P607" s="161" t="s">
        <v>4963</v>
      </c>
      <c r="Q607" s="110" t="s">
        <v>52</v>
      </c>
      <c r="R607" s="116" t="s">
        <v>4963</v>
      </c>
      <c r="S607" s="110">
        <f>18000+5000+1320</f>
        <v>24320</v>
      </c>
      <c r="T607" s="110">
        <f t="shared" si="9"/>
        <v>0</v>
      </c>
      <c r="U607" s="111">
        <v>46085</v>
      </c>
      <c r="V607" s="110" t="s">
        <v>6180</v>
      </c>
      <c r="W607" s="110" t="s">
        <v>54</v>
      </c>
      <c r="X607" s="114" t="s">
        <v>6181</v>
      </c>
      <c r="Y607" s="114" t="s">
        <v>402</v>
      </c>
      <c r="AA607" s="113" t="s">
        <v>11</v>
      </c>
      <c r="AB607" s="113" t="s">
        <v>4464</v>
      </c>
    </row>
    <row r="608" spans="1:28">
      <c r="A608" s="108">
        <v>607</v>
      </c>
      <c r="B608" s="108" t="s">
        <v>225</v>
      </c>
      <c r="C608" s="109">
        <v>46064</v>
      </c>
      <c r="D608" s="110" t="s">
        <v>226</v>
      </c>
      <c r="E608" s="110" t="s">
        <v>5252</v>
      </c>
      <c r="F608" s="110" t="s">
        <v>236</v>
      </c>
      <c r="G608" s="110">
        <v>11</v>
      </c>
      <c r="H608" s="110" t="s">
        <v>6182</v>
      </c>
      <c r="I608" s="110">
        <v>9949941789</v>
      </c>
      <c r="J608" s="110"/>
      <c r="K608" s="165" t="s">
        <v>6183</v>
      </c>
      <c r="L608" s="165" t="s">
        <v>6183</v>
      </c>
      <c r="M608" s="116">
        <v>440</v>
      </c>
      <c r="N608" s="110">
        <v>444</v>
      </c>
      <c r="O608" s="110" t="s">
        <v>239</v>
      </c>
      <c r="P608" s="110" t="s">
        <v>239</v>
      </c>
      <c r="Q608" s="110" t="s">
        <v>239</v>
      </c>
      <c r="R608" s="110" t="s">
        <v>5082</v>
      </c>
      <c r="S608" s="110"/>
      <c r="T608" s="110">
        <f t="shared" si="9"/>
        <v>444</v>
      </c>
      <c r="U608" s="110"/>
      <c r="V608" s="110"/>
      <c r="W608" s="110"/>
      <c r="X608" s="114" t="s">
        <v>5082</v>
      </c>
      <c r="Y608" s="114" t="s">
        <v>5082</v>
      </c>
      <c r="AA608" s="113" t="s">
        <v>11</v>
      </c>
      <c r="AB608" s="113" t="s">
        <v>4985</v>
      </c>
    </row>
    <row r="609" spans="1:28">
      <c r="A609" s="108">
        <v>608</v>
      </c>
      <c r="B609" s="108" t="s">
        <v>225</v>
      </c>
      <c r="C609" s="109">
        <v>46064</v>
      </c>
      <c r="D609" s="110" t="s">
        <v>226</v>
      </c>
      <c r="E609" s="110" t="s">
        <v>5252</v>
      </c>
      <c r="F609" s="110" t="s">
        <v>236</v>
      </c>
      <c r="G609" s="110">
        <v>11</v>
      </c>
      <c r="H609" s="110" t="s">
        <v>6184</v>
      </c>
      <c r="I609" s="110">
        <v>9848086871</v>
      </c>
      <c r="J609" s="110"/>
      <c r="K609" s="165" t="s">
        <v>6185</v>
      </c>
      <c r="L609" s="165" t="s">
        <v>6185</v>
      </c>
      <c r="M609" s="116">
        <v>2720</v>
      </c>
      <c r="N609" s="110">
        <v>2729</v>
      </c>
      <c r="O609" s="110" t="s">
        <v>239</v>
      </c>
      <c r="P609" s="110" t="s">
        <v>239</v>
      </c>
      <c r="Q609" s="110" t="s">
        <v>239</v>
      </c>
      <c r="R609" s="110" t="s">
        <v>5082</v>
      </c>
      <c r="S609" s="110"/>
      <c r="T609" s="110">
        <f t="shared" si="9"/>
        <v>2729</v>
      </c>
      <c r="U609" s="110"/>
      <c r="V609" s="110"/>
      <c r="W609" s="110"/>
      <c r="X609" s="114" t="s">
        <v>5082</v>
      </c>
      <c r="Y609" s="114" t="s">
        <v>5082</v>
      </c>
      <c r="AA609" s="113" t="s">
        <v>11</v>
      </c>
      <c r="AB609" s="113" t="s">
        <v>4479</v>
      </c>
    </row>
    <row r="610" spans="1:28">
      <c r="A610" s="108">
        <v>609</v>
      </c>
      <c r="B610" s="108" t="s">
        <v>225</v>
      </c>
      <c r="C610" s="109">
        <v>46064</v>
      </c>
      <c r="D610" s="110" t="s">
        <v>226</v>
      </c>
      <c r="E610" s="110" t="s">
        <v>5252</v>
      </c>
      <c r="F610" s="110" t="s">
        <v>236</v>
      </c>
      <c r="G610" s="110">
        <v>11</v>
      </c>
      <c r="H610" s="110" t="s">
        <v>6186</v>
      </c>
      <c r="I610" s="110">
        <v>9515974705</v>
      </c>
      <c r="J610" s="110"/>
      <c r="K610" s="165" t="s">
        <v>6187</v>
      </c>
      <c r="L610" s="165" t="s">
        <v>6187</v>
      </c>
      <c r="M610" s="116">
        <v>2280</v>
      </c>
      <c r="N610" s="110">
        <v>2288</v>
      </c>
      <c r="O610" s="110" t="s">
        <v>239</v>
      </c>
      <c r="P610" s="110" t="s">
        <v>239</v>
      </c>
      <c r="Q610" s="110" t="s">
        <v>239</v>
      </c>
      <c r="R610" s="110" t="s">
        <v>5082</v>
      </c>
      <c r="S610" s="110"/>
      <c r="T610" s="110">
        <f t="shared" si="9"/>
        <v>2288</v>
      </c>
      <c r="U610" s="110"/>
      <c r="V610" s="110"/>
      <c r="W610" s="110"/>
      <c r="X610" s="114" t="s">
        <v>5082</v>
      </c>
      <c r="Y610" s="114" t="s">
        <v>5082</v>
      </c>
      <c r="AA610" s="113" t="s">
        <v>4983</v>
      </c>
      <c r="AB610" s="113" t="s">
        <v>4916</v>
      </c>
    </row>
    <row r="611" spans="1:28">
      <c r="A611" s="108">
        <v>610</v>
      </c>
      <c r="B611" s="108" t="s">
        <v>225</v>
      </c>
      <c r="C611" s="109">
        <v>46064</v>
      </c>
      <c r="D611" s="110" t="s">
        <v>226</v>
      </c>
      <c r="E611" s="110" t="s">
        <v>5252</v>
      </c>
      <c r="F611" s="110" t="s">
        <v>236</v>
      </c>
      <c r="G611" s="110">
        <v>11</v>
      </c>
      <c r="H611" s="110" t="s">
        <v>6188</v>
      </c>
      <c r="I611" s="110">
        <v>8447966946</v>
      </c>
      <c r="J611" s="110"/>
      <c r="K611" s="165" t="s">
        <v>6189</v>
      </c>
      <c r="L611" s="165" t="s">
        <v>6189</v>
      </c>
      <c r="M611" s="116">
        <v>3010</v>
      </c>
      <c r="N611" s="110">
        <v>3015</v>
      </c>
      <c r="O611" s="110" t="s">
        <v>239</v>
      </c>
      <c r="P611" s="110" t="s">
        <v>239</v>
      </c>
      <c r="Q611" s="110" t="s">
        <v>239</v>
      </c>
      <c r="R611" s="110" t="s">
        <v>5082</v>
      </c>
      <c r="S611" s="110"/>
      <c r="T611" s="110">
        <f t="shared" si="9"/>
        <v>3015</v>
      </c>
      <c r="U611" s="110"/>
      <c r="V611" s="110"/>
      <c r="W611" s="110"/>
      <c r="X611" s="114" t="s">
        <v>5082</v>
      </c>
      <c r="Y611" s="114" t="s">
        <v>5082</v>
      </c>
      <c r="AA611" s="113" t="e">
        <v>#N/A</v>
      </c>
      <c r="AB611" s="113" t="e">
        <v>#N/A</v>
      </c>
    </row>
    <row r="612" spans="1:28">
      <c r="A612" s="108">
        <v>611</v>
      </c>
      <c r="B612" s="108" t="s">
        <v>225</v>
      </c>
      <c r="C612" s="109">
        <v>46064</v>
      </c>
      <c r="D612" s="110" t="s">
        <v>226</v>
      </c>
      <c r="E612" s="110" t="s">
        <v>5252</v>
      </c>
      <c r="F612" s="110" t="s">
        <v>236</v>
      </c>
      <c r="G612" s="110">
        <v>11</v>
      </c>
      <c r="H612" s="110" t="s">
        <v>6190</v>
      </c>
      <c r="I612" s="110">
        <v>9666880909</v>
      </c>
      <c r="J612" s="110"/>
      <c r="K612" s="165" t="s">
        <v>6191</v>
      </c>
      <c r="L612" s="165" t="s">
        <v>6191</v>
      </c>
      <c r="M612" s="116">
        <v>2390</v>
      </c>
      <c r="N612" s="110">
        <v>2396</v>
      </c>
      <c r="O612" s="110" t="s">
        <v>239</v>
      </c>
      <c r="P612" s="110" t="s">
        <v>239</v>
      </c>
      <c r="Q612" s="110" t="s">
        <v>239</v>
      </c>
      <c r="R612" s="110" t="s">
        <v>5082</v>
      </c>
      <c r="S612" s="110"/>
      <c r="T612" s="110">
        <f t="shared" si="9"/>
        <v>2396</v>
      </c>
      <c r="U612" s="110"/>
      <c r="V612" s="110"/>
      <c r="W612" s="110"/>
      <c r="X612" s="114" t="s">
        <v>5082</v>
      </c>
      <c r="Y612" s="114" t="s">
        <v>5082</v>
      </c>
      <c r="AA612" s="113" t="e">
        <v>#N/A</v>
      </c>
      <c r="AB612" s="113" t="e">
        <v>#N/A</v>
      </c>
    </row>
    <row r="613" spans="1:28">
      <c r="A613" s="108">
        <v>612</v>
      </c>
      <c r="B613" s="108" t="s">
        <v>225</v>
      </c>
      <c r="C613" s="109">
        <v>46065</v>
      </c>
      <c r="D613" s="110" t="s">
        <v>226</v>
      </c>
      <c r="E613" s="110" t="s">
        <v>5252</v>
      </c>
      <c r="F613" s="110" t="s">
        <v>236</v>
      </c>
      <c r="G613" s="110">
        <v>12</v>
      </c>
      <c r="H613" s="110" t="s">
        <v>6192</v>
      </c>
      <c r="I613" s="110">
        <v>9845968696</v>
      </c>
      <c r="J613" s="110"/>
      <c r="K613" s="165" t="s">
        <v>6193</v>
      </c>
      <c r="L613" s="165" t="s">
        <v>6193</v>
      </c>
      <c r="M613" s="116">
        <v>1410</v>
      </c>
      <c r="N613" s="110">
        <v>1410</v>
      </c>
      <c r="O613" s="110" t="s">
        <v>239</v>
      </c>
      <c r="P613" s="110" t="s">
        <v>239</v>
      </c>
      <c r="Q613" s="110" t="s">
        <v>239</v>
      </c>
      <c r="R613" s="110" t="s">
        <v>5082</v>
      </c>
      <c r="S613" s="110"/>
      <c r="T613" s="110">
        <f t="shared" si="9"/>
        <v>1410</v>
      </c>
      <c r="U613" s="110"/>
      <c r="V613" s="110"/>
      <c r="W613" s="110"/>
      <c r="X613" s="114" t="s">
        <v>5082</v>
      </c>
      <c r="Y613" s="114" t="s">
        <v>5082</v>
      </c>
      <c r="AA613" s="113" t="e">
        <v>#N/A</v>
      </c>
      <c r="AB613" s="113" t="e">
        <v>#N/A</v>
      </c>
    </row>
    <row r="614" spans="1:28">
      <c r="A614" s="108">
        <v>613</v>
      </c>
      <c r="B614" s="108" t="s">
        <v>225</v>
      </c>
      <c r="C614" s="109">
        <v>46065</v>
      </c>
      <c r="D614" s="110" t="s">
        <v>226</v>
      </c>
      <c r="E614" s="110" t="s">
        <v>5252</v>
      </c>
      <c r="F614" s="110" t="s">
        <v>236</v>
      </c>
      <c r="G614" s="110">
        <v>12</v>
      </c>
      <c r="H614" s="110" t="s">
        <v>6194</v>
      </c>
      <c r="I614" s="110">
        <v>9442173638</v>
      </c>
      <c r="J614" s="110" t="s">
        <v>6195</v>
      </c>
      <c r="K614" s="165" t="s">
        <v>6196</v>
      </c>
      <c r="L614" s="165" t="s">
        <v>6196</v>
      </c>
      <c r="M614" s="116">
        <v>2680</v>
      </c>
      <c r="N614" s="110">
        <v>2680</v>
      </c>
      <c r="O614" s="110" t="s">
        <v>239</v>
      </c>
      <c r="P614" s="110" t="s">
        <v>239</v>
      </c>
      <c r="Q614" s="110" t="s">
        <v>239</v>
      </c>
      <c r="R614" s="110" t="s">
        <v>5082</v>
      </c>
      <c r="S614" s="110"/>
      <c r="T614" s="110">
        <f t="shared" si="9"/>
        <v>2680</v>
      </c>
      <c r="U614" s="110"/>
      <c r="V614" s="110"/>
      <c r="W614" s="110"/>
      <c r="X614" s="114" t="s">
        <v>5082</v>
      </c>
      <c r="Y614" s="114" t="s">
        <v>5082</v>
      </c>
      <c r="AA614" s="113" t="e">
        <v>#N/A</v>
      </c>
      <c r="AB614" s="113" t="e">
        <v>#N/A</v>
      </c>
    </row>
    <row r="615" spans="1:28">
      <c r="A615" s="108">
        <v>614</v>
      </c>
      <c r="B615" s="108" t="s">
        <v>225</v>
      </c>
      <c r="C615" s="109">
        <v>46065</v>
      </c>
      <c r="D615" s="110" t="s">
        <v>226</v>
      </c>
      <c r="E615" s="110" t="s">
        <v>5252</v>
      </c>
      <c r="F615" s="110" t="s">
        <v>236</v>
      </c>
      <c r="G615" s="110">
        <v>12</v>
      </c>
      <c r="H615" s="110" t="s">
        <v>6197</v>
      </c>
      <c r="I615" s="110">
        <v>9963657896</v>
      </c>
      <c r="J615" s="110"/>
      <c r="K615" s="165" t="s">
        <v>6198</v>
      </c>
      <c r="L615" s="165" t="s">
        <v>6198</v>
      </c>
      <c r="M615" s="116">
        <v>3080</v>
      </c>
      <c r="N615" s="110">
        <v>3080</v>
      </c>
      <c r="O615" s="110" t="s">
        <v>239</v>
      </c>
      <c r="P615" s="110" t="s">
        <v>239</v>
      </c>
      <c r="Q615" s="110" t="s">
        <v>239</v>
      </c>
      <c r="R615" s="110" t="s">
        <v>5082</v>
      </c>
      <c r="S615" s="110"/>
      <c r="T615" s="110">
        <f t="shared" si="9"/>
        <v>3080</v>
      </c>
      <c r="U615" s="110"/>
      <c r="V615" s="110"/>
      <c r="W615" s="110"/>
      <c r="X615" s="114" t="s">
        <v>5082</v>
      </c>
      <c r="Y615" s="114" t="s">
        <v>5082</v>
      </c>
      <c r="AA615" s="113" t="e">
        <v>#N/A</v>
      </c>
      <c r="AB615" s="113" t="e">
        <v>#N/A</v>
      </c>
    </row>
    <row r="616" spans="1:28">
      <c r="A616" s="108">
        <v>615</v>
      </c>
      <c r="B616" s="108" t="s">
        <v>225</v>
      </c>
      <c r="C616" s="109">
        <v>46065</v>
      </c>
      <c r="D616" s="110" t="s">
        <v>226</v>
      </c>
      <c r="E616" s="110" t="s">
        <v>5252</v>
      </c>
      <c r="F616" s="110" t="s">
        <v>236</v>
      </c>
      <c r="G616" s="110">
        <v>12</v>
      </c>
      <c r="H616" s="110" t="s">
        <v>6199</v>
      </c>
      <c r="I616" s="110">
        <v>7200495351</v>
      </c>
      <c r="J616" s="110"/>
      <c r="K616" s="165" t="s">
        <v>6200</v>
      </c>
      <c r="L616" s="165" t="s">
        <v>6200</v>
      </c>
      <c r="M616" s="116">
        <v>4400</v>
      </c>
      <c r="N616" s="110">
        <v>4400</v>
      </c>
      <c r="O616" s="110" t="s">
        <v>239</v>
      </c>
      <c r="P616" s="110" t="s">
        <v>239</v>
      </c>
      <c r="Q616" s="110" t="s">
        <v>239</v>
      </c>
      <c r="R616" s="110" t="s">
        <v>5082</v>
      </c>
      <c r="S616" s="110"/>
      <c r="T616" s="110">
        <f t="shared" si="9"/>
        <v>4400</v>
      </c>
      <c r="U616" s="110"/>
      <c r="V616" s="110"/>
      <c r="W616" s="110"/>
      <c r="X616" s="114" t="s">
        <v>5082</v>
      </c>
      <c r="Y616" s="114" t="s">
        <v>5082</v>
      </c>
      <c r="AA616" s="113" t="e">
        <v>#N/A</v>
      </c>
      <c r="AB616" s="113" t="e">
        <v>#N/A</v>
      </c>
    </row>
    <row r="617" spans="1:28">
      <c r="A617" s="108">
        <v>616</v>
      </c>
      <c r="B617" s="108" t="s">
        <v>225</v>
      </c>
      <c r="C617" s="109">
        <v>46065</v>
      </c>
      <c r="D617" s="110" t="s">
        <v>226</v>
      </c>
      <c r="E617" s="110" t="s">
        <v>5252</v>
      </c>
      <c r="F617" s="110" t="s">
        <v>236</v>
      </c>
      <c r="G617" s="110">
        <v>12</v>
      </c>
      <c r="H617" s="110" t="s">
        <v>6201</v>
      </c>
      <c r="I617" s="110">
        <v>9758864892</v>
      </c>
      <c r="J617" s="110"/>
      <c r="K617" s="165" t="s">
        <v>6202</v>
      </c>
      <c r="L617" s="165" t="s">
        <v>6202</v>
      </c>
      <c r="M617" s="116">
        <v>4680</v>
      </c>
      <c r="N617" s="110">
        <v>4680</v>
      </c>
      <c r="O617" s="110" t="s">
        <v>239</v>
      </c>
      <c r="P617" s="110" t="s">
        <v>239</v>
      </c>
      <c r="Q617" s="110" t="s">
        <v>239</v>
      </c>
      <c r="R617" s="110" t="s">
        <v>5082</v>
      </c>
      <c r="S617" s="110"/>
      <c r="T617" s="110">
        <f t="shared" si="9"/>
        <v>4680</v>
      </c>
      <c r="U617" s="110"/>
      <c r="V617" s="110"/>
      <c r="W617" s="110"/>
      <c r="X617" s="114" t="s">
        <v>5082</v>
      </c>
      <c r="Y617" s="114" t="s">
        <v>5082</v>
      </c>
      <c r="AA617" s="113" t="e">
        <v>#N/A</v>
      </c>
      <c r="AB617" s="113" t="e">
        <v>#N/A</v>
      </c>
    </row>
    <row r="618" spans="1:28">
      <c r="A618" s="108">
        <v>617</v>
      </c>
      <c r="B618" s="108" t="s">
        <v>225</v>
      </c>
      <c r="C618" s="109">
        <v>46065</v>
      </c>
      <c r="D618" s="110" t="s">
        <v>226</v>
      </c>
      <c r="E618" s="110" t="s">
        <v>5252</v>
      </c>
      <c r="F618" s="110" t="s">
        <v>236</v>
      </c>
      <c r="G618" s="110">
        <v>12</v>
      </c>
      <c r="H618" s="110" t="s">
        <v>6203</v>
      </c>
      <c r="I618" s="110">
        <v>8801107701</v>
      </c>
      <c r="J618" s="110"/>
      <c r="K618" s="165" t="s">
        <v>6204</v>
      </c>
      <c r="L618" s="165" t="s">
        <v>6204</v>
      </c>
      <c r="M618" s="116">
        <v>2320</v>
      </c>
      <c r="N618" s="110">
        <v>2320</v>
      </c>
      <c r="O618" s="110" t="s">
        <v>239</v>
      </c>
      <c r="P618" s="110" t="s">
        <v>239</v>
      </c>
      <c r="Q618" s="110" t="s">
        <v>239</v>
      </c>
      <c r="R618" s="110" t="s">
        <v>5082</v>
      </c>
      <c r="S618" s="110"/>
      <c r="T618" s="110">
        <f t="shared" si="9"/>
        <v>2320</v>
      </c>
      <c r="U618" s="110"/>
      <c r="V618" s="110"/>
      <c r="W618" s="110"/>
      <c r="X618" s="114" t="s">
        <v>5082</v>
      </c>
      <c r="Y618" s="114" t="s">
        <v>5082</v>
      </c>
      <c r="AA618" s="113" t="e">
        <v>#N/A</v>
      </c>
      <c r="AB618" s="113" t="e">
        <v>#N/A</v>
      </c>
    </row>
    <row r="619" spans="1:28">
      <c r="A619" s="108">
        <v>618</v>
      </c>
      <c r="B619" s="108" t="s">
        <v>225</v>
      </c>
      <c r="C619" s="109">
        <v>46065</v>
      </c>
      <c r="D619" s="110" t="s">
        <v>226</v>
      </c>
      <c r="E619" s="110" t="s">
        <v>5252</v>
      </c>
      <c r="F619" s="110" t="s">
        <v>236</v>
      </c>
      <c r="G619" s="110">
        <v>12</v>
      </c>
      <c r="H619" s="110" t="s">
        <v>6205</v>
      </c>
      <c r="I619" s="110">
        <v>9895195389</v>
      </c>
      <c r="J619" s="110"/>
      <c r="K619" s="165" t="s">
        <v>3362</v>
      </c>
      <c r="L619" s="165" t="s">
        <v>3362</v>
      </c>
      <c r="M619" s="116">
        <v>1030</v>
      </c>
      <c r="N619" s="110">
        <v>1030</v>
      </c>
      <c r="O619" s="110" t="s">
        <v>239</v>
      </c>
      <c r="P619" s="110" t="s">
        <v>239</v>
      </c>
      <c r="Q619" s="110" t="s">
        <v>239</v>
      </c>
      <c r="R619" s="110" t="s">
        <v>5082</v>
      </c>
      <c r="S619" s="110"/>
      <c r="T619" s="110">
        <f t="shared" si="9"/>
        <v>1030</v>
      </c>
      <c r="U619" s="110"/>
      <c r="V619" s="110"/>
      <c r="W619" s="110"/>
      <c r="X619" s="114" t="s">
        <v>5082</v>
      </c>
      <c r="Y619" s="114" t="s">
        <v>5082</v>
      </c>
      <c r="AA619" s="113" t="e">
        <v>#N/A</v>
      </c>
      <c r="AB619" s="113" t="e">
        <v>#N/A</v>
      </c>
    </row>
    <row r="620" spans="1:28">
      <c r="A620" s="108">
        <v>619</v>
      </c>
      <c r="B620" s="108" t="s">
        <v>225</v>
      </c>
      <c r="C620" s="109">
        <v>46065</v>
      </c>
      <c r="D620" s="110" t="s">
        <v>226</v>
      </c>
      <c r="E620" s="110" t="s">
        <v>5252</v>
      </c>
      <c r="F620" s="110" t="s">
        <v>236</v>
      </c>
      <c r="G620" s="110">
        <v>12</v>
      </c>
      <c r="H620" s="110" t="s">
        <v>6206</v>
      </c>
      <c r="I620" s="110">
        <v>8124715769</v>
      </c>
      <c r="J620" s="110"/>
      <c r="K620" s="165" t="s">
        <v>6207</v>
      </c>
      <c r="L620" s="165" t="s">
        <v>6207</v>
      </c>
      <c r="M620" s="116">
        <v>1920</v>
      </c>
      <c r="N620" s="110">
        <v>1928</v>
      </c>
      <c r="O620" s="110" t="s">
        <v>239</v>
      </c>
      <c r="P620" s="110" t="s">
        <v>239</v>
      </c>
      <c r="Q620" s="110" t="s">
        <v>239</v>
      </c>
      <c r="R620" s="110" t="s">
        <v>5082</v>
      </c>
      <c r="S620" s="110"/>
      <c r="T620" s="110">
        <f t="shared" si="9"/>
        <v>1928</v>
      </c>
      <c r="U620" s="110"/>
      <c r="V620" s="110"/>
      <c r="W620" s="110"/>
      <c r="X620" s="114" t="s">
        <v>5082</v>
      </c>
      <c r="Y620" s="114" t="s">
        <v>5082</v>
      </c>
      <c r="AA620" s="113" t="e">
        <v>#N/A</v>
      </c>
      <c r="AB620" s="113" t="e">
        <v>#N/A</v>
      </c>
    </row>
    <row r="621" spans="1:28">
      <c r="A621" s="108">
        <v>620</v>
      </c>
      <c r="B621" s="108" t="s">
        <v>225</v>
      </c>
      <c r="C621" s="109">
        <v>46065</v>
      </c>
      <c r="D621" s="110" t="s">
        <v>226</v>
      </c>
      <c r="E621" s="110" t="s">
        <v>5252</v>
      </c>
      <c r="F621" s="110" t="s">
        <v>236</v>
      </c>
      <c r="G621" s="110">
        <v>12</v>
      </c>
      <c r="H621" s="110" t="s">
        <v>6208</v>
      </c>
      <c r="I621" s="110">
        <v>9100258395</v>
      </c>
      <c r="J621" s="110"/>
      <c r="K621" s="165" t="s">
        <v>6209</v>
      </c>
      <c r="L621" s="165" t="s">
        <v>6209</v>
      </c>
      <c r="M621" s="116">
        <v>2130</v>
      </c>
      <c r="N621" s="110">
        <v>2139</v>
      </c>
      <c r="O621" s="110" t="s">
        <v>239</v>
      </c>
      <c r="P621" s="110" t="s">
        <v>239</v>
      </c>
      <c r="Q621" s="110" t="s">
        <v>239</v>
      </c>
      <c r="R621" s="110" t="s">
        <v>5082</v>
      </c>
      <c r="S621" s="110"/>
      <c r="T621" s="110">
        <f t="shared" si="9"/>
        <v>2139</v>
      </c>
      <c r="U621" s="110"/>
      <c r="V621" s="110"/>
      <c r="W621" s="110"/>
      <c r="X621" s="114" t="s">
        <v>5082</v>
      </c>
      <c r="Y621" s="114" t="s">
        <v>5082</v>
      </c>
      <c r="AA621" s="113" t="e">
        <v>#N/A</v>
      </c>
      <c r="AB621" s="113" t="e">
        <v>#N/A</v>
      </c>
    </row>
    <row r="622" spans="1:28">
      <c r="A622" s="108">
        <v>621</v>
      </c>
      <c r="B622" s="108" t="s">
        <v>225</v>
      </c>
      <c r="C622" s="109">
        <v>46065</v>
      </c>
      <c r="D622" s="110" t="s">
        <v>226</v>
      </c>
      <c r="E622" s="110" t="s">
        <v>5252</v>
      </c>
      <c r="F622" s="110" t="s">
        <v>236</v>
      </c>
      <c r="G622" s="110">
        <v>12</v>
      </c>
      <c r="H622" s="110" t="s">
        <v>6210</v>
      </c>
      <c r="I622" s="110">
        <v>7799858789</v>
      </c>
      <c r="J622" s="110"/>
      <c r="K622" s="165" t="s">
        <v>6211</v>
      </c>
      <c r="L622" s="165" t="s">
        <v>6211</v>
      </c>
      <c r="M622" s="116">
        <v>920</v>
      </c>
      <c r="N622" s="110">
        <v>940</v>
      </c>
      <c r="O622" s="110" t="s">
        <v>239</v>
      </c>
      <c r="P622" s="110" t="s">
        <v>239</v>
      </c>
      <c r="Q622" s="110" t="s">
        <v>239</v>
      </c>
      <c r="R622" s="110" t="s">
        <v>5082</v>
      </c>
      <c r="S622" s="110"/>
      <c r="T622" s="110">
        <f t="shared" si="9"/>
        <v>940</v>
      </c>
      <c r="U622" s="110"/>
      <c r="V622" s="110"/>
      <c r="W622" s="110"/>
      <c r="X622" s="114" t="s">
        <v>5082</v>
      </c>
      <c r="Y622" s="114" t="s">
        <v>5082</v>
      </c>
      <c r="AA622" s="113" t="e">
        <v>#N/A</v>
      </c>
      <c r="AB622" s="113" t="e">
        <v>#N/A</v>
      </c>
    </row>
    <row r="623" spans="1:28">
      <c r="A623" s="108">
        <v>622</v>
      </c>
      <c r="B623" s="108" t="s">
        <v>225</v>
      </c>
      <c r="C623" s="109">
        <v>46065</v>
      </c>
      <c r="D623" s="110" t="s">
        <v>226</v>
      </c>
      <c r="E623" s="110" t="s">
        <v>5252</v>
      </c>
      <c r="F623" s="110" t="s">
        <v>236</v>
      </c>
      <c r="G623" s="110">
        <v>12</v>
      </c>
      <c r="H623" s="110" t="s">
        <v>6212</v>
      </c>
      <c r="I623" s="110">
        <v>9943932054</v>
      </c>
      <c r="J623" s="110"/>
      <c r="K623" s="165" t="s">
        <v>6213</v>
      </c>
      <c r="L623" s="165" t="s">
        <v>6213</v>
      </c>
      <c r="M623" s="116">
        <v>1120</v>
      </c>
      <c r="N623" s="110">
        <v>1130</v>
      </c>
      <c r="O623" s="110" t="s">
        <v>239</v>
      </c>
      <c r="P623" s="110" t="s">
        <v>239</v>
      </c>
      <c r="Q623" s="110" t="s">
        <v>239</v>
      </c>
      <c r="R623" s="110" t="s">
        <v>5082</v>
      </c>
      <c r="S623" s="110"/>
      <c r="T623" s="110">
        <f t="shared" si="9"/>
        <v>1130</v>
      </c>
      <c r="U623" s="110"/>
      <c r="V623" s="110"/>
      <c r="W623" s="110"/>
      <c r="X623" s="114" t="s">
        <v>5082</v>
      </c>
      <c r="Y623" s="114" t="s">
        <v>5082</v>
      </c>
      <c r="AA623" s="113" t="e">
        <v>#N/A</v>
      </c>
      <c r="AB623" s="113" t="e">
        <v>#N/A</v>
      </c>
    </row>
    <row r="624" spans="1:28">
      <c r="A624" s="108">
        <v>623</v>
      </c>
      <c r="B624" s="108" t="s">
        <v>225</v>
      </c>
      <c r="C624" s="109">
        <v>46065</v>
      </c>
      <c r="D624" s="110" t="s">
        <v>226</v>
      </c>
      <c r="E624" s="110" t="s">
        <v>5252</v>
      </c>
      <c r="F624" s="110" t="s">
        <v>236</v>
      </c>
      <c r="G624" s="110">
        <v>12</v>
      </c>
      <c r="H624" s="110" t="s">
        <v>6214</v>
      </c>
      <c r="I624" s="110">
        <v>7307669294</v>
      </c>
      <c r="J624" s="110"/>
      <c r="K624" s="165" t="s">
        <v>6215</v>
      </c>
      <c r="L624" s="165" t="s">
        <v>6215</v>
      </c>
      <c r="M624" s="116">
        <v>150</v>
      </c>
      <c r="N624" s="110">
        <v>158</v>
      </c>
      <c r="O624" s="110" t="s">
        <v>239</v>
      </c>
      <c r="P624" s="110" t="s">
        <v>239</v>
      </c>
      <c r="Q624" s="110" t="s">
        <v>239</v>
      </c>
      <c r="R624" s="110" t="s">
        <v>5082</v>
      </c>
      <c r="S624" s="110"/>
      <c r="T624" s="110">
        <f t="shared" si="9"/>
        <v>158</v>
      </c>
      <c r="U624" s="110"/>
      <c r="V624" s="110"/>
      <c r="W624" s="110"/>
      <c r="X624" s="114" t="s">
        <v>5082</v>
      </c>
      <c r="Y624" s="114" t="s">
        <v>5082</v>
      </c>
      <c r="AA624" s="113" t="e">
        <v>#N/A</v>
      </c>
      <c r="AB624" s="113" t="e">
        <v>#N/A</v>
      </c>
    </row>
    <row r="625" spans="1:28">
      <c r="A625" s="108">
        <v>624</v>
      </c>
      <c r="B625" s="108" t="s">
        <v>225</v>
      </c>
      <c r="C625" s="109">
        <v>46065</v>
      </c>
      <c r="D625" s="110" t="s">
        <v>226</v>
      </c>
      <c r="E625" s="110" t="s">
        <v>5252</v>
      </c>
      <c r="F625" s="110" t="s">
        <v>236</v>
      </c>
      <c r="G625" s="110">
        <v>12</v>
      </c>
      <c r="H625" s="110" t="s">
        <v>6216</v>
      </c>
      <c r="I625" s="110">
        <v>7207000696</v>
      </c>
      <c r="J625" s="110"/>
      <c r="K625" s="165" t="s">
        <v>6217</v>
      </c>
      <c r="L625" s="165" t="s">
        <v>6217</v>
      </c>
      <c r="M625" s="116">
        <v>1080</v>
      </c>
      <c r="N625" s="110">
        <v>1080</v>
      </c>
      <c r="O625" s="110" t="s">
        <v>239</v>
      </c>
      <c r="P625" s="110" t="s">
        <v>239</v>
      </c>
      <c r="Q625" s="110" t="s">
        <v>239</v>
      </c>
      <c r="R625" s="110" t="s">
        <v>5082</v>
      </c>
      <c r="S625" s="110"/>
      <c r="T625" s="110">
        <f t="shared" si="9"/>
        <v>1080</v>
      </c>
      <c r="U625" s="110"/>
      <c r="V625" s="110"/>
      <c r="W625" s="110"/>
      <c r="X625" s="114" t="s">
        <v>5082</v>
      </c>
      <c r="Y625" s="114" t="s">
        <v>5082</v>
      </c>
      <c r="AA625" s="113" t="e">
        <v>#N/A</v>
      </c>
      <c r="AB625" s="113" t="e">
        <v>#N/A</v>
      </c>
    </row>
    <row r="626" spans="1:28">
      <c r="A626" s="108">
        <v>625</v>
      </c>
      <c r="B626" s="108" t="s">
        <v>225</v>
      </c>
      <c r="C626" s="109">
        <v>46065</v>
      </c>
      <c r="D626" s="110" t="s">
        <v>226</v>
      </c>
      <c r="E626" s="110" t="s">
        <v>5252</v>
      </c>
      <c r="F626" s="110" t="s">
        <v>236</v>
      </c>
      <c r="G626" s="110">
        <v>12</v>
      </c>
      <c r="H626" s="110" t="s">
        <v>6218</v>
      </c>
      <c r="I626" s="110">
        <v>7204760241</v>
      </c>
      <c r="J626" s="110"/>
      <c r="K626" s="165" t="s">
        <v>6219</v>
      </c>
      <c r="L626" s="165" t="s">
        <v>6219</v>
      </c>
      <c r="M626" s="116">
        <v>590</v>
      </c>
      <c r="N626" s="110">
        <v>599</v>
      </c>
      <c r="O626" s="110" t="s">
        <v>239</v>
      </c>
      <c r="P626" s="110" t="s">
        <v>239</v>
      </c>
      <c r="Q626" s="110" t="s">
        <v>239</v>
      </c>
      <c r="R626" s="110" t="s">
        <v>5082</v>
      </c>
      <c r="S626" s="110"/>
      <c r="T626" s="110">
        <f t="shared" si="9"/>
        <v>599</v>
      </c>
      <c r="U626" s="110"/>
      <c r="V626" s="110"/>
      <c r="W626" s="110"/>
      <c r="X626" s="114" t="s">
        <v>5082</v>
      </c>
      <c r="Y626" s="114" t="s">
        <v>5082</v>
      </c>
      <c r="AA626" s="113" t="e">
        <v>#N/A</v>
      </c>
      <c r="AB626" s="113" t="e">
        <v>#N/A</v>
      </c>
    </row>
    <row r="627" spans="1:28">
      <c r="A627" s="108">
        <v>626</v>
      </c>
      <c r="B627" s="108" t="s">
        <v>225</v>
      </c>
      <c r="C627" s="109">
        <v>46065</v>
      </c>
      <c r="D627" s="110" t="s">
        <v>226</v>
      </c>
      <c r="E627" s="110" t="s">
        <v>5252</v>
      </c>
      <c r="F627" s="110" t="s">
        <v>236</v>
      </c>
      <c r="G627" s="110">
        <v>12</v>
      </c>
      <c r="H627" s="110" t="s">
        <v>6220</v>
      </c>
      <c r="I627" s="110">
        <v>9398690643</v>
      </c>
      <c r="J627" s="110"/>
      <c r="K627" s="165" t="s">
        <v>6221</v>
      </c>
      <c r="L627" s="165" t="s">
        <v>6221</v>
      </c>
      <c r="M627" s="116">
        <v>560</v>
      </c>
      <c r="N627" s="110">
        <v>560</v>
      </c>
      <c r="O627" s="110" t="s">
        <v>239</v>
      </c>
      <c r="P627" s="110" t="s">
        <v>239</v>
      </c>
      <c r="Q627" s="110" t="s">
        <v>239</v>
      </c>
      <c r="R627" s="110" t="s">
        <v>5082</v>
      </c>
      <c r="S627" s="110"/>
      <c r="T627" s="110">
        <f t="shared" si="9"/>
        <v>560</v>
      </c>
      <c r="U627" s="110"/>
      <c r="V627" s="110"/>
      <c r="W627" s="110"/>
      <c r="X627" s="114" t="s">
        <v>5082</v>
      </c>
      <c r="Y627" s="114" t="s">
        <v>5082</v>
      </c>
      <c r="AA627" s="113" t="e">
        <v>#N/A</v>
      </c>
      <c r="AB627" s="113" t="e">
        <v>#N/A</v>
      </c>
    </row>
    <row r="628" spans="1:28">
      <c r="A628" s="108">
        <v>627</v>
      </c>
      <c r="B628" s="108" t="s">
        <v>225</v>
      </c>
      <c r="C628" s="109">
        <v>46065</v>
      </c>
      <c r="D628" s="110" t="s">
        <v>226</v>
      </c>
      <c r="E628" s="110" t="s">
        <v>5252</v>
      </c>
      <c r="F628" s="110" t="s">
        <v>236</v>
      </c>
      <c r="G628" s="110">
        <v>12</v>
      </c>
      <c r="H628" s="110" t="s">
        <v>6222</v>
      </c>
      <c r="I628" s="110">
        <v>9245386316</v>
      </c>
      <c r="J628" s="110"/>
      <c r="K628" s="165" t="s">
        <v>6223</v>
      </c>
      <c r="L628" s="165" t="s">
        <v>6223</v>
      </c>
      <c r="M628" s="116">
        <v>820</v>
      </c>
      <c r="N628" s="110">
        <v>820</v>
      </c>
      <c r="O628" s="110" t="s">
        <v>239</v>
      </c>
      <c r="P628" s="110" t="s">
        <v>239</v>
      </c>
      <c r="Q628" s="110" t="s">
        <v>239</v>
      </c>
      <c r="R628" s="110" t="s">
        <v>5082</v>
      </c>
      <c r="S628" s="110"/>
      <c r="T628" s="110">
        <f t="shared" si="9"/>
        <v>820</v>
      </c>
      <c r="U628" s="110"/>
      <c r="V628" s="110"/>
      <c r="W628" s="110"/>
      <c r="X628" s="114" t="s">
        <v>5082</v>
      </c>
      <c r="Y628" s="114" t="s">
        <v>5082</v>
      </c>
      <c r="AA628" s="113" t="e">
        <v>#N/A</v>
      </c>
      <c r="AB628" s="113" t="e">
        <v>#N/A</v>
      </c>
    </row>
    <row r="629" spans="1:28">
      <c r="A629" s="108">
        <v>628</v>
      </c>
      <c r="B629" s="108" t="s">
        <v>225</v>
      </c>
      <c r="C629" s="109">
        <v>46065</v>
      </c>
      <c r="D629" s="110" t="s">
        <v>226</v>
      </c>
      <c r="E629" s="110" t="s">
        <v>5252</v>
      </c>
      <c r="F629" s="110" t="s">
        <v>236</v>
      </c>
      <c r="G629" s="110">
        <v>12</v>
      </c>
      <c r="H629" s="110" t="s">
        <v>6224</v>
      </c>
      <c r="I629" s="110">
        <v>8978624901</v>
      </c>
      <c r="J629" s="110"/>
      <c r="K629" s="165" t="s">
        <v>6225</v>
      </c>
      <c r="L629" s="165" t="s">
        <v>6225</v>
      </c>
      <c r="M629" s="116">
        <v>110</v>
      </c>
      <c r="N629" s="110">
        <v>110</v>
      </c>
      <c r="O629" s="110" t="s">
        <v>239</v>
      </c>
      <c r="P629" s="110" t="s">
        <v>239</v>
      </c>
      <c r="Q629" s="110" t="s">
        <v>239</v>
      </c>
      <c r="R629" s="110" t="s">
        <v>5082</v>
      </c>
      <c r="S629" s="110"/>
      <c r="T629" s="110">
        <f t="shared" si="9"/>
        <v>110</v>
      </c>
      <c r="U629" s="110"/>
      <c r="V629" s="110"/>
      <c r="W629" s="110"/>
      <c r="X629" s="114" t="s">
        <v>5082</v>
      </c>
      <c r="Y629" s="114" t="s">
        <v>5082</v>
      </c>
      <c r="AA629" s="113" t="e">
        <v>#N/A</v>
      </c>
      <c r="AB629" s="113" t="e">
        <v>#N/A</v>
      </c>
    </row>
    <row r="630" spans="1:28">
      <c r="A630" s="108">
        <v>629</v>
      </c>
      <c r="B630" s="108" t="s">
        <v>225</v>
      </c>
      <c r="C630" s="109">
        <v>46065</v>
      </c>
      <c r="D630" s="110" t="s">
        <v>226</v>
      </c>
      <c r="E630" s="110" t="s">
        <v>5252</v>
      </c>
      <c r="F630" s="110" t="s">
        <v>236</v>
      </c>
      <c r="G630" s="110">
        <v>12</v>
      </c>
      <c r="H630" s="110" t="s">
        <v>6226</v>
      </c>
      <c r="I630" s="110">
        <v>6282852153</v>
      </c>
      <c r="J630" s="110"/>
      <c r="K630" s="165" t="s">
        <v>6227</v>
      </c>
      <c r="L630" s="165" t="s">
        <v>6227</v>
      </c>
      <c r="M630" s="116">
        <v>390</v>
      </c>
      <c r="N630" s="110">
        <v>399</v>
      </c>
      <c r="O630" s="110" t="s">
        <v>239</v>
      </c>
      <c r="P630" s="110" t="s">
        <v>239</v>
      </c>
      <c r="Q630" s="110" t="s">
        <v>239</v>
      </c>
      <c r="R630" s="110" t="s">
        <v>5082</v>
      </c>
      <c r="S630" s="110"/>
      <c r="T630" s="110">
        <f t="shared" si="9"/>
        <v>399</v>
      </c>
      <c r="U630" s="110"/>
      <c r="V630" s="110"/>
      <c r="W630" s="110"/>
      <c r="X630" s="114" t="s">
        <v>5082</v>
      </c>
      <c r="Y630" s="114" t="s">
        <v>5082</v>
      </c>
      <c r="AA630" s="113" t="e">
        <v>#N/A</v>
      </c>
      <c r="AB630" s="113" t="e">
        <v>#N/A</v>
      </c>
    </row>
    <row r="631" spans="1:28">
      <c r="A631" s="108">
        <v>630</v>
      </c>
      <c r="B631" s="108" t="s">
        <v>225</v>
      </c>
      <c r="C631" s="109">
        <v>46065</v>
      </c>
      <c r="D631" s="110" t="s">
        <v>226</v>
      </c>
      <c r="E631" s="110" t="s">
        <v>5252</v>
      </c>
      <c r="F631" s="110" t="s">
        <v>236</v>
      </c>
      <c r="G631" s="110">
        <v>12</v>
      </c>
      <c r="H631" s="110" t="s">
        <v>6228</v>
      </c>
      <c r="I631" s="110">
        <v>9717949079</v>
      </c>
      <c r="J631" s="110"/>
      <c r="K631" s="165" t="s">
        <v>6229</v>
      </c>
      <c r="L631" s="165" t="s">
        <v>6229</v>
      </c>
      <c r="M631" s="116">
        <v>540</v>
      </c>
      <c r="N631" s="110">
        <v>546</v>
      </c>
      <c r="O631" s="110" t="s">
        <v>239</v>
      </c>
      <c r="P631" s="110" t="s">
        <v>239</v>
      </c>
      <c r="Q631" s="110" t="s">
        <v>239</v>
      </c>
      <c r="R631" s="110" t="s">
        <v>5082</v>
      </c>
      <c r="S631" s="110"/>
      <c r="T631" s="110">
        <f t="shared" si="9"/>
        <v>546</v>
      </c>
      <c r="U631" s="110"/>
      <c r="V631" s="110"/>
      <c r="W631" s="110"/>
      <c r="X631" s="114" t="s">
        <v>5082</v>
      </c>
      <c r="Y631" s="114" t="s">
        <v>5082</v>
      </c>
      <c r="AA631" s="113" t="e">
        <v>#N/A</v>
      </c>
      <c r="AB631" s="113" t="e">
        <v>#N/A</v>
      </c>
    </row>
    <row r="632" spans="1:28">
      <c r="A632" s="108">
        <v>631</v>
      </c>
      <c r="B632" s="108" t="s">
        <v>225</v>
      </c>
      <c r="C632" s="109">
        <v>46065</v>
      </c>
      <c r="D632" s="110" t="s">
        <v>933</v>
      </c>
      <c r="E632" s="110" t="s">
        <v>5252</v>
      </c>
      <c r="F632" s="110" t="s">
        <v>1413</v>
      </c>
      <c r="G632" s="110">
        <v>12</v>
      </c>
      <c r="H632" s="110" t="s">
        <v>6230</v>
      </c>
      <c r="I632" s="110">
        <v>8050416452</v>
      </c>
      <c r="J632" s="110"/>
      <c r="K632" s="165" t="s">
        <v>5048</v>
      </c>
      <c r="L632" s="165" t="s">
        <v>5048</v>
      </c>
      <c r="M632" s="116">
        <v>1600</v>
      </c>
      <c r="N632" s="110">
        <v>1600</v>
      </c>
      <c r="O632" s="111">
        <v>46071</v>
      </c>
      <c r="P632" s="112" t="s">
        <v>1398</v>
      </c>
      <c r="Q632" s="110" t="s">
        <v>52</v>
      </c>
      <c r="R632" s="116" t="s">
        <v>1398</v>
      </c>
      <c r="S632" s="110">
        <v>1600</v>
      </c>
      <c r="T632" s="110">
        <f t="shared" si="9"/>
        <v>0</v>
      </c>
      <c r="U632" s="111">
        <v>46071</v>
      </c>
      <c r="V632" s="110" t="s">
        <v>6231</v>
      </c>
      <c r="W632" s="110" t="s">
        <v>54</v>
      </c>
      <c r="X632" s="114" t="s">
        <v>6025</v>
      </c>
      <c r="Y632" s="114" t="s">
        <v>6025</v>
      </c>
      <c r="AA632" s="113" t="e">
        <v>#N/A</v>
      </c>
      <c r="AB632" s="113" t="e">
        <v>#N/A</v>
      </c>
    </row>
    <row r="633" spans="1:28">
      <c r="A633" s="108">
        <v>632</v>
      </c>
      <c r="B633" s="108" t="s">
        <v>225</v>
      </c>
      <c r="C633" s="109">
        <v>46065</v>
      </c>
      <c r="D633" s="110" t="s">
        <v>226</v>
      </c>
      <c r="E633" s="110" t="s">
        <v>5252</v>
      </c>
      <c r="F633" s="110" t="s">
        <v>6232</v>
      </c>
      <c r="G633" s="110">
        <v>12</v>
      </c>
      <c r="H633" s="110" t="s">
        <v>810</v>
      </c>
      <c r="I633" s="110" t="s">
        <v>811</v>
      </c>
      <c r="J633" s="110"/>
      <c r="K633" s="165" t="s">
        <v>812</v>
      </c>
      <c r="L633" s="165" t="s">
        <v>812</v>
      </c>
      <c r="M633" s="116">
        <v>29060</v>
      </c>
      <c r="N633" s="116">
        <v>14460</v>
      </c>
      <c r="O633" s="166">
        <v>46081</v>
      </c>
      <c r="P633" s="161" t="s">
        <v>813</v>
      </c>
      <c r="Q633" s="114" t="s">
        <v>52</v>
      </c>
      <c r="R633" s="116" t="s">
        <v>298</v>
      </c>
      <c r="S633" s="110">
        <f>5000+5500+4000</f>
        <v>14500</v>
      </c>
      <c r="T633" s="110">
        <f t="shared" si="9"/>
        <v>-40</v>
      </c>
      <c r="U633" s="111">
        <v>46092</v>
      </c>
      <c r="V633" s="110" t="s">
        <v>6233</v>
      </c>
      <c r="W633" s="110" t="s">
        <v>54</v>
      </c>
      <c r="X633" s="114" t="s">
        <v>813</v>
      </c>
      <c r="Y633" s="114" t="s">
        <v>796</v>
      </c>
      <c r="AA633" s="113" t="s">
        <v>11</v>
      </c>
      <c r="AB633" s="113" t="s">
        <v>5146</v>
      </c>
    </row>
    <row r="634" spans="1:28">
      <c r="A634" s="108">
        <v>633</v>
      </c>
      <c r="B634" s="108" t="s">
        <v>225</v>
      </c>
      <c r="C634" s="109">
        <v>46065</v>
      </c>
      <c r="D634" s="110" t="s">
        <v>226</v>
      </c>
      <c r="E634" s="110" t="s">
        <v>5252</v>
      </c>
      <c r="F634" s="110" t="s">
        <v>6232</v>
      </c>
      <c r="G634" s="110">
        <v>12</v>
      </c>
      <c r="H634" s="110" t="s">
        <v>6234</v>
      </c>
      <c r="I634" s="110" t="s">
        <v>6235</v>
      </c>
      <c r="J634" s="110"/>
      <c r="K634" s="165" t="s">
        <v>6236</v>
      </c>
      <c r="L634" s="165" t="s">
        <v>6236</v>
      </c>
      <c r="M634" s="116">
        <v>6970</v>
      </c>
      <c r="N634" s="116">
        <v>1970</v>
      </c>
      <c r="O634" s="110" t="s">
        <v>239</v>
      </c>
      <c r="P634" s="110" t="s">
        <v>239</v>
      </c>
      <c r="Q634" s="110" t="s">
        <v>239</v>
      </c>
      <c r="R634" s="116" t="s">
        <v>298</v>
      </c>
      <c r="S634" s="110"/>
      <c r="T634" s="110">
        <f t="shared" si="9"/>
        <v>1970</v>
      </c>
      <c r="U634" s="110"/>
      <c r="V634" s="110"/>
      <c r="W634" s="110"/>
      <c r="X634" s="114" t="s">
        <v>298</v>
      </c>
      <c r="Y634" s="114" t="s">
        <v>6237</v>
      </c>
      <c r="AA634" s="113" t="e">
        <v>#N/A</v>
      </c>
      <c r="AB634" s="113" t="e">
        <v>#N/A</v>
      </c>
    </row>
    <row r="635" spans="1:28">
      <c r="A635" s="108">
        <v>634</v>
      </c>
      <c r="B635" s="108" t="s">
        <v>298</v>
      </c>
      <c r="C635" s="109">
        <v>46065</v>
      </c>
      <c r="D635" s="110" t="s">
        <v>226</v>
      </c>
      <c r="E635" s="110" t="s">
        <v>5252</v>
      </c>
      <c r="F635" s="110" t="s">
        <v>336</v>
      </c>
      <c r="G635" s="110">
        <v>12</v>
      </c>
      <c r="H635" s="110" t="s">
        <v>2225</v>
      </c>
      <c r="I635" s="110">
        <v>9618121114</v>
      </c>
      <c r="J635" s="110"/>
      <c r="K635" s="165" t="s">
        <v>871</v>
      </c>
      <c r="L635" s="165" t="s">
        <v>871</v>
      </c>
      <c r="M635" s="116">
        <v>35989</v>
      </c>
      <c r="N635" s="110">
        <v>36089</v>
      </c>
      <c r="O635" s="166">
        <v>46075</v>
      </c>
      <c r="P635" s="161" t="s">
        <v>698</v>
      </c>
      <c r="Q635" s="114" t="s">
        <v>6181</v>
      </c>
      <c r="R635" s="116" t="s">
        <v>340</v>
      </c>
      <c r="S635" s="110">
        <f>13911+23000</f>
        <v>36911</v>
      </c>
      <c r="T635" s="110">
        <f t="shared" si="9"/>
        <v>-822</v>
      </c>
      <c r="U635" s="111">
        <v>46092</v>
      </c>
      <c r="V635" s="110" t="s">
        <v>6238</v>
      </c>
      <c r="W635" s="110" t="s">
        <v>54</v>
      </c>
      <c r="X635" s="114" t="s">
        <v>388</v>
      </c>
      <c r="Y635" s="114" t="s">
        <v>698</v>
      </c>
      <c r="AA635" s="113" t="s">
        <v>11</v>
      </c>
      <c r="AB635" s="113" t="s">
        <v>4985</v>
      </c>
    </row>
    <row r="636" spans="1:28">
      <c r="A636" s="108">
        <v>635</v>
      </c>
      <c r="B636" s="108" t="s">
        <v>225</v>
      </c>
      <c r="C636" s="109">
        <v>46065</v>
      </c>
      <c r="D636" s="110" t="s">
        <v>226</v>
      </c>
      <c r="E636" s="110" t="s">
        <v>5252</v>
      </c>
      <c r="F636" s="110" t="s">
        <v>336</v>
      </c>
      <c r="G636" s="110">
        <v>12</v>
      </c>
      <c r="H636" s="110" t="s">
        <v>2309</v>
      </c>
      <c r="I636" s="110">
        <v>9591844474</v>
      </c>
      <c r="J636" s="110"/>
      <c r="K636" s="165" t="s">
        <v>875</v>
      </c>
      <c r="L636" s="165" t="s">
        <v>875</v>
      </c>
      <c r="M636" s="116">
        <v>23789</v>
      </c>
      <c r="N636" s="110">
        <v>8789</v>
      </c>
      <c r="O636" s="166">
        <v>46078</v>
      </c>
      <c r="P636" s="161" t="s">
        <v>388</v>
      </c>
      <c r="Q636" s="114" t="s">
        <v>6181</v>
      </c>
      <c r="R636" s="116" t="s">
        <v>340</v>
      </c>
      <c r="S636" s="110">
        <v>8789</v>
      </c>
      <c r="T636" s="110">
        <f t="shared" si="9"/>
        <v>0</v>
      </c>
      <c r="U636" s="111">
        <v>414979</v>
      </c>
      <c r="V636" s="110" t="s">
        <v>6239</v>
      </c>
      <c r="W636" s="110" t="s">
        <v>54</v>
      </c>
      <c r="X636" s="114" t="s">
        <v>388</v>
      </c>
      <c r="Y636" s="114" t="s">
        <v>2585</v>
      </c>
      <c r="AA636" s="113" t="s">
        <v>11</v>
      </c>
      <c r="AB636" s="113" t="s">
        <v>4464</v>
      </c>
    </row>
    <row r="637" spans="1:28">
      <c r="A637" s="108">
        <v>636</v>
      </c>
      <c r="B637" s="108" t="s">
        <v>225</v>
      </c>
      <c r="C637" s="109">
        <v>46065</v>
      </c>
      <c r="D637" s="110" t="s">
        <v>226</v>
      </c>
      <c r="E637" s="110" t="s">
        <v>5252</v>
      </c>
      <c r="F637" s="110" t="s">
        <v>336</v>
      </c>
      <c r="G637" s="110">
        <v>12</v>
      </c>
      <c r="H637" s="110" t="s">
        <v>6240</v>
      </c>
      <c r="I637" s="110">
        <v>8500603552</v>
      </c>
      <c r="J637" s="110"/>
      <c r="K637" s="165" t="s">
        <v>6241</v>
      </c>
      <c r="L637" s="165" t="s">
        <v>6241</v>
      </c>
      <c r="M637" s="116">
        <v>12748.86</v>
      </c>
      <c r="N637" s="110">
        <v>11020</v>
      </c>
      <c r="O637" s="166">
        <v>46067</v>
      </c>
      <c r="P637" s="161" t="s">
        <v>388</v>
      </c>
      <c r="Q637" s="114" t="s">
        <v>6181</v>
      </c>
      <c r="R637" s="116" t="s">
        <v>340</v>
      </c>
      <c r="S637" s="110">
        <v>11003</v>
      </c>
      <c r="T637" s="110">
        <f t="shared" si="9"/>
        <v>17</v>
      </c>
      <c r="U637" s="111">
        <v>46070</v>
      </c>
      <c r="V637" s="110" t="s">
        <v>6242</v>
      </c>
      <c r="W637" s="110" t="s">
        <v>54</v>
      </c>
      <c r="X637" s="114" t="s">
        <v>388</v>
      </c>
      <c r="Y637" s="114" t="s">
        <v>2585</v>
      </c>
      <c r="AA637" s="113" t="s">
        <v>11</v>
      </c>
      <c r="AB637" s="113" t="s">
        <v>4464</v>
      </c>
    </row>
    <row r="638" spans="1:28">
      <c r="A638" s="108">
        <v>637</v>
      </c>
      <c r="B638" s="108" t="s">
        <v>225</v>
      </c>
      <c r="C638" s="109">
        <v>46065</v>
      </c>
      <c r="D638" s="110" t="s">
        <v>226</v>
      </c>
      <c r="E638" s="110" t="s">
        <v>5252</v>
      </c>
      <c r="F638" s="110" t="s">
        <v>336</v>
      </c>
      <c r="G638" s="110">
        <v>12</v>
      </c>
      <c r="H638" s="110" t="s">
        <v>6243</v>
      </c>
      <c r="I638" s="110">
        <v>7702946565</v>
      </c>
      <c r="J638" s="110"/>
      <c r="K638" s="165" t="s">
        <v>6244</v>
      </c>
      <c r="L638" s="165" t="s">
        <v>6244</v>
      </c>
      <c r="M638" s="116">
        <v>5960</v>
      </c>
      <c r="N638" s="110">
        <v>5970</v>
      </c>
      <c r="O638" s="111">
        <v>46066</v>
      </c>
      <c r="P638" s="161" t="s">
        <v>370</v>
      </c>
      <c r="Q638" s="110" t="s">
        <v>52</v>
      </c>
      <c r="R638" s="116" t="s">
        <v>340</v>
      </c>
      <c r="S638" s="110">
        <v>5960</v>
      </c>
      <c r="T638" s="110">
        <f t="shared" si="9"/>
        <v>10</v>
      </c>
      <c r="U638" s="111">
        <v>46066</v>
      </c>
      <c r="V638" s="110" t="s">
        <v>6245</v>
      </c>
      <c r="W638" s="110" t="s">
        <v>54</v>
      </c>
      <c r="X638" s="114" t="s">
        <v>3175</v>
      </c>
      <c r="Y638" s="114" t="s">
        <v>370</v>
      </c>
      <c r="AA638" s="113" t="e">
        <v>#N/A</v>
      </c>
      <c r="AB638" s="113" t="e">
        <v>#N/A</v>
      </c>
    </row>
    <row r="639" spans="1:28">
      <c r="A639" s="108">
        <v>638</v>
      </c>
      <c r="B639" s="108" t="s">
        <v>225</v>
      </c>
      <c r="C639" s="109">
        <v>46065</v>
      </c>
      <c r="D639" s="110" t="s">
        <v>226</v>
      </c>
      <c r="E639" s="110" t="s">
        <v>5252</v>
      </c>
      <c r="F639" s="110" t="s">
        <v>336</v>
      </c>
      <c r="G639" s="110">
        <v>12</v>
      </c>
      <c r="H639" s="110" t="s">
        <v>6246</v>
      </c>
      <c r="I639" s="110">
        <v>9949715631</v>
      </c>
      <c r="J639" s="110"/>
      <c r="K639" s="165" t="s">
        <v>6247</v>
      </c>
      <c r="L639" s="165" t="s">
        <v>6247</v>
      </c>
      <c r="M639" s="116">
        <v>14520</v>
      </c>
      <c r="N639" s="110">
        <v>14530</v>
      </c>
      <c r="O639" s="166">
        <v>46080</v>
      </c>
      <c r="P639" s="161" t="s">
        <v>370</v>
      </c>
      <c r="Q639" s="116" t="s">
        <v>35</v>
      </c>
      <c r="R639" s="116" t="s">
        <v>340</v>
      </c>
      <c r="S639" s="110"/>
      <c r="T639" s="110">
        <f t="shared" si="9"/>
        <v>14530</v>
      </c>
      <c r="U639" s="110"/>
      <c r="V639" s="110"/>
      <c r="W639" s="110"/>
      <c r="X639" s="114" t="s">
        <v>3175</v>
      </c>
      <c r="Y639" s="114" t="s">
        <v>370</v>
      </c>
      <c r="Z639" s="113" t="s">
        <v>35</v>
      </c>
      <c r="AA639" s="113" t="s">
        <v>4472</v>
      </c>
      <c r="AB639" s="113" t="s">
        <v>4461</v>
      </c>
    </row>
    <row r="640" spans="1:28">
      <c r="A640" s="108">
        <v>639</v>
      </c>
      <c r="B640" s="108" t="s">
        <v>225</v>
      </c>
      <c r="C640" s="109">
        <v>46065</v>
      </c>
      <c r="D640" s="110" t="s">
        <v>933</v>
      </c>
      <c r="E640" s="110" t="s">
        <v>5252</v>
      </c>
      <c r="F640" s="110" t="s">
        <v>5019</v>
      </c>
      <c r="G640" s="110">
        <v>12</v>
      </c>
      <c r="H640" s="110" t="s">
        <v>6248</v>
      </c>
      <c r="I640" s="110" t="s">
        <v>6249</v>
      </c>
      <c r="J640" s="110"/>
      <c r="K640" s="165" t="s">
        <v>6250</v>
      </c>
      <c r="L640" s="165" t="s">
        <v>6251</v>
      </c>
      <c r="M640" s="116">
        <v>400</v>
      </c>
      <c r="N640" s="116">
        <v>401</v>
      </c>
      <c r="O640" s="110" t="s">
        <v>239</v>
      </c>
      <c r="P640" s="110" t="s">
        <v>239</v>
      </c>
      <c r="Q640" s="110" t="s">
        <v>239</v>
      </c>
      <c r="R640" s="110" t="s">
        <v>972</v>
      </c>
      <c r="S640" s="110"/>
      <c r="T640" s="110">
        <f t="shared" si="9"/>
        <v>401</v>
      </c>
      <c r="U640" s="110"/>
      <c r="V640" s="110"/>
      <c r="W640" s="110"/>
      <c r="X640" s="114" t="s">
        <v>315</v>
      </c>
      <c r="Y640" s="114" t="s">
        <v>1334</v>
      </c>
      <c r="AA640" s="113" t="e">
        <v>#N/A</v>
      </c>
      <c r="AB640" s="113" t="e">
        <v>#N/A</v>
      </c>
    </row>
    <row r="641" spans="1:28">
      <c r="A641" s="108">
        <v>640</v>
      </c>
      <c r="B641" s="108" t="s">
        <v>225</v>
      </c>
      <c r="C641" s="109">
        <v>46065</v>
      </c>
      <c r="D641" s="110" t="s">
        <v>933</v>
      </c>
      <c r="E641" s="110" t="s">
        <v>5252</v>
      </c>
      <c r="F641" s="110" t="s">
        <v>5019</v>
      </c>
      <c r="G641" s="110">
        <v>12</v>
      </c>
      <c r="H641" s="110" t="s">
        <v>6252</v>
      </c>
      <c r="I641" s="110" t="s">
        <v>4232</v>
      </c>
      <c r="J641" s="110"/>
      <c r="K641" s="165" t="s">
        <v>6253</v>
      </c>
      <c r="L641" s="165" t="s">
        <v>6254</v>
      </c>
      <c r="M641" s="116">
        <v>1500</v>
      </c>
      <c r="N641" s="116">
        <v>1501</v>
      </c>
      <c r="O641" s="111">
        <v>46108</v>
      </c>
      <c r="P641" s="114" t="s">
        <v>4335</v>
      </c>
      <c r="Q641" s="110" t="s">
        <v>52</v>
      </c>
      <c r="R641" s="110" t="s">
        <v>972</v>
      </c>
      <c r="S641" s="110">
        <v>1500</v>
      </c>
      <c r="T641" s="110">
        <f t="shared" si="9"/>
        <v>1</v>
      </c>
      <c r="U641" s="111">
        <v>46108</v>
      </c>
      <c r="V641" s="110" t="s">
        <v>6255</v>
      </c>
      <c r="W641" s="110" t="s">
        <v>54</v>
      </c>
      <c r="X641" s="114" t="s">
        <v>4335</v>
      </c>
      <c r="Y641" s="114" t="s">
        <v>394</v>
      </c>
      <c r="AA641" s="113" t="e">
        <v>#N/A</v>
      </c>
      <c r="AB641" s="113" t="e">
        <v>#N/A</v>
      </c>
    </row>
    <row r="642" spans="1:28">
      <c r="A642" s="108">
        <v>641</v>
      </c>
      <c r="B642" s="108" t="s">
        <v>225</v>
      </c>
      <c r="C642" s="109">
        <v>46065</v>
      </c>
      <c r="D642" s="110" t="s">
        <v>933</v>
      </c>
      <c r="E642" s="110" t="s">
        <v>5252</v>
      </c>
      <c r="F642" s="110" t="s">
        <v>5019</v>
      </c>
      <c r="G642" s="110">
        <v>12</v>
      </c>
      <c r="H642" s="110" t="s">
        <v>6256</v>
      </c>
      <c r="I642" s="110" t="s">
        <v>6257</v>
      </c>
      <c r="J642" s="110"/>
      <c r="K642" s="165" t="s">
        <v>6258</v>
      </c>
      <c r="L642" s="165" t="s">
        <v>6259</v>
      </c>
      <c r="M642" s="116">
        <v>1012</v>
      </c>
      <c r="N642" s="116">
        <v>1013</v>
      </c>
      <c r="O642" s="110" t="s">
        <v>239</v>
      </c>
      <c r="P642" s="110" t="s">
        <v>239</v>
      </c>
      <c r="Q642" s="110" t="s">
        <v>239</v>
      </c>
      <c r="R642" s="110" t="s">
        <v>972</v>
      </c>
      <c r="S642" s="110"/>
      <c r="T642" s="110">
        <f t="shared" si="9"/>
        <v>1013</v>
      </c>
      <c r="U642" s="110"/>
      <c r="V642" s="110"/>
      <c r="W642" s="110"/>
      <c r="X642" s="114" t="s">
        <v>2161</v>
      </c>
      <c r="Y642" s="110" t="s">
        <v>1254</v>
      </c>
      <c r="AA642" s="113" t="e">
        <v>#N/A</v>
      </c>
      <c r="AB642" s="113" t="e">
        <v>#N/A</v>
      </c>
    </row>
    <row r="643" spans="1:28">
      <c r="A643" s="108">
        <v>642</v>
      </c>
      <c r="B643" s="108" t="s">
        <v>225</v>
      </c>
      <c r="C643" s="109">
        <v>46065</v>
      </c>
      <c r="D643" s="110" t="s">
        <v>933</v>
      </c>
      <c r="E643" s="110" t="s">
        <v>5252</v>
      </c>
      <c r="F643" s="110" t="s">
        <v>5019</v>
      </c>
      <c r="G643" s="110">
        <v>12</v>
      </c>
      <c r="H643" s="110" t="s">
        <v>6260</v>
      </c>
      <c r="I643" s="110" t="s">
        <v>6261</v>
      </c>
      <c r="J643" s="110"/>
      <c r="K643" s="165" t="s">
        <v>6262</v>
      </c>
      <c r="L643" s="165" t="s">
        <v>6263</v>
      </c>
      <c r="M643" s="116">
        <v>1600</v>
      </c>
      <c r="N643" s="116">
        <v>1601</v>
      </c>
      <c r="O643" s="110" t="s">
        <v>239</v>
      </c>
      <c r="P643" s="110" t="s">
        <v>239</v>
      </c>
      <c r="Q643" s="110" t="s">
        <v>239</v>
      </c>
      <c r="R643" s="110" t="s">
        <v>972</v>
      </c>
      <c r="S643" s="110"/>
      <c r="T643" s="110">
        <f t="shared" si="9"/>
        <v>1601</v>
      </c>
      <c r="U643" s="110"/>
      <c r="V643" s="110"/>
      <c r="W643" s="110"/>
      <c r="X643" s="114" t="s">
        <v>315</v>
      </c>
      <c r="Y643" s="110" t="s">
        <v>1341</v>
      </c>
      <c r="AA643" s="113" t="e">
        <v>#N/A</v>
      </c>
      <c r="AB643" s="113" t="e">
        <v>#N/A</v>
      </c>
    </row>
    <row r="644" spans="1:28">
      <c r="A644" s="108">
        <v>643</v>
      </c>
      <c r="B644" s="108" t="s">
        <v>225</v>
      </c>
      <c r="C644" s="109">
        <v>46065</v>
      </c>
      <c r="D644" s="110" t="s">
        <v>933</v>
      </c>
      <c r="E644" s="110" t="s">
        <v>5252</v>
      </c>
      <c r="F644" s="110" t="s">
        <v>5019</v>
      </c>
      <c r="G644" s="110">
        <v>12</v>
      </c>
      <c r="H644" s="110" t="s">
        <v>6264</v>
      </c>
      <c r="I644" s="110" t="s">
        <v>6265</v>
      </c>
      <c r="J644" s="110"/>
      <c r="K644" s="165" t="s">
        <v>6266</v>
      </c>
      <c r="L644" s="165" t="s">
        <v>6267</v>
      </c>
      <c r="M644" s="116">
        <v>1400</v>
      </c>
      <c r="N644" s="116">
        <v>1401</v>
      </c>
      <c r="O644" s="111">
        <v>46085</v>
      </c>
      <c r="P644" s="112" t="s">
        <v>972</v>
      </c>
      <c r="Q644" s="110" t="s">
        <v>52</v>
      </c>
      <c r="R644" s="110" t="s">
        <v>972</v>
      </c>
      <c r="S644" s="110">
        <v>1400</v>
      </c>
      <c r="T644" s="110">
        <f t="shared" ref="T644:T707" si="10">N644-S644</f>
        <v>1</v>
      </c>
      <c r="U644" s="111">
        <v>46085</v>
      </c>
      <c r="V644" s="110" t="s">
        <v>6268</v>
      </c>
      <c r="W644" s="110" t="s">
        <v>54</v>
      </c>
      <c r="X644" s="114" t="s">
        <v>3508</v>
      </c>
      <c r="Y644" s="110" t="s">
        <v>1254</v>
      </c>
      <c r="AA644" s="113" t="e">
        <v>#N/A</v>
      </c>
      <c r="AB644" s="113" t="e">
        <v>#N/A</v>
      </c>
    </row>
    <row r="645" spans="1:28">
      <c r="A645" s="108">
        <v>644</v>
      </c>
      <c r="B645" s="108" t="s">
        <v>225</v>
      </c>
      <c r="C645" s="109">
        <v>46065</v>
      </c>
      <c r="D645" s="110" t="s">
        <v>933</v>
      </c>
      <c r="E645" s="110" t="s">
        <v>5252</v>
      </c>
      <c r="F645" s="110" t="s">
        <v>5019</v>
      </c>
      <c r="G645" s="110">
        <v>12</v>
      </c>
      <c r="H645" s="110" t="s">
        <v>6269</v>
      </c>
      <c r="I645" s="110" t="s">
        <v>6270</v>
      </c>
      <c r="J645" s="110"/>
      <c r="K645" s="165" t="s">
        <v>6271</v>
      </c>
      <c r="L645" s="165" t="s">
        <v>6272</v>
      </c>
      <c r="M645" s="116">
        <v>961</v>
      </c>
      <c r="N645" s="116">
        <v>962</v>
      </c>
      <c r="O645" s="110" t="s">
        <v>239</v>
      </c>
      <c r="P645" s="110" t="s">
        <v>239</v>
      </c>
      <c r="Q645" s="110" t="s">
        <v>239</v>
      </c>
      <c r="R645" s="110" t="s">
        <v>972</v>
      </c>
      <c r="S645" s="110"/>
      <c r="T645" s="110">
        <f t="shared" si="10"/>
        <v>962</v>
      </c>
      <c r="U645" s="110"/>
      <c r="V645" s="110"/>
      <c r="W645" s="110"/>
      <c r="X645" s="114" t="s">
        <v>3502</v>
      </c>
      <c r="Y645" s="110" t="s">
        <v>660</v>
      </c>
      <c r="AA645" s="113" t="e">
        <v>#N/A</v>
      </c>
      <c r="AB645" s="113" t="e">
        <v>#N/A</v>
      </c>
    </row>
    <row r="646" spans="1:28">
      <c r="A646" s="108">
        <v>645</v>
      </c>
      <c r="B646" s="108" t="s">
        <v>225</v>
      </c>
      <c r="C646" s="109">
        <v>46065</v>
      </c>
      <c r="D646" s="110" t="s">
        <v>933</v>
      </c>
      <c r="E646" s="110" t="s">
        <v>5252</v>
      </c>
      <c r="F646" s="110" t="s">
        <v>5019</v>
      </c>
      <c r="G646" s="110">
        <v>12</v>
      </c>
      <c r="H646" s="110" t="s">
        <v>6273</v>
      </c>
      <c r="I646" s="110" t="s">
        <v>6274</v>
      </c>
      <c r="J646" s="110"/>
      <c r="K646" s="165" t="s">
        <v>6275</v>
      </c>
      <c r="L646" s="165" t="s">
        <v>6276</v>
      </c>
      <c r="M646" s="116">
        <v>1200</v>
      </c>
      <c r="N646" s="116">
        <v>1200</v>
      </c>
      <c r="O646" s="110" t="s">
        <v>239</v>
      </c>
      <c r="P646" s="110" t="s">
        <v>239</v>
      </c>
      <c r="Q646" s="110" t="s">
        <v>239</v>
      </c>
      <c r="R646" s="110" t="s">
        <v>972</v>
      </c>
      <c r="S646" s="110"/>
      <c r="T646" s="110">
        <f t="shared" si="10"/>
        <v>1200</v>
      </c>
      <c r="U646" s="110"/>
      <c r="V646" s="110"/>
      <c r="W646" s="110"/>
      <c r="X646" s="114" t="s">
        <v>2161</v>
      </c>
      <c r="Y646" s="110" t="s">
        <v>801</v>
      </c>
      <c r="AA646" s="113" t="e">
        <v>#N/A</v>
      </c>
      <c r="AB646" s="113" t="e">
        <v>#N/A</v>
      </c>
    </row>
    <row r="647" spans="1:28">
      <c r="A647" s="108">
        <v>646</v>
      </c>
      <c r="B647" s="108" t="s">
        <v>225</v>
      </c>
      <c r="C647" s="109">
        <v>46065</v>
      </c>
      <c r="D647" s="110" t="s">
        <v>226</v>
      </c>
      <c r="E647" s="110" t="s">
        <v>5252</v>
      </c>
      <c r="F647" s="110" t="s">
        <v>364</v>
      </c>
      <c r="G647" s="110">
        <v>12</v>
      </c>
      <c r="H647" s="110" t="s">
        <v>6277</v>
      </c>
      <c r="I647" s="110" t="s">
        <v>6278</v>
      </c>
      <c r="J647" s="110"/>
      <c r="K647" s="165" t="s">
        <v>6279</v>
      </c>
      <c r="L647" s="165" t="s">
        <v>6279</v>
      </c>
      <c r="M647" s="116">
        <v>4240</v>
      </c>
      <c r="N647" s="116">
        <v>4240</v>
      </c>
      <c r="O647" s="110" t="s">
        <v>239</v>
      </c>
      <c r="P647" s="110" t="s">
        <v>239</v>
      </c>
      <c r="Q647" s="110" t="s">
        <v>239</v>
      </c>
      <c r="R647" s="110" t="s">
        <v>5346</v>
      </c>
      <c r="S647" s="110"/>
      <c r="T647" s="110">
        <f t="shared" si="10"/>
        <v>4240</v>
      </c>
      <c r="U647" s="110"/>
      <c r="V647" s="110"/>
      <c r="W647" s="110"/>
      <c r="X647" s="114" t="s">
        <v>6280</v>
      </c>
      <c r="Y647" s="110" t="s">
        <v>6280</v>
      </c>
      <c r="AA647" s="113" t="e">
        <v>#N/A</v>
      </c>
      <c r="AB647" s="113" t="e">
        <v>#N/A</v>
      </c>
    </row>
    <row r="648" spans="1:28">
      <c r="A648" s="108">
        <v>647</v>
      </c>
      <c r="B648" s="108" t="s">
        <v>225</v>
      </c>
      <c r="C648" s="109">
        <v>46065</v>
      </c>
      <c r="D648" s="110" t="s">
        <v>226</v>
      </c>
      <c r="E648" s="110" t="s">
        <v>5252</v>
      </c>
      <c r="F648" s="110" t="s">
        <v>364</v>
      </c>
      <c r="G648" s="110">
        <v>12</v>
      </c>
      <c r="H648" s="110" t="s">
        <v>6281</v>
      </c>
      <c r="I648" s="110" t="s">
        <v>6282</v>
      </c>
      <c r="J648" s="110"/>
      <c r="K648" s="165" t="s">
        <v>6283</v>
      </c>
      <c r="L648" s="165" t="s">
        <v>6283</v>
      </c>
      <c r="M648" s="116">
        <v>4500</v>
      </c>
      <c r="N648" s="116">
        <v>4000</v>
      </c>
      <c r="O648" s="110" t="s">
        <v>239</v>
      </c>
      <c r="P648" s="110" t="s">
        <v>239</v>
      </c>
      <c r="Q648" s="110" t="s">
        <v>239</v>
      </c>
      <c r="R648" s="110" t="s">
        <v>5346</v>
      </c>
      <c r="S648" s="110"/>
      <c r="T648" s="110">
        <f t="shared" si="10"/>
        <v>4000</v>
      </c>
      <c r="U648" s="110"/>
      <c r="V648" s="110"/>
      <c r="W648" s="110"/>
      <c r="X648" s="114" t="s">
        <v>6280</v>
      </c>
      <c r="Y648" s="110" t="s">
        <v>6280</v>
      </c>
      <c r="AA648" s="113" t="e">
        <v>#N/A</v>
      </c>
      <c r="AB648" s="113" t="e">
        <v>#N/A</v>
      </c>
    </row>
    <row r="649" spans="1:28">
      <c r="A649" s="108">
        <v>648</v>
      </c>
      <c r="B649" s="108" t="s">
        <v>225</v>
      </c>
      <c r="C649" s="109">
        <v>46065</v>
      </c>
      <c r="D649" s="110" t="s">
        <v>226</v>
      </c>
      <c r="E649" s="110" t="s">
        <v>5252</v>
      </c>
      <c r="F649" s="110" t="s">
        <v>364</v>
      </c>
      <c r="G649" s="110">
        <v>12</v>
      </c>
      <c r="H649" s="110" t="s">
        <v>6284</v>
      </c>
      <c r="I649" s="110" t="s">
        <v>6285</v>
      </c>
      <c r="J649" s="110"/>
      <c r="K649" s="165" t="s">
        <v>6286</v>
      </c>
      <c r="L649" s="165" t="s">
        <v>6286</v>
      </c>
      <c r="M649" s="116">
        <v>2460</v>
      </c>
      <c r="N649" s="116">
        <v>2460</v>
      </c>
      <c r="O649" s="110" t="s">
        <v>239</v>
      </c>
      <c r="P649" s="110" t="s">
        <v>239</v>
      </c>
      <c r="Q649" s="110" t="s">
        <v>239</v>
      </c>
      <c r="R649" s="110" t="s">
        <v>5346</v>
      </c>
      <c r="S649" s="110"/>
      <c r="T649" s="110">
        <f t="shared" si="10"/>
        <v>2460</v>
      </c>
      <c r="U649" s="110"/>
      <c r="V649" s="110"/>
      <c r="W649" s="110"/>
      <c r="X649" s="114" t="s">
        <v>6280</v>
      </c>
      <c r="Y649" s="110" t="s">
        <v>6280</v>
      </c>
      <c r="AA649" s="113" t="e">
        <v>#N/A</v>
      </c>
      <c r="AB649" s="113" t="e">
        <v>#N/A</v>
      </c>
    </row>
    <row r="650" spans="1:28">
      <c r="A650" s="108">
        <v>649</v>
      </c>
      <c r="B650" s="108" t="s">
        <v>225</v>
      </c>
      <c r="C650" s="109">
        <v>46065</v>
      </c>
      <c r="D650" s="110" t="s">
        <v>226</v>
      </c>
      <c r="E650" s="110" t="s">
        <v>5252</v>
      </c>
      <c r="F650" s="110" t="s">
        <v>364</v>
      </c>
      <c r="G650" s="110">
        <v>12</v>
      </c>
      <c r="H650" s="110" t="s">
        <v>6287</v>
      </c>
      <c r="I650" s="110" t="s">
        <v>6288</v>
      </c>
      <c r="J650" s="110"/>
      <c r="K650" s="165" t="s">
        <v>6289</v>
      </c>
      <c r="L650" s="165" t="s">
        <v>6289</v>
      </c>
      <c r="M650" s="116">
        <v>36400</v>
      </c>
      <c r="N650" s="116">
        <v>36400</v>
      </c>
      <c r="O650" s="111">
        <v>46066</v>
      </c>
      <c r="P650" s="112" t="s">
        <v>6290</v>
      </c>
      <c r="Q650" s="110" t="s">
        <v>52</v>
      </c>
      <c r="R650" s="110" t="s">
        <v>5346</v>
      </c>
      <c r="S650" s="110">
        <f>20000+16000</f>
        <v>36000</v>
      </c>
      <c r="T650" s="110">
        <f t="shared" si="10"/>
        <v>400</v>
      </c>
      <c r="U650" s="111">
        <v>46085</v>
      </c>
      <c r="V650" s="110" t="s">
        <v>6291</v>
      </c>
      <c r="W650" s="110"/>
      <c r="X650" s="114" t="s">
        <v>665</v>
      </c>
      <c r="Y650" s="110" t="s">
        <v>1733</v>
      </c>
      <c r="AA650" s="113" t="e">
        <v>#N/A</v>
      </c>
      <c r="AB650" s="113" t="e">
        <v>#N/A</v>
      </c>
    </row>
    <row r="651" spans="1:28">
      <c r="A651" s="108">
        <v>650</v>
      </c>
      <c r="B651" s="108" t="s">
        <v>225</v>
      </c>
      <c r="C651" s="109">
        <v>46066</v>
      </c>
      <c r="D651" s="110" t="s">
        <v>933</v>
      </c>
      <c r="E651" s="110" t="s">
        <v>5252</v>
      </c>
      <c r="F651" s="110" t="s">
        <v>1413</v>
      </c>
      <c r="G651" s="110">
        <v>13</v>
      </c>
      <c r="H651" s="110" t="s">
        <v>6292</v>
      </c>
      <c r="I651" s="110">
        <v>9394319080</v>
      </c>
      <c r="J651" s="110"/>
      <c r="K651" s="165" t="s">
        <v>6293</v>
      </c>
      <c r="L651" s="165" t="s">
        <v>6293</v>
      </c>
      <c r="M651" s="116">
        <v>5800</v>
      </c>
      <c r="N651" s="116">
        <v>5800</v>
      </c>
      <c r="O651" s="111">
        <v>46070</v>
      </c>
      <c r="P651" s="112" t="s">
        <v>6294</v>
      </c>
      <c r="Q651" s="110" t="s">
        <v>52</v>
      </c>
      <c r="R651" s="110" t="s">
        <v>6294</v>
      </c>
      <c r="S651" s="110">
        <v>5800</v>
      </c>
      <c r="T651" s="110">
        <f t="shared" si="10"/>
        <v>0</v>
      </c>
      <c r="U651" s="111">
        <v>46040</v>
      </c>
      <c r="V651" s="110" t="s">
        <v>6295</v>
      </c>
      <c r="W651" s="110" t="s">
        <v>54</v>
      </c>
      <c r="X651" s="114" t="s">
        <v>225</v>
      </c>
      <c r="Y651" s="110" t="s">
        <v>225</v>
      </c>
      <c r="AA651" s="113" t="e">
        <v>#N/A</v>
      </c>
      <c r="AB651" s="113" t="e">
        <v>#N/A</v>
      </c>
    </row>
    <row r="652" spans="1:28">
      <c r="A652" s="108">
        <v>651</v>
      </c>
      <c r="B652" s="108" t="s">
        <v>225</v>
      </c>
      <c r="C652" s="109">
        <v>46067</v>
      </c>
      <c r="D652" s="110" t="s">
        <v>226</v>
      </c>
      <c r="E652" s="110" t="s">
        <v>5252</v>
      </c>
      <c r="F652" s="110" t="s">
        <v>364</v>
      </c>
      <c r="G652" s="110">
        <v>14</v>
      </c>
      <c r="H652" s="110" t="s">
        <v>6296</v>
      </c>
      <c r="I652" s="110">
        <v>9704847010</v>
      </c>
      <c r="J652" s="110"/>
      <c r="K652" s="165" t="s">
        <v>6297</v>
      </c>
      <c r="L652" s="165" t="s">
        <v>6297</v>
      </c>
      <c r="M652" s="116">
        <v>3197.88</v>
      </c>
      <c r="N652" s="116">
        <v>400</v>
      </c>
      <c r="O652" s="110" t="s">
        <v>239</v>
      </c>
      <c r="P652" s="110" t="s">
        <v>239</v>
      </c>
      <c r="Q652" s="110" t="s">
        <v>239</v>
      </c>
      <c r="R652" s="110" t="s">
        <v>5346</v>
      </c>
      <c r="S652" s="110"/>
      <c r="T652" s="110">
        <f t="shared" si="10"/>
        <v>400</v>
      </c>
      <c r="U652" s="110"/>
      <c r="V652" s="110"/>
      <c r="W652" s="110"/>
      <c r="X652" s="114" t="s">
        <v>6280</v>
      </c>
      <c r="Y652" s="110" t="s">
        <v>6280</v>
      </c>
      <c r="AA652" s="113" t="e">
        <v>#N/A</v>
      </c>
      <c r="AB652" s="113" t="e">
        <v>#N/A</v>
      </c>
    </row>
    <row r="653" spans="1:28" ht="15">
      <c r="A653" s="108">
        <v>652</v>
      </c>
      <c r="B653" s="108" t="s">
        <v>225</v>
      </c>
      <c r="C653" s="109">
        <v>46067</v>
      </c>
      <c r="D653" s="110" t="s">
        <v>226</v>
      </c>
      <c r="E653" s="110" t="s">
        <v>5252</v>
      </c>
      <c r="F653" s="110" t="s">
        <v>364</v>
      </c>
      <c r="G653" s="110">
        <v>14</v>
      </c>
      <c r="H653" s="110" t="s">
        <v>6298</v>
      </c>
      <c r="I653" s="110" t="s">
        <v>6299</v>
      </c>
      <c r="J653" s="110"/>
      <c r="K653" s="165" t="s">
        <v>6300</v>
      </c>
      <c r="L653" s="165" t="s">
        <v>6301</v>
      </c>
      <c r="M653" s="116">
        <v>50940</v>
      </c>
      <c r="N653" s="116">
        <v>20940</v>
      </c>
      <c r="O653" s="111">
        <v>46081</v>
      </c>
      <c r="P653" s="112" t="s">
        <v>6302</v>
      </c>
      <c r="Q653" s="110" t="s">
        <v>52</v>
      </c>
      <c r="R653" s="110" t="s">
        <v>5346</v>
      </c>
      <c r="S653" s="110"/>
      <c r="T653" s="110">
        <f t="shared" si="10"/>
        <v>20940</v>
      </c>
      <c r="U653" s="110"/>
      <c r="V653" s="110"/>
      <c r="W653" s="110"/>
      <c r="X653" s="114" t="s">
        <v>6302</v>
      </c>
      <c r="Y653" s="110" t="s">
        <v>6302</v>
      </c>
      <c r="Z653" t="s">
        <v>6303</v>
      </c>
      <c r="AA653" s="113" t="e">
        <v>#N/A</v>
      </c>
      <c r="AB653" s="113" t="e">
        <v>#N/A</v>
      </c>
    </row>
    <row r="654" spans="1:28">
      <c r="A654" s="108">
        <v>653</v>
      </c>
      <c r="B654" s="108" t="s">
        <v>225</v>
      </c>
      <c r="C654" s="109">
        <v>46068</v>
      </c>
      <c r="D654" s="110" t="s">
        <v>226</v>
      </c>
      <c r="E654" s="110" t="s">
        <v>5252</v>
      </c>
      <c r="F654" s="110" t="s">
        <v>236</v>
      </c>
      <c r="G654" s="110">
        <v>15</v>
      </c>
      <c r="H654" s="110" t="s">
        <v>6304</v>
      </c>
      <c r="I654" s="110">
        <v>8792743443</v>
      </c>
      <c r="J654" s="110"/>
      <c r="K654" s="165" t="s">
        <v>6305</v>
      </c>
      <c r="L654" s="165" t="s">
        <v>6305</v>
      </c>
      <c r="M654" s="116">
        <v>1493</v>
      </c>
      <c r="N654" s="116">
        <v>1493</v>
      </c>
      <c r="O654" s="110" t="s">
        <v>239</v>
      </c>
      <c r="P654" s="110" t="s">
        <v>239</v>
      </c>
      <c r="Q654" s="110" t="s">
        <v>239</v>
      </c>
      <c r="R654" s="110" t="s">
        <v>236</v>
      </c>
      <c r="S654" s="110"/>
      <c r="T654" s="110">
        <f t="shared" si="10"/>
        <v>1493</v>
      </c>
      <c r="U654" s="110"/>
      <c r="V654" s="110"/>
      <c r="W654" s="110"/>
      <c r="X654" s="110" t="s">
        <v>236</v>
      </c>
      <c r="Y654" s="110" t="s">
        <v>236</v>
      </c>
      <c r="AA654" s="113" t="e">
        <v>#N/A</v>
      </c>
      <c r="AB654" s="113" t="e">
        <v>#N/A</v>
      </c>
    </row>
    <row r="655" spans="1:28">
      <c r="A655" s="108">
        <v>654</v>
      </c>
      <c r="B655" s="108" t="s">
        <v>225</v>
      </c>
      <c r="C655" s="109">
        <v>46068</v>
      </c>
      <c r="D655" s="110" t="s">
        <v>226</v>
      </c>
      <c r="E655" s="110" t="s">
        <v>5252</v>
      </c>
      <c r="F655" s="110" t="s">
        <v>236</v>
      </c>
      <c r="G655" s="110">
        <v>15</v>
      </c>
      <c r="H655" s="110" t="s">
        <v>6306</v>
      </c>
      <c r="I655" s="110">
        <v>7036886927</v>
      </c>
      <c r="J655" s="110"/>
      <c r="K655" s="165" t="s">
        <v>6307</v>
      </c>
      <c r="L655" s="165" t="s">
        <v>6307</v>
      </c>
      <c r="M655" s="116">
        <v>2953</v>
      </c>
      <c r="N655" s="116">
        <v>2953</v>
      </c>
      <c r="O655" s="110" t="s">
        <v>239</v>
      </c>
      <c r="P655" s="110" t="s">
        <v>239</v>
      </c>
      <c r="Q655" s="110" t="s">
        <v>239</v>
      </c>
      <c r="R655" s="110" t="s">
        <v>236</v>
      </c>
      <c r="S655" s="110"/>
      <c r="T655" s="110">
        <f t="shared" si="10"/>
        <v>2953</v>
      </c>
      <c r="U655" s="110"/>
      <c r="V655" s="110"/>
      <c r="W655" s="110"/>
      <c r="X655" s="110" t="s">
        <v>236</v>
      </c>
      <c r="Y655" s="110" t="s">
        <v>236</v>
      </c>
      <c r="AA655" s="113" t="e">
        <v>#N/A</v>
      </c>
      <c r="AB655" s="113" t="e">
        <v>#N/A</v>
      </c>
    </row>
    <row r="656" spans="1:28">
      <c r="A656" s="108">
        <v>655</v>
      </c>
      <c r="B656" s="108" t="s">
        <v>225</v>
      </c>
      <c r="C656" s="109">
        <v>46068</v>
      </c>
      <c r="D656" s="110" t="s">
        <v>226</v>
      </c>
      <c r="E656" s="110" t="s">
        <v>5252</v>
      </c>
      <c r="F656" s="110" t="s">
        <v>236</v>
      </c>
      <c r="G656" s="110">
        <v>15</v>
      </c>
      <c r="H656" s="110" t="s">
        <v>6308</v>
      </c>
      <c r="I656" s="110">
        <v>9886574637</v>
      </c>
      <c r="J656" s="110"/>
      <c r="K656" s="165" t="s">
        <v>6309</v>
      </c>
      <c r="L656" s="165" t="s">
        <v>6309</v>
      </c>
      <c r="M656" s="116">
        <v>426</v>
      </c>
      <c r="N656" s="116">
        <v>426</v>
      </c>
      <c r="O656" s="110" t="s">
        <v>239</v>
      </c>
      <c r="P656" s="110" t="s">
        <v>239</v>
      </c>
      <c r="Q656" s="110" t="s">
        <v>239</v>
      </c>
      <c r="R656" s="110" t="s">
        <v>236</v>
      </c>
      <c r="S656" s="110"/>
      <c r="T656" s="110">
        <f t="shared" si="10"/>
        <v>426</v>
      </c>
      <c r="U656" s="110"/>
      <c r="V656" s="110"/>
      <c r="W656" s="110"/>
      <c r="X656" s="110" t="s">
        <v>236</v>
      </c>
      <c r="Y656" s="110" t="s">
        <v>236</v>
      </c>
      <c r="AA656" s="113" t="e">
        <v>#N/A</v>
      </c>
      <c r="AB656" s="113" t="e">
        <v>#N/A</v>
      </c>
    </row>
    <row r="657" spans="1:28">
      <c r="A657" s="108">
        <v>656</v>
      </c>
      <c r="B657" s="108" t="s">
        <v>225</v>
      </c>
      <c r="C657" s="109">
        <v>46069</v>
      </c>
      <c r="D657" s="110" t="s">
        <v>226</v>
      </c>
      <c r="E657" s="110" t="s">
        <v>5252</v>
      </c>
      <c r="F657" s="110" t="s">
        <v>227</v>
      </c>
      <c r="G657" s="110">
        <v>16</v>
      </c>
      <c r="H657" s="110" t="s">
        <v>6310</v>
      </c>
      <c r="I657" s="110">
        <v>7702231155</v>
      </c>
      <c r="J657" s="110"/>
      <c r="K657" s="165" t="s">
        <v>6311</v>
      </c>
      <c r="L657" s="165" t="s">
        <v>6311</v>
      </c>
      <c r="M657" s="116">
        <v>35181</v>
      </c>
      <c r="N657" s="167">
        <v>35181</v>
      </c>
      <c r="O657" s="111">
        <v>46078</v>
      </c>
      <c r="P657" s="112" t="s">
        <v>230</v>
      </c>
      <c r="Q657" s="110" t="s">
        <v>52</v>
      </c>
      <c r="R657" s="110" t="s">
        <v>230</v>
      </c>
      <c r="S657" s="110">
        <f>25959+9222</f>
        <v>35181</v>
      </c>
      <c r="T657" s="110">
        <f t="shared" si="10"/>
        <v>0</v>
      </c>
      <c r="U657" s="111">
        <v>46083</v>
      </c>
      <c r="V657" s="110" t="s">
        <v>6312</v>
      </c>
      <c r="W657" s="110" t="s">
        <v>54</v>
      </c>
      <c r="X657" s="114" t="s">
        <v>731</v>
      </c>
      <c r="Y657" s="110" t="s">
        <v>3446</v>
      </c>
      <c r="AA657" s="113" t="s">
        <v>11</v>
      </c>
      <c r="AB657" s="113" t="s">
        <v>4254</v>
      </c>
    </row>
    <row r="658" spans="1:28">
      <c r="A658" s="108">
        <v>657</v>
      </c>
      <c r="B658" s="108" t="s">
        <v>225</v>
      </c>
      <c r="C658" s="109">
        <v>46069</v>
      </c>
      <c r="D658" s="110" t="s">
        <v>226</v>
      </c>
      <c r="E658" s="110" t="s">
        <v>5252</v>
      </c>
      <c r="F658" s="110" t="s">
        <v>227</v>
      </c>
      <c r="G658" s="110">
        <v>16</v>
      </c>
      <c r="H658" s="110" t="s">
        <v>6313</v>
      </c>
      <c r="I658" s="110">
        <v>6303865765</v>
      </c>
      <c r="J658" s="110"/>
      <c r="K658" s="165" t="s">
        <v>5122</v>
      </c>
      <c r="L658" s="165" t="s">
        <v>5122</v>
      </c>
      <c r="M658" s="116">
        <v>17241</v>
      </c>
      <c r="N658" s="110">
        <v>17241</v>
      </c>
      <c r="O658" s="111">
        <v>46075</v>
      </c>
      <c r="P658" s="112" t="s">
        <v>230</v>
      </c>
      <c r="Q658" s="110" t="s">
        <v>52</v>
      </c>
      <c r="R658" s="110" t="s">
        <v>230</v>
      </c>
      <c r="S658" s="110">
        <v>17241</v>
      </c>
      <c r="T658" s="110">
        <f t="shared" si="10"/>
        <v>0</v>
      </c>
      <c r="U658" s="111">
        <v>46083</v>
      </c>
      <c r="V658" s="110" t="s">
        <v>6314</v>
      </c>
      <c r="W658" s="110" t="s">
        <v>54</v>
      </c>
      <c r="X658" s="114" t="s">
        <v>3641</v>
      </c>
      <c r="Y658" s="110" t="s">
        <v>3641</v>
      </c>
      <c r="AA658" s="113" t="s">
        <v>11</v>
      </c>
      <c r="AB658" s="113" t="s">
        <v>4254</v>
      </c>
    </row>
    <row r="659" spans="1:28">
      <c r="A659" s="108">
        <v>658</v>
      </c>
      <c r="B659" s="108" t="s">
        <v>225</v>
      </c>
      <c r="C659" s="109">
        <v>46069</v>
      </c>
      <c r="D659" s="110" t="s">
        <v>226</v>
      </c>
      <c r="E659" s="110" t="s">
        <v>5252</v>
      </c>
      <c r="F659" s="110" t="s">
        <v>364</v>
      </c>
      <c r="G659" s="110">
        <v>16</v>
      </c>
      <c r="H659" s="110" t="s">
        <v>6315</v>
      </c>
      <c r="I659" s="110" t="s">
        <v>6316</v>
      </c>
      <c r="J659" s="110"/>
      <c r="K659" s="165" t="s">
        <v>6317</v>
      </c>
      <c r="L659" s="165" t="s">
        <v>6317</v>
      </c>
      <c r="M659" s="116">
        <v>14190</v>
      </c>
      <c r="N659" s="167">
        <v>14190</v>
      </c>
      <c r="O659" s="111">
        <v>46072</v>
      </c>
      <c r="P659" s="112" t="s">
        <v>6290</v>
      </c>
      <c r="Q659" s="110" t="s">
        <v>52</v>
      </c>
      <c r="R659" s="110" t="s">
        <v>6290</v>
      </c>
      <c r="S659" s="110">
        <v>14190</v>
      </c>
      <c r="T659" s="110">
        <f t="shared" si="10"/>
        <v>0</v>
      </c>
      <c r="U659" s="111">
        <v>46074</v>
      </c>
      <c r="V659" s="110" t="s">
        <v>6318</v>
      </c>
      <c r="W659" s="110" t="s">
        <v>54</v>
      </c>
      <c r="X659" s="114" t="s">
        <v>6290</v>
      </c>
      <c r="Y659" s="110" t="s">
        <v>6319</v>
      </c>
      <c r="AA659" s="113" t="e">
        <v>#N/A</v>
      </c>
      <c r="AB659" s="113" t="e">
        <v>#N/A</v>
      </c>
    </row>
    <row r="660" spans="1:28">
      <c r="A660" s="108">
        <v>659</v>
      </c>
      <c r="B660" s="108" t="s">
        <v>225</v>
      </c>
      <c r="C660" s="109">
        <v>46069</v>
      </c>
      <c r="D660" s="110" t="s">
        <v>226</v>
      </c>
      <c r="E660" s="110" t="s">
        <v>5252</v>
      </c>
      <c r="F660" s="110" t="s">
        <v>310</v>
      </c>
      <c r="G660" s="110">
        <v>16</v>
      </c>
      <c r="H660" s="110" t="s">
        <v>6320</v>
      </c>
      <c r="I660" s="110" t="s">
        <v>6321</v>
      </c>
      <c r="J660" s="110"/>
      <c r="K660" s="165" t="s">
        <v>6322</v>
      </c>
      <c r="L660" s="165" t="s">
        <v>6322</v>
      </c>
      <c r="M660" s="116">
        <v>37200</v>
      </c>
      <c r="N660" s="167">
        <v>37201</v>
      </c>
      <c r="O660" s="111">
        <v>46073</v>
      </c>
      <c r="P660" s="143" t="s">
        <v>6030</v>
      </c>
      <c r="Q660" s="110" t="s">
        <v>6181</v>
      </c>
      <c r="R660" s="135" t="s">
        <v>2158</v>
      </c>
      <c r="S660" s="110"/>
      <c r="T660" s="110">
        <f t="shared" si="10"/>
        <v>37201</v>
      </c>
      <c r="U660" s="110"/>
      <c r="V660" s="110"/>
      <c r="W660" s="110"/>
      <c r="X660" s="114" t="s">
        <v>643</v>
      </c>
      <c r="Y660" s="110" t="s">
        <v>6323</v>
      </c>
      <c r="Z660" s="143" t="s">
        <v>6324</v>
      </c>
      <c r="AA660" s="113" t="e">
        <v>#N/A</v>
      </c>
      <c r="AB660" s="113" t="e">
        <v>#N/A</v>
      </c>
    </row>
    <row r="661" spans="1:28">
      <c r="A661" s="108">
        <v>660</v>
      </c>
      <c r="B661" s="108" t="s">
        <v>225</v>
      </c>
      <c r="C661" s="109">
        <v>46069</v>
      </c>
      <c r="D661" s="110" t="s">
        <v>226</v>
      </c>
      <c r="E661" s="110" t="s">
        <v>5252</v>
      </c>
      <c r="F661" s="110" t="s">
        <v>310</v>
      </c>
      <c r="G661" s="110">
        <v>16</v>
      </c>
      <c r="H661" s="110" t="s">
        <v>6325</v>
      </c>
      <c r="I661" s="110" t="s">
        <v>6326</v>
      </c>
      <c r="J661" s="110"/>
      <c r="K661" s="165" t="s">
        <v>6327</v>
      </c>
      <c r="L661" s="165" t="s">
        <v>6327</v>
      </c>
      <c r="M661" s="116">
        <v>4260</v>
      </c>
      <c r="N661" s="167">
        <v>4260</v>
      </c>
      <c r="O661" s="111">
        <v>46071</v>
      </c>
      <c r="P661" s="112" t="s">
        <v>315</v>
      </c>
      <c r="Q661" s="110" t="s">
        <v>6181</v>
      </c>
      <c r="R661" s="110" t="s">
        <v>3580</v>
      </c>
      <c r="S661" s="110">
        <v>4260</v>
      </c>
      <c r="T661" s="110">
        <f t="shared" si="10"/>
        <v>0</v>
      </c>
      <c r="U661" s="111">
        <v>46071</v>
      </c>
      <c r="V661" s="110" t="s">
        <v>6328</v>
      </c>
      <c r="W661" s="110" t="s">
        <v>54</v>
      </c>
      <c r="X661" s="114" t="s">
        <v>315</v>
      </c>
      <c r="Y661" s="110" t="s">
        <v>6329</v>
      </c>
      <c r="AA661" s="113" t="s">
        <v>11</v>
      </c>
      <c r="AB661" s="113" t="s">
        <v>4985</v>
      </c>
    </row>
    <row r="662" spans="1:28">
      <c r="A662" s="108">
        <v>661</v>
      </c>
      <c r="B662" s="108" t="s">
        <v>225</v>
      </c>
      <c r="C662" s="109">
        <v>46069</v>
      </c>
      <c r="D662" s="110" t="s">
        <v>226</v>
      </c>
      <c r="E662" s="110" t="s">
        <v>5252</v>
      </c>
      <c r="F662" s="110" t="s">
        <v>3190</v>
      </c>
      <c r="G662" s="110">
        <v>16</v>
      </c>
      <c r="H662" s="110" t="s">
        <v>5129</v>
      </c>
      <c r="I662" s="110">
        <v>9553180143</v>
      </c>
      <c r="J662" s="110"/>
      <c r="K662" s="165" t="s">
        <v>6330</v>
      </c>
      <c r="L662" s="165" t="s">
        <v>6330</v>
      </c>
      <c r="M662" s="116">
        <v>36200</v>
      </c>
      <c r="N662" s="116">
        <v>36200</v>
      </c>
      <c r="O662" s="111">
        <v>46082</v>
      </c>
      <c r="P662" s="112" t="s">
        <v>6331</v>
      </c>
      <c r="Q662" s="110" t="s">
        <v>6181</v>
      </c>
      <c r="R662" s="116" t="s">
        <v>4963</v>
      </c>
      <c r="S662" s="110">
        <v>36000</v>
      </c>
      <c r="T662" s="110">
        <f t="shared" si="10"/>
        <v>200</v>
      </c>
      <c r="U662" s="111">
        <v>46114</v>
      </c>
      <c r="V662" s="110" t="s">
        <v>6332</v>
      </c>
      <c r="W662" s="110" t="s">
        <v>54</v>
      </c>
      <c r="X662" s="114" t="s">
        <v>6333</v>
      </c>
      <c r="Y662" s="110" t="s">
        <v>6331</v>
      </c>
      <c r="Z662" s="113" t="s">
        <v>6334</v>
      </c>
      <c r="AA662" s="113" t="e">
        <v>#N/A</v>
      </c>
      <c r="AB662" s="113" t="e">
        <v>#N/A</v>
      </c>
    </row>
    <row r="663" spans="1:28">
      <c r="A663" s="108">
        <v>662</v>
      </c>
      <c r="B663" s="108" t="s">
        <v>225</v>
      </c>
      <c r="C663" s="109">
        <v>46069</v>
      </c>
      <c r="D663" s="110" t="s">
        <v>226</v>
      </c>
      <c r="E663" s="110" t="s">
        <v>5252</v>
      </c>
      <c r="F663" s="110" t="s">
        <v>3190</v>
      </c>
      <c r="G663" s="110">
        <v>16</v>
      </c>
      <c r="H663" s="110" t="s">
        <v>6335</v>
      </c>
      <c r="I663" s="110" t="s">
        <v>6336</v>
      </c>
      <c r="J663" s="110"/>
      <c r="K663" s="165" t="s">
        <v>6337</v>
      </c>
      <c r="L663" s="165" t="s">
        <v>6337</v>
      </c>
      <c r="M663" s="116">
        <v>4970</v>
      </c>
      <c r="N663" s="116">
        <v>4970</v>
      </c>
      <c r="O663" s="111">
        <v>46081</v>
      </c>
      <c r="P663" s="112" t="s">
        <v>6338</v>
      </c>
      <c r="Q663" s="110" t="s">
        <v>6181</v>
      </c>
      <c r="R663" s="116" t="s">
        <v>4963</v>
      </c>
      <c r="S663" s="110"/>
      <c r="T663" s="110">
        <f t="shared" si="10"/>
        <v>4970</v>
      </c>
      <c r="U663" s="110"/>
      <c r="V663" s="110"/>
      <c r="W663" s="110"/>
      <c r="X663" s="114" t="s">
        <v>402</v>
      </c>
      <c r="Y663" s="110" t="s">
        <v>6338</v>
      </c>
      <c r="AA663" s="113" t="e">
        <v>#N/A</v>
      </c>
      <c r="AB663" s="113" t="e">
        <v>#N/A</v>
      </c>
    </row>
    <row r="664" spans="1:28">
      <c r="A664" s="108">
        <v>663</v>
      </c>
      <c r="B664" s="108" t="s">
        <v>225</v>
      </c>
      <c r="C664" s="109">
        <v>46069</v>
      </c>
      <c r="D664" s="110" t="s">
        <v>226</v>
      </c>
      <c r="E664" s="110" t="s">
        <v>5252</v>
      </c>
      <c r="F664" s="110" t="s">
        <v>3190</v>
      </c>
      <c r="G664" s="110">
        <v>16</v>
      </c>
      <c r="H664" s="110" t="s">
        <v>6339</v>
      </c>
      <c r="I664" s="110" t="s">
        <v>6340</v>
      </c>
      <c r="J664" s="110"/>
      <c r="K664" s="165" t="s">
        <v>5136</v>
      </c>
      <c r="L664" s="165" t="s">
        <v>5136</v>
      </c>
      <c r="M664" s="116">
        <v>17699</v>
      </c>
      <c r="N664" s="167">
        <v>17700</v>
      </c>
      <c r="O664" s="111">
        <v>46071</v>
      </c>
      <c r="P664" s="112" t="s">
        <v>1028</v>
      </c>
      <c r="Q664" s="110" t="s">
        <v>6181</v>
      </c>
      <c r="R664" s="116" t="s">
        <v>4963</v>
      </c>
      <c r="S664" s="110"/>
      <c r="T664" s="110">
        <f t="shared" si="10"/>
        <v>17700</v>
      </c>
      <c r="U664" s="110"/>
      <c r="V664" s="110"/>
      <c r="W664" s="110"/>
      <c r="X664" s="114" t="s">
        <v>402</v>
      </c>
      <c r="Y664" s="110" t="s">
        <v>1028</v>
      </c>
      <c r="Z664" s="113" t="s">
        <v>6341</v>
      </c>
      <c r="AA664" s="113" t="s">
        <v>4983</v>
      </c>
      <c r="AB664" s="113" t="s">
        <v>4967</v>
      </c>
    </row>
    <row r="665" spans="1:28" ht="15">
      <c r="A665" s="108">
        <v>664</v>
      </c>
      <c r="B665" s="108" t="s">
        <v>225</v>
      </c>
      <c r="C665" s="109">
        <v>46069</v>
      </c>
      <c r="D665" s="110" t="s">
        <v>226</v>
      </c>
      <c r="E665" s="110" t="s">
        <v>5252</v>
      </c>
      <c r="F665" s="110" t="s">
        <v>3190</v>
      </c>
      <c r="G665" s="110">
        <v>16</v>
      </c>
      <c r="H665" s="110" t="s">
        <v>6342</v>
      </c>
      <c r="I665" s="110" t="s">
        <v>6343</v>
      </c>
      <c r="J665" s="110"/>
      <c r="K665" s="165" t="s">
        <v>6344</v>
      </c>
      <c r="L665" s="165" t="s">
        <v>6344</v>
      </c>
      <c r="M665" s="116">
        <v>16380</v>
      </c>
      <c r="N665" s="116">
        <v>16380</v>
      </c>
      <c r="O665" s="111">
        <v>46079</v>
      </c>
      <c r="P665" s="112" t="s">
        <v>6338</v>
      </c>
      <c r="Q665" s="110" t="s">
        <v>6181</v>
      </c>
      <c r="R665" s="116" t="s">
        <v>4963</v>
      </c>
      <c r="S665" s="110"/>
      <c r="T665" s="110">
        <f t="shared" si="10"/>
        <v>16380</v>
      </c>
      <c r="U665" s="110"/>
      <c r="V665" s="110"/>
      <c r="W665" s="110"/>
      <c r="X665" s="114" t="s">
        <v>402</v>
      </c>
      <c r="Y665" s="110" t="s">
        <v>6338</v>
      </c>
      <c r="Z665" t="s">
        <v>6345</v>
      </c>
      <c r="AA665" s="113" t="s">
        <v>4983</v>
      </c>
      <c r="AB665" s="113" t="s">
        <v>4254</v>
      </c>
    </row>
    <row r="666" spans="1:28" ht="15">
      <c r="A666" s="108">
        <v>665</v>
      </c>
      <c r="B666" s="108" t="s">
        <v>225</v>
      </c>
      <c r="C666" s="109">
        <v>46069</v>
      </c>
      <c r="D666" s="110" t="s">
        <v>226</v>
      </c>
      <c r="E666" s="110" t="s">
        <v>5252</v>
      </c>
      <c r="F666" s="110" t="s">
        <v>3190</v>
      </c>
      <c r="G666" s="110">
        <v>16</v>
      </c>
      <c r="H666" s="110" t="s">
        <v>6346</v>
      </c>
      <c r="I666" s="110" t="s">
        <v>6347</v>
      </c>
      <c r="J666" s="110"/>
      <c r="K666" s="165" t="s">
        <v>6348</v>
      </c>
      <c r="L666" s="165" t="s">
        <v>6348</v>
      </c>
      <c r="M666" s="116">
        <v>20000</v>
      </c>
      <c r="N666" s="116">
        <v>20001</v>
      </c>
      <c r="O666" s="111">
        <v>46081</v>
      </c>
      <c r="P666" s="112" t="s">
        <v>4963</v>
      </c>
      <c r="Q666" s="110" t="s">
        <v>6181</v>
      </c>
      <c r="R666" s="116" t="s">
        <v>4963</v>
      </c>
      <c r="S666" s="110"/>
      <c r="T666" s="110">
        <f t="shared" si="10"/>
        <v>20001</v>
      </c>
      <c r="U666" s="110"/>
      <c r="V666" s="110"/>
      <c r="W666" s="110"/>
      <c r="X666" s="114" t="s">
        <v>402</v>
      </c>
      <c r="Y666" s="110" t="s">
        <v>399</v>
      </c>
      <c r="Z666" t="s">
        <v>6349</v>
      </c>
      <c r="AA666" s="113" t="s">
        <v>4983</v>
      </c>
      <c r="AB666" s="113" t="s">
        <v>4254</v>
      </c>
    </row>
    <row r="667" spans="1:28">
      <c r="A667" s="108">
        <v>666</v>
      </c>
      <c r="B667" s="108" t="s">
        <v>225</v>
      </c>
      <c r="C667" s="109">
        <v>46069</v>
      </c>
      <c r="D667" s="110" t="s">
        <v>226</v>
      </c>
      <c r="E667" s="110" t="s">
        <v>5252</v>
      </c>
      <c r="F667" s="110" t="s">
        <v>3190</v>
      </c>
      <c r="G667" s="110">
        <v>16</v>
      </c>
      <c r="H667" s="110" t="s">
        <v>6350</v>
      </c>
      <c r="I667" s="110" t="s">
        <v>6351</v>
      </c>
      <c r="J667" s="110"/>
      <c r="K667" s="165" t="s">
        <v>6352</v>
      </c>
      <c r="L667" s="165" t="s">
        <v>6352</v>
      </c>
      <c r="M667" s="116">
        <v>17920</v>
      </c>
      <c r="N667" s="116">
        <v>7921</v>
      </c>
      <c r="O667" s="111">
        <v>46078</v>
      </c>
      <c r="P667" s="112" t="s">
        <v>2083</v>
      </c>
      <c r="Q667" s="110" t="s">
        <v>6181</v>
      </c>
      <c r="R667" s="116" t="s">
        <v>4963</v>
      </c>
      <c r="S667" s="110"/>
      <c r="T667" s="110">
        <f t="shared" si="10"/>
        <v>7921</v>
      </c>
      <c r="U667" s="110"/>
      <c r="V667" s="110"/>
      <c r="W667" s="110"/>
      <c r="X667" s="114" t="s">
        <v>402</v>
      </c>
      <c r="Y667" s="110" t="s">
        <v>2083</v>
      </c>
      <c r="AA667" s="113" t="s">
        <v>4983</v>
      </c>
      <c r="AB667" s="113" t="s">
        <v>4461</v>
      </c>
    </row>
    <row r="668" spans="1:28">
      <c r="A668" s="108">
        <v>667</v>
      </c>
      <c r="B668" s="108" t="s">
        <v>225</v>
      </c>
      <c r="C668" s="109">
        <v>46071</v>
      </c>
      <c r="D668" s="110" t="s">
        <v>226</v>
      </c>
      <c r="E668" s="110" t="s">
        <v>5252</v>
      </c>
      <c r="F668" s="110" t="s">
        <v>236</v>
      </c>
      <c r="G668" s="110">
        <v>18</v>
      </c>
      <c r="H668" s="160" t="s">
        <v>6353</v>
      </c>
      <c r="I668" s="110">
        <v>9341072720</v>
      </c>
      <c r="J668" s="110"/>
      <c r="K668" s="165" t="s">
        <v>6354</v>
      </c>
      <c r="L668" s="165" t="s">
        <v>6354</v>
      </c>
      <c r="M668" s="116">
        <v>6800</v>
      </c>
      <c r="N668" s="116">
        <v>6800</v>
      </c>
      <c r="O668" s="110" t="s">
        <v>239</v>
      </c>
      <c r="P668" s="110" t="s">
        <v>239</v>
      </c>
      <c r="Q668" s="110" t="s">
        <v>239</v>
      </c>
      <c r="R668" s="110" t="s">
        <v>236</v>
      </c>
      <c r="S668" s="110"/>
      <c r="T668" s="110">
        <f t="shared" si="10"/>
        <v>6800</v>
      </c>
      <c r="U668" s="110"/>
      <c r="V668" s="110"/>
      <c r="W668" s="110"/>
      <c r="X668" s="114" t="s">
        <v>5082</v>
      </c>
      <c r="Y668" s="110" t="s">
        <v>5082</v>
      </c>
      <c r="AA668" s="113" t="e">
        <v>#N/A</v>
      </c>
      <c r="AB668" s="113" t="e">
        <v>#N/A</v>
      </c>
    </row>
    <row r="669" spans="1:28">
      <c r="A669" s="108">
        <v>668</v>
      </c>
      <c r="B669" s="108" t="s">
        <v>225</v>
      </c>
      <c r="C669" s="109">
        <v>46071</v>
      </c>
      <c r="D669" s="110" t="s">
        <v>226</v>
      </c>
      <c r="E669" s="110" t="s">
        <v>5252</v>
      </c>
      <c r="F669" s="110" t="s">
        <v>236</v>
      </c>
      <c r="G669" s="110">
        <v>18</v>
      </c>
      <c r="H669" s="160" t="s">
        <v>6355</v>
      </c>
      <c r="I669" s="110">
        <v>9445283770</v>
      </c>
      <c r="J669" s="110"/>
      <c r="K669" s="165" t="s">
        <v>6356</v>
      </c>
      <c r="L669" s="165" t="s">
        <v>6356</v>
      </c>
      <c r="M669" s="116">
        <v>950</v>
      </c>
      <c r="N669" s="116">
        <v>950</v>
      </c>
      <c r="O669" s="110" t="s">
        <v>239</v>
      </c>
      <c r="P669" s="110" t="s">
        <v>239</v>
      </c>
      <c r="Q669" s="110" t="s">
        <v>239</v>
      </c>
      <c r="R669" s="110" t="s">
        <v>236</v>
      </c>
      <c r="S669" s="110"/>
      <c r="T669" s="110">
        <f t="shared" si="10"/>
        <v>950</v>
      </c>
      <c r="U669" s="110"/>
      <c r="V669" s="110"/>
      <c r="W669" s="110"/>
      <c r="X669" s="114" t="s">
        <v>5082</v>
      </c>
      <c r="Y669" s="110" t="s">
        <v>5082</v>
      </c>
      <c r="AA669" s="113" t="e">
        <v>#N/A</v>
      </c>
      <c r="AB669" s="113" t="e">
        <v>#N/A</v>
      </c>
    </row>
    <row r="670" spans="1:28">
      <c r="A670" s="108">
        <v>669</v>
      </c>
      <c r="B670" s="108" t="s">
        <v>225</v>
      </c>
      <c r="C670" s="109">
        <v>46071</v>
      </c>
      <c r="D670" s="110" t="s">
        <v>226</v>
      </c>
      <c r="E670" s="110" t="s">
        <v>5252</v>
      </c>
      <c r="F670" s="110" t="s">
        <v>236</v>
      </c>
      <c r="G670" s="110">
        <v>18</v>
      </c>
      <c r="H670" s="160" t="s">
        <v>6357</v>
      </c>
      <c r="I670" s="110">
        <v>9710525157</v>
      </c>
      <c r="J670" s="110"/>
      <c r="K670" s="165" t="s">
        <v>6358</v>
      </c>
      <c r="L670" s="165" t="s">
        <v>6358</v>
      </c>
      <c r="M670" s="116">
        <v>750</v>
      </c>
      <c r="N670" s="116">
        <v>750</v>
      </c>
      <c r="O670" s="110" t="s">
        <v>239</v>
      </c>
      <c r="P670" s="110" t="s">
        <v>239</v>
      </c>
      <c r="Q670" s="110" t="s">
        <v>239</v>
      </c>
      <c r="R670" s="110" t="s">
        <v>236</v>
      </c>
      <c r="S670" s="110"/>
      <c r="T670" s="110">
        <f t="shared" si="10"/>
        <v>750</v>
      </c>
      <c r="U670" s="110"/>
      <c r="V670" s="110"/>
      <c r="W670" s="110"/>
      <c r="X670" s="114" t="s">
        <v>5082</v>
      </c>
      <c r="Y670" s="110" t="s">
        <v>5082</v>
      </c>
      <c r="AA670" s="113" t="e">
        <v>#N/A</v>
      </c>
      <c r="AB670" s="113" t="e">
        <v>#N/A</v>
      </c>
    </row>
    <row r="671" spans="1:28">
      <c r="A671" s="108">
        <v>670</v>
      </c>
      <c r="B671" s="108" t="s">
        <v>225</v>
      </c>
      <c r="C671" s="109">
        <v>46071</v>
      </c>
      <c r="D671" s="110" t="s">
        <v>226</v>
      </c>
      <c r="E671" s="110" t="s">
        <v>5252</v>
      </c>
      <c r="F671" s="110" t="s">
        <v>236</v>
      </c>
      <c r="G671" s="110">
        <v>18</v>
      </c>
      <c r="H671" s="110" t="s">
        <v>6359</v>
      </c>
      <c r="I671" s="110">
        <v>9010648999</v>
      </c>
      <c r="J671" s="110"/>
      <c r="K671" s="165" t="s">
        <v>6360</v>
      </c>
      <c r="L671" s="165" t="s">
        <v>6360</v>
      </c>
      <c r="M671" s="116">
        <v>3500</v>
      </c>
      <c r="N671" s="116">
        <v>3500</v>
      </c>
      <c r="O671" s="110" t="s">
        <v>239</v>
      </c>
      <c r="P671" s="110" t="s">
        <v>239</v>
      </c>
      <c r="Q671" s="110" t="s">
        <v>239</v>
      </c>
      <c r="R671" s="110" t="s">
        <v>236</v>
      </c>
      <c r="S671" s="110"/>
      <c r="T671" s="110">
        <f t="shared" si="10"/>
        <v>3500</v>
      </c>
      <c r="U671" s="110"/>
      <c r="V671" s="110"/>
      <c r="W671" s="110"/>
      <c r="X671" s="114" t="s">
        <v>5082</v>
      </c>
      <c r="Y671" s="110" t="s">
        <v>5082</v>
      </c>
      <c r="AA671" s="113" t="e">
        <v>#N/A</v>
      </c>
      <c r="AB671" s="113" t="e">
        <v>#N/A</v>
      </c>
    </row>
    <row r="672" spans="1:28">
      <c r="A672" s="108">
        <v>671</v>
      </c>
      <c r="B672" s="108" t="s">
        <v>225</v>
      </c>
      <c r="C672" s="109">
        <v>46071</v>
      </c>
      <c r="D672" s="110" t="s">
        <v>226</v>
      </c>
      <c r="E672" s="110" t="s">
        <v>5252</v>
      </c>
      <c r="F672" s="110" t="s">
        <v>236</v>
      </c>
      <c r="G672" s="110">
        <v>18</v>
      </c>
      <c r="H672" s="110" t="s">
        <v>6361</v>
      </c>
      <c r="I672" s="110">
        <v>8124524613</v>
      </c>
      <c r="J672" s="110"/>
      <c r="K672" s="165" t="s">
        <v>6362</v>
      </c>
      <c r="L672" s="165" t="s">
        <v>6362</v>
      </c>
      <c r="M672" s="116">
        <v>620</v>
      </c>
      <c r="N672" s="116">
        <v>620</v>
      </c>
      <c r="O672" s="110" t="s">
        <v>239</v>
      </c>
      <c r="P672" s="110" t="s">
        <v>239</v>
      </c>
      <c r="Q672" s="110" t="s">
        <v>239</v>
      </c>
      <c r="R672" s="110" t="s">
        <v>236</v>
      </c>
      <c r="S672" s="110"/>
      <c r="T672" s="110">
        <f t="shared" si="10"/>
        <v>620</v>
      </c>
      <c r="U672" s="110"/>
      <c r="V672" s="110"/>
      <c r="W672" s="110"/>
      <c r="X672" s="114" t="s">
        <v>5082</v>
      </c>
      <c r="Y672" s="110" t="s">
        <v>5082</v>
      </c>
      <c r="AA672" s="113" t="e">
        <v>#N/A</v>
      </c>
      <c r="AB672" s="113" t="e">
        <v>#N/A</v>
      </c>
    </row>
    <row r="673" spans="1:28">
      <c r="A673" s="108">
        <v>672</v>
      </c>
      <c r="B673" s="108" t="s">
        <v>225</v>
      </c>
      <c r="C673" s="109">
        <v>46071</v>
      </c>
      <c r="D673" s="110" t="s">
        <v>226</v>
      </c>
      <c r="E673" s="110" t="s">
        <v>5252</v>
      </c>
      <c r="F673" s="110" t="s">
        <v>236</v>
      </c>
      <c r="G673" s="110">
        <v>18</v>
      </c>
      <c r="H673" s="110" t="s">
        <v>6363</v>
      </c>
      <c r="I673" s="110">
        <v>9444351634</v>
      </c>
      <c r="J673" s="110"/>
      <c r="K673" s="165" t="s">
        <v>6364</v>
      </c>
      <c r="L673" s="165" t="s">
        <v>6364</v>
      </c>
      <c r="M673" s="116">
        <v>950</v>
      </c>
      <c r="N673" s="116">
        <v>950</v>
      </c>
      <c r="O673" s="110" t="s">
        <v>239</v>
      </c>
      <c r="P673" s="110" t="s">
        <v>239</v>
      </c>
      <c r="Q673" s="110" t="s">
        <v>239</v>
      </c>
      <c r="R673" s="110" t="s">
        <v>236</v>
      </c>
      <c r="S673" s="110"/>
      <c r="T673" s="110">
        <f t="shared" si="10"/>
        <v>950</v>
      </c>
      <c r="U673" s="110"/>
      <c r="V673" s="110"/>
      <c r="W673" s="110"/>
      <c r="X673" s="114" t="s">
        <v>5082</v>
      </c>
      <c r="Y673" s="110" t="s">
        <v>5082</v>
      </c>
      <c r="AA673" s="113" t="e">
        <v>#N/A</v>
      </c>
      <c r="AB673" s="113" t="e">
        <v>#N/A</v>
      </c>
    </row>
    <row r="674" spans="1:28">
      <c r="A674" s="108">
        <v>673</v>
      </c>
      <c r="B674" s="108" t="s">
        <v>225</v>
      </c>
      <c r="C674" s="109">
        <v>46071</v>
      </c>
      <c r="D674" s="110" t="s">
        <v>226</v>
      </c>
      <c r="E674" s="110" t="s">
        <v>5252</v>
      </c>
      <c r="F674" s="110" t="s">
        <v>6232</v>
      </c>
      <c r="G674" s="110">
        <v>18</v>
      </c>
      <c r="H674" s="110" t="s">
        <v>6365</v>
      </c>
      <c r="I674" s="110">
        <v>9866937974</v>
      </c>
      <c r="J674" s="110"/>
      <c r="K674" s="165" t="s">
        <v>6366</v>
      </c>
      <c r="L674" s="165" t="s">
        <v>6366</v>
      </c>
      <c r="M674" s="116">
        <v>4603</v>
      </c>
      <c r="N674" s="116">
        <v>4605</v>
      </c>
      <c r="O674" s="110" t="s">
        <v>239</v>
      </c>
      <c r="P674" s="110" t="s">
        <v>239</v>
      </c>
      <c r="Q674" s="110" t="s">
        <v>239</v>
      </c>
      <c r="R674" s="110" t="s">
        <v>298</v>
      </c>
      <c r="S674" s="110"/>
      <c r="T674" s="110">
        <f t="shared" si="10"/>
        <v>4605</v>
      </c>
      <c r="U674" s="110"/>
      <c r="V674" s="110"/>
      <c r="W674" s="110"/>
      <c r="X674" s="114" t="s">
        <v>298</v>
      </c>
      <c r="Y674" s="110" t="s">
        <v>6237</v>
      </c>
      <c r="AA674" s="113" t="e">
        <v>#N/A</v>
      </c>
      <c r="AB674" s="113" t="e">
        <v>#N/A</v>
      </c>
    </row>
    <row r="675" spans="1:28">
      <c r="A675" s="108">
        <v>674</v>
      </c>
      <c r="B675" s="108" t="s">
        <v>225</v>
      </c>
      <c r="C675" s="109">
        <v>46071</v>
      </c>
      <c r="D675" s="110" t="s">
        <v>226</v>
      </c>
      <c r="E675" s="110" t="s">
        <v>5252</v>
      </c>
      <c r="F675" s="110" t="s">
        <v>6232</v>
      </c>
      <c r="G675" s="110">
        <v>18</v>
      </c>
      <c r="H675" s="110" t="s">
        <v>6367</v>
      </c>
      <c r="I675" s="110">
        <v>9515292939</v>
      </c>
      <c r="J675" s="110"/>
      <c r="K675" s="165" t="s">
        <v>6368</v>
      </c>
      <c r="L675" s="165" t="s">
        <v>6368</v>
      </c>
      <c r="M675" s="116">
        <v>10923</v>
      </c>
      <c r="N675" s="116">
        <v>10925</v>
      </c>
      <c r="O675" s="110" t="s">
        <v>239</v>
      </c>
      <c r="P675" s="110" t="s">
        <v>239</v>
      </c>
      <c r="Q675" s="110" t="s">
        <v>239</v>
      </c>
      <c r="R675" s="110" t="s">
        <v>298</v>
      </c>
      <c r="S675" s="110"/>
      <c r="T675" s="110">
        <f t="shared" si="10"/>
        <v>10925</v>
      </c>
      <c r="U675" s="110"/>
      <c r="V675" s="110"/>
      <c r="W675" s="110"/>
      <c r="X675" s="114" t="s">
        <v>1222</v>
      </c>
      <c r="Y675" s="110" t="s">
        <v>6369</v>
      </c>
      <c r="Z675" s="113" t="s">
        <v>6370</v>
      </c>
      <c r="AA675" s="113" t="e">
        <v>#N/A</v>
      </c>
      <c r="AB675" s="113" t="e">
        <v>#N/A</v>
      </c>
    </row>
    <row r="676" spans="1:28" s="169" customFormat="1" ht="15">
      <c r="A676" s="108">
        <v>675</v>
      </c>
      <c r="B676" s="108" t="s">
        <v>225</v>
      </c>
      <c r="C676" s="109">
        <v>46071</v>
      </c>
      <c r="D676" s="110" t="s">
        <v>226</v>
      </c>
      <c r="E676" s="110" t="s">
        <v>5252</v>
      </c>
      <c r="F676" s="110" t="s">
        <v>6232</v>
      </c>
      <c r="G676" s="110">
        <v>18</v>
      </c>
      <c r="H676" s="168" t="s">
        <v>6371</v>
      </c>
      <c r="I676" s="168" t="s">
        <v>6372</v>
      </c>
      <c r="J676" s="110"/>
      <c r="K676" s="168" t="s">
        <v>6373</v>
      </c>
      <c r="L676" s="168" t="s">
        <v>6373</v>
      </c>
      <c r="M676" s="168">
        <v>40420</v>
      </c>
      <c r="N676" s="168">
        <v>15425</v>
      </c>
      <c r="O676" s="110" t="s">
        <v>239</v>
      </c>
      <c r="P676" s="110" t="s">
        <v>239</v>
      </c>
      <c r="Q676" s="168" t="s">
        <v>239</v>
      </c>
      <c r="R676" s="110" t="s">
        <v>298</v>
      </c>
      <c r="S676" s="110"/>
      <c r="T676" s="110">
        <f t="shared" si="10"/>
        <v>15425</v>
      </c>
      <c r="U676" s="110"/>
      <c r="V676" s="110"/>
      <c r="W676" s="110"/>
      <c r="X676" s="168" t="s">
        <v>1222</v>
      </c>
      <c r="Y676" s="168" t="s">
        <v>1280</v>
      </c>
      <c r="Z676" s="169" t="s">
        <v>5404</v>
      </c>
      <c r="AA676" s="169" t="e">
        <v>#N/A</v>
      </c>
      <c r="AB676" s="169" t="e">
        <v>#N/A</v>
      </c>
    </row>
    <row r="677" spans="1:28" ht="15">
      <c r="A677" s="108">
        <v>676</v>
      </c>
      <c r="B677" s="108" t="s">
        <v>225</v>
      </c>
      <c r="C677" s="109">
        <v>46071</v>
      </c>
      <c r="D677" s="110" t="s">
        <v>226</v>
      </c>
      <c r="E677" s="110" t="s">
        <v>5252</v>
      </c>
      <c r="F677" s="110" t="s">
        <v>767</v>
      </c>
      <c r="G677" s="110">
        <v>18</v>
      </c>
      <c r="H677" s="110" t="s">
        <v>6374</v>
      </c>
      <c r="I677" s="110">
        <v>7981914550</v>
      </c>
      <c r="J677" s="170">
        <v>6305718430</v>
      </c>
      <c r="K677" s="165" t="s">
        <v>6375</v>
      </c>
      <c r="L677" s="165" t="s">
        <v>6375</v>
      </c>
      <c r="M677" s="116">
        <v>66530</v>
      </c>
      <c r="N677" s="116">
        <v>66530</v>
      </c>
      <c r="O677" s="171">
        <v>46081</v>
      </c>
      <c r="P677" t="s">
        <v>774</v>
      </c>
      <c r="Q677" s="110" t="s">
        <v>52</v>
      </c>
      <c r="R677" s="110" t="s">
        <v>772</v>
      </c>
      <c r="S677" s="110"/>
      <c r="T677" s="110">
        <f t="shared" si="10"/>
        <v>66530</v>
      </c>
      <c r="U677" s="110"/>
      <c r="V677" s="110"/>
      <c r="W677" s="110"/>
      <c r="X677" s="114" t="s">
        <v>774</v>
      </c>
      <c r="Y677" t="s">
        <v>3719</v>
      </c>
      <c r="Z677" s="113" t="s">
        <v>6376</v>
      </c>
      <c r="AA677" s="113" t="e">
        <v>#N/A</v>
      </c>
      <c r="AB677" s="113" t="e">
        <v>#N/A</v>
      </c>
    </row>
    <row r="678" spans="1:28" ht="15">
      <c r="A678" s="108">
        <v>677</v>
      </c>
      <c r="B678" s="108" t="s">
        <v>225</v>
      </c>
      <c r="C678" s="109">
        <v>46071</v>
      </c>
      <c r="D678" s="110" t="s">
        <v>226</v>
      </c>
      <c r="E678" s="110" t="s">
        <v>5252</v>
      </c>
      <c r="F678" s="110" t="s">
        <v>767</v>
      </c>
      <c r="G678" s="110">
        <v>18</v>
      </c>
      <c r="H678" s="110" t="s">
        <v>6377</v>
      </c>
      <c r="I678" s="110">
        <v>9989262022</v>
      </c>
      <c r="J678" s="170" t="s">
        <v>6378</v>
      </c>
      <c r="K678" s="165" t="s">
        <v>6379</v>
      </c>
      <c r="L678" s="165" t="s">
        <v>6379</v>
      </c>
      <c r="M678" s="116">
        <v>40000</v>
      </c>
      <c r="N678" s="116">
        <v>40000</v>
      </c>
      <c r="O678" s="171">
        <v>46081</v>
      </c>
      <c r="P678" t="s">
        <v>790</v>
      </c>
      <c r="Q678" s="110" t="s">
        <v>52</v>
      </c>
      <c r="R678" s="110" t="s">
        <v>772</v>
      </c>
      <c r="S678" s="110">
        <v>20000</v>
      </c>
      <c r="T678" s="110">
        <f t="shared" si="10"/>
        <v>20000</v>
      </c>
      <c r="U678" s="111">
        <v>46093</v>
      </c>
      <c r="V678" s="110" t="s">
        <v>6380</v>
      </c>
      <c r="W678" s="110"/>
      <c r="X678" s="114" t="s">
        <v>790</v>
      </c>
      <c r="Y678" t="s">
        <v>1032</v>
      </c>
      <c r="Z678" s="113" t="s">
        <v>6381</v>
      </c>
      <c r="AA678" s="113" t="s">
        <v>4983</v>
      </c>
      <c r="AB678" s="113" t="s">
        <v>4479</v>
      </c>
    </row>
    <row r="679" spans="1:28" ht="15">
      <c r="A679" s="108">
        <v>678</v>
      </c>
      <c r="B679" s="108" t="s">
        <v>225</v>
      </c>
      <c r="C679" s="109">
        <v>46071</v>
      </c>
      <c r="D679" s="110" t="s">
        <v>226</v>
      </c>
      <c r="E679" s="110" t="s">
        <v>5252</v>
      </c>
      <c r="F679" s="110" t="s">
        <v>767</v>
      </c>
      <c r="G679" s="110">
        <v>18</v>
      </c>
      <c r="H679" s="110" t="s">
        <v>6382</v>
      </c>
      <c r="I679" s="110">
        <v>9553904971</v>
      </c>
      <c r="J679" s="170">
        <v>8688155781</v>
      </c>
      <c r="K679" s="165" t="s">
        <v>6383</v>
      </c>
      <c r="L679" s="165" t="s">
        <v>6383</v>
      </c>
      <c r="M679" s="116">
        <v>15470</v>
      </c>
      <c r="N679" s="116">
        <v>15470</v>
      </c>
      <c r="O679" s="171">
        <v>46081</v>
      </c>
      <c r="P679" t="s">
        <v>790</v>
      </c>
      <c r="Q679" s="110" t="s">
        <v>52</v>
      </c>
      <c r="R679" s="110" t="s">
        <v>772</v>
      </c>
      <c r="S679" s="110">
        <v>15470</v>
      </c>
      <c r="T679" s="110">
        <f t="shared" si="10"/>
        <v>0</v>
      </c>
      <c r="U679" s="111">
        <v>46074</v>
      </c>
      <c r="V679" s="110" t="s">
        <v>6384</v>
      </c>
      <c r="W679" s="110" t="s">
        <v>54</v>
      </c>
      <c r="X679" s="114" t="s">
        <v>790</v>
      </c>
      <c r="Y679" t="s">
        <v>6385</v>
      </c>
      <c r="AA679" s="113" t="e">
        <v>#N/A</v>
      </c>
      <c r="AB679" s="113" t="e">
        <v>#N/A</v>
      </c>
    </row>
    <row r="680" spans="1:28">
      <c r="A680" s="108">
        <v>679</v>
      </c>
      <c r="B680" s="108" t="s">
        <v>225</v>
      </c>
      <c r="C680" s="109">
        <v>46073</v>
      </c>
      <c r="D680" s="110" t="s">
        <v>933</v>
      </c>
      <c r="E680" s="110" t="s">
        <v>5252</v>
      </c>
      <c r="F680" s="110" t="s">
        <v>1413</v>
      </c>
      <c r="G680" s="110">
        <v>20</v>
      </c>
      <c r="H680" s="118" t="s">
        <v>6386</v>
      </c>
      <c r="I680" s="118">
        <v>9705190843</v>
      </c>
      <c r="J680" s="108"/>
      <c r="K680" s="118" t="s">
        <v>6387</v>
      </c>
      <c r="L680" s="118" t="s">
        <v>6387</v>
      </c>
      <c r="M680" s="118">
        <v>9090</v>
      </c>
      <c r="N680" s="118">
        <v>9090</v>
      </c>
      <c r="O680" s="172">
        <v>46078</v>
      </c>
      <c r="P680" s="173" t="s">
        <v>1398</v>
      </c>
      <c r="Q680" s="110" t="s">
        <v>52</v>
      </c>
      <c r="R680" s="110" t="s">
        <v>1398</v>
      </c>
      <c r="S680" s="108">
        <v>9000</v>
      </c>
      <c r="T680" s="110">
        <f t="shared" si="10"/>
        <v>90</v>
      </c>
      <c r="U680" s="109">
        <v>46076</v>
      </c>
      <c r="V680" s="108" t="s">
        <v>6388</v>
      </c>
      <c r="W680" s="108" t="s">
        <v>54</v>
      </c>
      <c r="X680" s="118" t="s">
        <v>1398</v>
      </c>
      <c r="Y680" s="118" t="s">
        <v>6389</v>
      </c>
      <c r="AA680" s="113" t="e">
        <v>#N/A</v>
      </c>
      <c r="AB680" s="113" t="e">
        <v>#N/A</v>
      </c>
    </row>
    <row r="681" spans="1:28">
      <c r="A681" s="108">
        <v>680</v>
      </c>
      <c r="B681" s="108" t="s">
        <v>225</v>
      </c>
      <c r="C681" s="109">
        <v>46073</v>
      </c>
      <c r="D681" s="110" t="s">
        <v>226</v>
      </c>
      <c r="E681" s="110" t="s">
        <v>5252</v>
      </c>
      <c r="F681" s="110" t="s">
        <v>310</v>
      </c>
      <c r="G681" s="110">
        <v>20</v>
      </c>
      <c r="H681" s="118" t="s">
        <v>6390</v>
      </c>
      <c r="I681" s="118" t="s">
        <v>6391</v>
      </c>
      <c r="J681" s="108"/>
      <c r="K681" s="118" t="s">
        <v>6392</v>
      </c>
      <c r="L681" s="118" t="s">
        <v>6392</v>
      </c>
      <c r="M681" s="118">
        <v>9710</v>
      </c>
      <c r="N681" s="118">
        <v>9710</v>
      </c>
      <c r="O681" s="172">
        <v>46082</v>
      </c>
      <c r="P681" s="173" t="s">
        <v>780</v>
      </c>
      <c r="Q681" s="118" t="s">
        <v>6181</v>
      </c>
      <c r="R681" s="135" t="s">
        <v>2158</v>
      </c>
      <c r="S681" s="108"/>
      <c r="T681" s="110">
        <f t="shared" si="10"/>
        <v>9710</v>
      </c>
      <c r="U681" s="108"/>
      <c r="V681" s="108"/>
      <c r="W681" s="108"/>
      <c r="X681" s="118" t="s">
        <v>328</v>
      </c>
      <c r="Y681" s="118" t="s">
        <v>780</v>
      </c>
      <c r="AA681" s="113" t="e">
        <v>#N/A</v>
      </c>
      <c r="AB681" s="113" t="e">
        <v>#N/A</v>
      </c>
    </row>
    <row r="682" spans="1:28">
      <c r="A682" s="108">
        <v>681</v>
      </c>
      <c r="B682" s="108" t="s">
        <v>225</v>
      </c>
      <c r="C682" s="109">
        <v>46073</v>
      </c>
      <c r="D682" s="110" t="s">
        <v>226</v>
      </c>
      <c r="E682" s="110" t="s">
        <v>5252</v>
      </c>
      <c r="F682" s="110" t="s">
        <v>310</v>
      </c>
      <c r="G682" s="110">
        <v>20</v>
      </c>
      <c r="H682" s="118" t="s">
        <v>6393</v>
      </c>
      <c r="I682" s="118" t="s">
        <v>6394</v>
      </c>
      <c r="J682" s="108"/>
      <c r="K682" s="118" t="s">
        <v>6395</v>
      </c>
      <c r="L682" s="118" t="s">
        <v>6395</v>
      </c>
      <c r="M682" s="118">
        <v>16150</v>
      </c>
      <c r="N682" s="118">
        <v>16150</v>
      </c>
      <c r="O682" s="172">
        <v>46082</v>
      </c>
      <c r="P682" s="173" t="s">
        <v>2442</v>
      </c>
      <c r="Q682" s="118" t="s">
        <v>6181</v>
      </c>
      <c r="R682" s="135" t="s">
        <v>2158</v>
      </c>
      <c r="S682" s="108"/>
      <c r="T682" s="110">
        <f t="shared" si="10"/>
        <v>16150</v>
      </c>
      <c r="U682" s="108"/>
      <c r="V682" s="108"/>
      <c r="W682" s="108"/>
      <c r="X682" s="118" t="s">
        <v>328</v>
      </c>
      <c r="Y682" s="118" t="s">
        <v>2442</v>
      </c>
      <c r="Z682" s="113" t="s">
        <v>6396</v>
      </c>
      <c r="AA682" s="113" t="s">
        <v>11</v>
      </c>
      <c r="AB682" s="113" t="s">
        <v>4969</v>
      </c>
    </row>
    <row r="683" spans="1:28">
      <c r="A683" s="108">
        <v>682</v>
      </c>
      <c r="B683" s="108" t="s">
        <v>225</v>
      </c>
      <c r="C683" s="109">
        <v>46073</v>
      </c>
      <c r="D683" s="110" t="s">
        <v>226</v>
      </c>
      <c r="E683" s="110" t="s">
        <v>5252</v>
      </c>
      <c r="F683" s="110" t="s">
        <v>310</v>
      </c>
      <c r="G683" s="110">
        <v>20</v>
      </c>
      <c r="H683" s="118" t="s">
        <v>6397</v>
      </c>
      <c r="I683" s="118" t="s">
        <v>6398</v>
      </c>
      <c r="J683" s="108"/>
      <c r="K683" s="118" t="s">
        <v>6399</v>
      </c>
      <c r="L683" s="118" t="s">
        <v>6399</v>
      </c>
      <c r="M683" s="174">
        <v>3920</v>
      </c>
      <c r="N683" s="174">
        <v>3920</v>
      </c>
      <c r="O683" s="110" t="s">
        <v>239</v>
      </c>
      <c r="P683" s="110" t="s">
        <v>239</v>
      </c>
      <c r="Q683" s="118" t="s">
        <v>239</v>
      </c>
      <c r="R683" s="110" t="s">
        <v>3580</v>
      </c>
      <c r="S683" s="108"/>
      <c r="T683" s="110">
        <f t="shared" si="10"/>
        <v>3920</v>
      </c>
      <c r="U683" s="108"/>
      <c r="V683" s="108"/>
      <c r="W683" s="108"/>
      <c r="X683" s="118" t="s">
        <v>643</v>
      </c>
      <c r="Y683" s="118" t="s">
        <v>1280</v>
      </c>
      <c r="AA683" s="113" t="e">
        <v>#N/A</v>
      </c>
      <c r="AB683" s="113" t="e">
        <v>#N/A</v>
      </c>
    </row>
    <row r="684" spans="1:28">
      <c r="A684" s="108">
        <v>683</v>
      </c>
      <c r="B684" s="108" t="s">
        <v>298</v>
      </c>
      <c r="C684" s="109">
        <v>46073</v>
      </c>
      <c r="D684" s="110" t="s">
        <v>226</v>
      </c>
      <c r="E684" s="110" t="s">
        <v>5252</v>
      </c>
      <c r="F684" s="110" t="s">
        <v>310</v>
      </c>
      <c r="G684" s="110">
        <v>20</v>
      </c>
      <c r="H684" s="118" t="s">
        <v>6400</v>
      </c>
      <c r="I684" s="118" t="s">
        <v>6401</v>
      </c>
      <c r="J684" s="108"/>
      <c r="K684" s="118" t="s">
        <v>6402</v>
      </c>
      <c r="L684" s="118" t="s">
        <v>6402</v>
      </c>
      <c r="M684" s="174">
        <v>4382.99</v>
      </c>
      <c r="N684" s="174">
        <v>4382.99</v>
      </c>
      <c r="O684" s="110" t="s">
        <v>239</v>
      </c>
      <c r="P684" s="110" t="s">
        <v>239</v>
      </c>
      <c r="Q684" s="118" t="s">
        <v>239</v>
      </c>
      <c r="R684" s="110" t="s">
        <v>3580</v>
      </c>
      <c r="S684" s="108"/>
      <c r="T684" s="110">
        <f t="shared" si="10"/>
        <v>4382.99</v>
      </c>
      <c r="U684" s="108"/>
      <c r="V684" s="108"/>
      <c r="W684" s="108"/>
      <c r="X684" s="118" t="s">
        <v>328</v>
      </c>
      <c r="Y684" s="118" t="s">
        <v>2418</v>
      </c>
      <c r="AA684" s="113" t="e">
        <v>#N/A</v>
      </c>
      <c r="AB684" s="113" t="e">
        <v>#N/A</v>
      </c>
    </row>
    <row r="685" spans="1:28">
      <c r="A685" s="108">
        <v>684</v>
      </c>
      <c r="B685" s="108" t="s">
        <v>225</v>
      </c>
      <c r="C685" s="109">
        <v>46073</v>
      </c>
      <c r="D685" s="110" t="s">
        <v>226</v>
      </c>
      <c r="E685" s="110" t="s">
        <v>5252</v>
      </c>
      <c r="F685" s="110" t="s">
        <v>310</v>
      </c>
      <c r="G685" s="110">
        <v>20</v>
      </c>
      <c r="H685" s="118" t="s">
        <v>6403</v>
      </c>
      <c r="I685" s="118" t="s">
        <v>6404</v>
      </c>
      <c r="J685" s="108"/>
      <c r="K685" s="118" t="s">
        <v>6405</v>
      </c>
      <c r="L685" s="118" t="s">
        <v>6405</v>
      </c>
      <c r="M685" s="174">
        <v>2910</v>
      </c>
      <c r="N685" s="174">
        <v>2910</v>
      </c>
      <c r="O685" s="110" t="s">
        <v>239</v>
      </c>
      <c r="P685" s="110" t="s">
        <v>239</v>
      </c>
      <c r="Q685" s="118" t="s">
        <v>239</v>
      </c>
      <c r="R685" s="110" t="s">
        <v>3580</v>
      </c>
      <c r="S685" s="108"/>
      <c r="T685" s="110">
        <f t="shared" si="10"/>
        <v>2910</v>
      </c>
      <c r="U685" s="108"/>
      <c r="V685" s="108"/>
      <c r="W685" s="108"/>
      <c r="X685" s="118" t="s">
        <v>315</v>
      </c>
      <c r="Y685" s="118" t="s">
        <v>300</v>
      </c>
      <c r="AA685" s="113" t="e">
        <v>#N/A</v>
      </c>
      <c r="AB685" s="113" t="e">
        <v>#N/A</v>
      </c>
    </row>
    <row r="686" spans="1:28">
      <c r="A686" s="108">
        <v>685</v>
      </c>
      <c r="B686" s="108" t="s">
        <v>225</v>
      </c>
      <c r="C686" s="109">
        <v>46073</v>
      </c>
      <c r="D686" s="110" t="s">
        <v>226</v>
      </c>
      <c r="E686" s="110" t="s">
        <v>5252</v>
      </c>
      <c r="F686" s="110" t="s">
        <v>310</v>
      </c>
      <c r="G686" s="110">
        <v>20</v>
      </c>
      <c r="H686" s="118" t="s">
        <v>6406</v>
      </c>
      <c r="I686" s="118" t="s">
        <v>6407</v>
      </c>
      <c r="J686" s="108"/>
      <c r="K686" s="118" t="s">
        <v>6408</v>
      </c>
      <c r="L686" s="118" t="s">
        <v>6408</v>
      </c>
      <c r="M686" s="174">
        <v>5020</v>
      </c>
      <c r="N686" s="174">
        <v>5020</v>
      </c>
      <c r="O686" s="110" t="s">
        <v>239</v>
      </c>
      <c r="P686" s="110" t="s">
        <v>239</v>
      </c>
      <c r="Q686" s="118" t="s">
        <v>239</v>
      </c>
      <c r="R686" s="110" t="s">
        <v>3580</v>
      </c>
      <c r="S686" s="108"/>
      <c r="T686" s="110">
        <f t="shared" si="10"/>
        <v>5020</v>
      </c>
      <c r="U686" s="108"/>
      <c r="V686" s="108"/>
      <c r="W686" s="108"/>
      <c r="X686" s="118" t="s">
        <v>328</v>
      </c>
      <c r="Y686" s="118" t="s">
        <v>660</v>
      </c>
      <c r="AA686" s="113" t="e">
        <v>#N/A</v>
      </c>
      <c r="AB686" s="113" t="e">
        <v>#N/A</v>
      </c>
    </row>
    <row r="687" spans="1:28">
      <c r="A687" s="108">
        <v>686</v>
      </c>
      <c r="B687" s="108" t="s">
        <v>225</v>
      </c>
      <c r="C687" s="109">
        <v>46073</v>
      </c>
      <c r="D687" s="110" t="s">
        <v>226</v>
      </c>
      <c r="E687" s="110" t="s">
        <v>5252</v>
      </c>
      <c r="F687" s="110" t="s">
        <v>310</v>
      </c>
      <c r="G687" s="110">
        <v>20</v>
      </c>
      <c r="H687" s="118" t="s">
        <v>6409</v>
      </c>
      <c r="I687" s="118" t="s">
        <v>6410</v>
      </c>
      <c r="J687" s="108"/>
      <c r="K687" s="118" t="s">
        <v>6411</v>
      </c>
      <c r="L687" s="118" t="s">
        <v>6411</v>
      </c>
      <c r="M687" s="174">
        <v>2700</v>
      </c>
      <c r="N687" s="174">
        <v>2700</v>
      </c>
      <c r="O687" s="110" t="s">
        <v>239</v>
      </c>
      <c r="P687" s="110" t="s">
        <v>239</v>
      </c>
      <c r="Q687" s="118" t="s">
        <v>239</v>
      </c>
      <c r="R687" s="110" t="s">
        <v>3580</v>
      </c>
      <c r="S687" s="108"/>
      <c r="T687" s="110">
        <f t="shared" si="10"/>
        <v>2700</v>
      </c>
      <c r="U687" s="108"/>
      <c r="V687" s="108"/>
      <c r="W687" s="108"/>
      <c r="X687" s="118" t="s">
        <v>315</v>
      </c>
      <c r="Y687" s="118" t="s">
        <v>307</v>
      </c>
      <c r="AA687" s="113" t="e">
        <v>#N/A</v>
      </c>
      <c r="AB687" s="113" t="e">
        <v>#N/A</v>
      </c>
    </row>
    <row r="688" spans="1:28">
      <c r="A688" s="108">
        <v>687</v>
      </c>
      <c r="B688" s="108" t="s">
        <v>225</v>
      </c>
      <c r="C688" s="109">
        <v>46073</v>
      </c>
      <c r="D688" s="110" t="s">
        <v>226</v>
      </c>
      <c r="E688" s="110" t="s">
        <v>5252</v>
      </c>
      <c r="F688" s="110" t="s">
        <v>310</v>
      </c>
      <c r="G688" s="110">
        <v>20</v>
      </c>
      <c r="H688" s="118" t="s">
        <v>6412</v>
      </c>
      <c r="I688" s="118" t="s">
        <v>6413</v>
      </c>
      <c r="J688" s="108"/>
      <c r="K688" s="118" t="s">
        <v>6414</v>
      </c>
      <c r="L688" s="118" t="s">
        <v>6414</v>
      </c>
      <c r="M688" s="174">
        <v>3810</v>
      </c>
      <c r="N688" s="174">
        <v>3810</v>
      </c>
      <c r="O688" s="172">
        <v>46080</v>
      </c>
      <c r="P688" s="173" t="s">
        <v>2158</v>
      </c>
      <c r="Q688" s="118" t="s">
        <v>52</v>
      </c>
      <c r="R688" s="110" t="s">
        <v>3580</v>
      </c>
      <c r="S688" s="108">
        <v>3810</v>
      </c>
      <c r="T688" s="110">
        <f t="shared" si="10"/>
        <v>0</v>
      </c>
      <c r="U688" s="109">
        <v>46080</v>
      </c>
      <c r="V688" s="108" t="s">
        <v>6415</v>
      </c>
      <c r="W688" s="108" t="s">
        <v>54</v>
      </c>
      <c r="X688" s="118" t="s">
        <v>328</v>
      </c>
      <c r="Y688" s="118" t="s">
        <v>6416</v>
      </c>
      <c r="AA688" s="113" t="s">
        <v>11</v>
      </c>
      <c r="AB688" s="113" t="s">
        <v>4254</v>
      </c>
    </row>
    <row r="689" spans="1:28">
      <c r="A689" s="108">
        <v>688</v>
      </c>
      <c r="B689" s="108" t="s">
        <v>225</v>
      </c>
      <c r="C689" s="109">
        <v>46073</v>
      </c>
      <c r="D689" s="110" t="s">
        <v>226</v>
      </c>
      <c r="E689" s="110" t="s">
        <v>5252</v>
      </c>
      <c r="F689" s="110" t="s">
        <v>310</v>
      </c>
      <c r="G689" s="110">
        <v>20</v>
      </c>
      <c r="H689" s="118" t="s">
        <v>6417</v>
      </c>
      <c r="I689" s="108">
        <v>9177009897</v>
      </c>
      <c r="J689" s="108"/>
      <c r="K689" s="175" t="s">
        <v>6418</v>
      </c>
      <c r="L689" s="175" t="s">
        <v>6418</v>
      </c>
      <c r="M689" s="174">
        <v>11100</v>
      </c>
      <c r="N689" s="174">
        <v>11100</v>
      </c>
      <c r="O689" s="110" t="s">
        <v>239</v>
      </c>
      <c r="P689" s="110" t="s">
        <v>239</v>
      </c>
      <c r="Q689" s="108" t="s">
        <v>239</v>
      </c>
      <c r="R689" s="110" t="s">
        <v>3580</v>
      </c>
      <c r="S689" s="108"/>
      <c r="T689" s="110">
        <f t="shared" si="10"/>
        <v>11100</v>
      </c>
      <c r="U689" s="108"/>
      <c r="V689" s="108" t="s">
        <v>6419</v>
      </c>
      <c r="W689" s="108"/>
      <c r="X689" s="108"/>
      <c r="Y689" s="108"/>
      <c r="Z689" s="113" t="s">
        <v>6420</v>
      </c>
      <c r="AA689" s="113" t="e">
        <v>#N/A</v>
      </c>
      <c r="AB689" s="113" t="e">
        <v>#N/A</v>
      </c>
    </row>
    <row r="690" spans="1:28">
      <c r="A690" s="108">
        <v>689</v>
      </c>
      <c r="B690" s="108" t="s">
        <v>225</v>
      </c>
      <c r="C690" s="109">
        <v>46073</v>
      </c>
      <c r="D690" s="110" t="s">
        <v>226</v>
      </c>
      <c r="E690" s="110" t="s">
        <v>5252</v>
      </c>
      <c r="F690" s="110" t="s">
        <v>310</v>
      </c>
      <c r="G690" s="110">
        <v>20</v>
      </c>
      <c r="H690" s="118" t="s">
        <v>6421</v>
      </c>
      <c r="I690" s="108">
        <v>8179904559</v>
      </c>
      <c r="J690" s="108"/>
      <c r="K690" s="175" t="s">
        <v>6422</v>
      </c>
      <c r="L690" s="175" t="s">
        <v>6422</v>
      </c>
      <c r="M690" s="174">
        <v>2920</v>
      </c>
      <c r="N690" s="174">
        <v>2920</v>
      </c>
      <c r="O690" s="110" t="s">
        <v>239</v>
      </c>
      <c r="P690" s="110" t="s">
        <v>239</v>
      </c>
      <c r="Q690" s="108" t="s">
        <v>239</v>
      </c>
      <c r="R690" s="110" t="s">
        <v>3580</v>
      </c>
      <c r="S690" s="108"/>
      <c r="T690" s="110">
        <f t="shared" si="10"/>
        <v>2920</v>
      </c>
      <c r="U690" s="108"/>
      <c r="V690" s="108" t="s">
        <v>6423</v>
      </c>
      <c r="W690" s="108"/>
      <c r="X690" s="108"/>
      <c r="Y690" s="108"/>
      <c r="AA690" s="113" t="e">
        <v>#N/A</v>
      </c>
      <c r="AB690" s="113" t="e">
        <v>#N/A</v>
      </c>
    </row>
    <row r="691" spans="1:28">
      <c r="A691" s="108">
        <v>690</v>
      </c>
      <c r="B691" s="108" t="s">
        <v>225</v>
      </c>
      <c r="C691" s="109">
        <v>46073</v>
      </c>
      <c r="D691" s="110" t="s">
        <v>226</v>
      </c>
      <c r="E691" s="110" t="s">
        <v>5252</v>
      </c>
      <c r="F691" s="110" t="s">
        <v>310</v>
      </c>
      <c r="G691" s="110">
        <v>20</v>
      </c>
      <c r="H691" s="118" t="s">
        <v>6424</v>
      </c>
      <c r="I691" s="108">
        <v>8978007901</v>
      </c>
      <c r="J691" s="108"/>
      <c r="K691" s="175" t="s">
        <v>6425</v>
      </c>
      <c r="L691" s="175" t="s">
        <v>6425</v>
      </c>
      <c r="M691" s="174">
        <v>2930</v>
      </c>
      <c r="N691" s="174">
        <v>2930</v>
      </c>
      <c r="O691" s="110" t="s">
        <v>239</v>
      </c>
      <c r="P691" s="110" t="s">
        <v>239</v>
      </c>
      <c r="Q691" s="108" t="s">
        <v>239</v>
      </c>
      <c r="R691" s="110" t="s">
        <v>3580</v>
      </c>
      <c r="S691" s="108"/>
      <c r="T691" s="110">
        <f t="shared" si="10"/>
        <v>2930</v>
      </c>
      <c r="U691" s="108"/>
      <c r="V691" s="108" t="s">
        <v>6423</v>
      </c>
      <c r="W691" s="108"/>
      <c r="X691" s="108"/>
      <c r="Y691" s="108"/>
      <c r="AA691" s="113" t="e">
        <v>#N/A</v>
      </c>
      <c r="AB691" s="113" t="e">
        <v>#N/A</v>
      </c>
    </row>
    <row r="692" spans="1:28">
      <c r="A692" s="108">
        <v>691</v>
      </c>
      <c r="B692" s="108" t="s">
        <v>225</v>
      </c>
      <c r="C692" s="109">
        <v>46073</v>
      </c>
      <c r="D692" s="110" t="s">
        <v>226</v>
      </c>
      <c r="E692" s="110" t="s">
        <v>5252</v>
      </c>
      <c r="F692" s="110" t="s">
        <v>310</v>
      </c>
      <c r="G692" s="110">
        <v>20</v>
      </c>
      <c r="H692" s="118" t="s">
        <v>6426</v>
      </c>
      <c r="I692" s="108">
        <v>8341869190</v>
      </c>
      <c r="J692" s="108"/>
      <c r="K692" s="175" t="s">
        <v>6427</v>
      </c>
      <c r="L692" s="175" t="s">
        <v>6427</v>
      </c>
      <c r="M692" s="174">
        <v>3570</v>
      </c>
      <c r="N692" s="174">
        <v>3570</v>
      </c>
      <c r="O692" s="110" t="s">
        <v>239</v>
      </c>
      <c r="P692" s="110" t="s">
        <v>239</v>
      </c>
      <c r="Q692" s="108" t="s">
        <v>239</v>
      </c>
      <c r="R692" s="110" t="s">
        <v>3580</v>
      </c>
      <c r="S692" s="108"/>
      <c r="T692" s="110">
        <f t="shared" si="10"/>
        <v>3570</v>
      </c>
      <c r="U692" s="108"/>
      <c r="V692" s="108" t="s">
        <v>6423</v>
      </c>
      <c r="W692" s="108"/>
      <c r="X692" s="108"/>
      <c r="Y692" s="108"/>
      <c r="AA692" s="113" t="e">
        <v>#N/A</v>
      </c>
      <c r="AB692" s="113" t="e">
        <v>#N/A</v>
      </c>
    </row>
    <row r="693" spans="1:28">
      <c r="A693" s="108">
        <v>692</v>
      </c>
      <c r="B693" s="135" t="s">
        <v>225</v>
      </c>
      <c r="C693" s="109">
        <v>46073</v>
      </c>
      <c r="D693" s="112" t="s">
        <v>226</v>
      </c>
      <c r="E693" s="112" t="s">
        <v>5252</v>
      </c>
      <c r="F693" s="110" t="s">
        <v>310</v>
      </c>
      <c r="G693" s="110">
        <v>20</v>
      </c>
      <c r="H693" s="173" t="s">
        <v>6428</v>
      </c>
      <c r="I693" s="108">
        <v>9233848494</v>
      </c>
      <c r="J693" s="135"/>
      <c r="K693" s="176" t="s">
        <v>6429</v>
      </c>
      <c r="L693" s="176" t="s">
        <v>6429</v>
      </c>
      <c r="M693" s="108">
        <v>5850</v>
      </c>
      <c r="N693" s="108">
        <v>5850</v>
      </c>
      <c r="O693" s="110" t="s">
        <v>239</v>
      </c>
      <c r="P693" s="110" t="s">
        <v>239</v>
      </c>
      <c r="Q693" s="108" t="s">
        <v>239</v>
      </c>
      <c r="R693" s="110" t="s">
        <v>3580</v>
      </c>
      <c r="S693" s="135"/>
      <c r="T693" s="110">
        <f t="shared" si="10"/>
        <v>5850</v>
      </c>
      <c r="U693" s="135"/>
      <c r="V693" s="108" t="s">
        <v>6423</v>
      </c>
      <c r="W693" s="135"/>
      <c r="X693" s="135"/>
      <c r="Y693" s="135"/>
      <c r="AA693" s="113" t="e">
        <v>#N/A</v>
      </c>
      <c r="AB693" s="113" t="e">
        <v>#N/A</v>
      </c>
    </row>
    <row r="694" spans="1:28" s="169" customFormat="1" ht="15">
      <c r="A694" s="108">
        <v>693</v>
      </c>
      <c r="B694" s="135" t="s">
        <v>225</v>
      </c>
      <c r="C694" s="109">
        <v>46073</v>
      </c>
      <c r="D694" s="112" t="s">
        <v>226</v>
      </c>
      <c r="E694" s="112" t="s">
        <v>5252</v>
      </c>
      <c r="F694" s="112" t="s">
        <v>364</v>
      </c>
      <c r="G694" s="110">
        <v>20</v>
      </c>
      <c r="H694" s="112" t="s">
        <v>6430</v>
      </c>
      <c r="I694" s="110" t="s">
        <v>6431</v>
      </c>
      <c r="J694" s="135"/>
      <c r="K694" s="177" t="s">
        <v>6432</v>
      </c>
      <c r="L694" s="177" t="s">
        <v>6432</v>
      </c>
      <c r="M694" s="110">
        <v>99600</v>
      </c>
      <c r="N694" s="108">
        <v>49600</v>
      </c>
      <c r="O694" s="178">
        <v>46076</v>
      </c>
      <c r="P694" s="135" t="s">
        <v>6433</v>
      </c>
      <c r="Q694" s="135" t="s">
        <v>52</v>
      </c>
      <c r="R694" s="135" t="s">
        <v>6433</v>
      </c>
      <c r="S694" s="135">
        <v>20000</v>
      </c>
      <c r="T694" s="110">
        <f t="shared" si="10"/>
        <v>29600</v>
      </c>
      <c r="U694" s="178">
        <v>46080</v>
      </c>
      <c r="V694" s="135" t="s">
        <v>6434</v>
      </c>
      <c r="W694" s="135"/>
      <c r="X694" s="135" t="s">
        <v>6433</v>
      </c>
      <c r="Y694" s="135" t="s">
        <v>6433</v>
      </c>
      <c r="AA694" s="169" t="s">
        <v>11</v>
      </c>
      <c r="AB694" s="169" t="s">
        <v>4461</v>
      </c>
    </row>
    <row r="695" spans="1:28" s="169" customFormat="1" ht="15">
      <c r="A695" s="108">
        <v>694</v>
      </c>
      <c r="B695" s="135" t="s">
        <v>225</v>
      </c>
      <c r="C695" s="109">
        <v>46073</v>
      </c>
      <c r="D695" s="112" t="s">
        <v>226</v>
      </c>
      <c r="E695" s="112" t="s">
        <v>5252</v>
      </c>
      <c r="F695" s="112" t="s">
        <v>3190</v>
      </c>
      <c r="G695" s="110">
        <v>20</v>
      </c>
      <c r="H695" s="112" t="s">
        <v>6435</v>
      </c>
      <c r="I695" s="110" t="s">
        <v>6436</v>
      </c>
      <c r="J695" s="135"/>
      <c r="K695" s="177" t="s">
        <v>6437</v>
      </c>
      <c r="L695" s="177" t="s">
        <v>6437</v>
      </c>
      <c r="M695" s="110">
        <v>17180</v>
      </c>
      <c r="N695" s="108">
        <v>5181</v>
      </c>
      <c r="O695" s="178">
        <v>46076</v>
      </c>
      <c r="P695" s="135" t="s">
        <v>1032</v>
      </c>
      <c r="Q695" s="135" t="s">
        <v>52</v>
      </c>
      <c r="R695" s="116" t="s">
        <v>4963</v>
      </c>
      <c r="S695" s="135">
        <v>3000</v>
      </c>
      <c r="T695" s="110">
        <f t="shared" si="10"/>
        <v>2181</v>
      </c>
      <c r="U695" s="178">
        <v>46081</v>
      </c>
      <c r="V695" s="135" t="s">
        <v>6438</v>
      </c>
      <c r="W695" s="135"/>
      <c r="X695" s="135" t="s">
        <v>402</v>
      </c>
      <c r="Y695" s="135" t="s">
        <v>1032</v>
      </c>
      <c r="AA695" s="169" t="s">
        <v>11</v>
      </c>
      <c r="AB695" s="169" t="s">
        <v>4254</v>
      </c>
    </row>
    <row r="696" spans="1:28">
      <c r="A696" s="108">
        <v>695</v>
      </c>
      <c r="B696" s="135" t="s">
        <v>225</v>
      </c>
      <c r="C696" s="109">
        <v>46073</v>
      </c>
      <c r="D696" s="112" t="s">
        <v>226</v>
      </c>
      <c r="E696" s="112" t="s">
        <v>5252</v>
      </c>
      <c r="F696" s="112" t="s">
        <v>236</v>
      </c>
      <c r="G696" s="110">
        <v>20</v>
      </c>
      <c r="H696" s="135" t="s">
        <v>6439</v>
      </c>
      <c r="I696" s="108">
        <v>9946228398</v>
      </c>
      <c r="J696" s="135"/>
      <c r="K696" s="179" t="s">
        <v>6440</v>
      </c>
      <c r="L696" s="179" t="s">
        <v>6440</v>
      </c>
      <c r="M696" s="108">
        <v>5050</v>
      </c>
      <c r="N696" s="108">
        <v>5051</v>
      </c>
      <c r="O696" s="110" t="s">
        <v>239</v>
      </c>
      <c r="P696" s="110" t="s">
        <v>239</v>
      </c>
      <c r="Q696" s="118" t="s">
        <v>239</v>
      </c>
      <c r="R696" s="111" t="s">
        <v>236</v>
      </c>
      <c r="S696" s="135"/>
      <c r="T696" s="110">
        <f t="shared" si="10"/>
        <v>5051</v>
      </c>
      <c r="U696" s="135"/>
      <c r="V696" s="135"/>
      <c r="W696" s="135"/>
      <c r="X696" s="111" t="s">
        <v>236</v>
      </c>
      <c r="Y696" s="135"/>
      <c r="AA696" s="113" t="e">
        <v>#N/A</v>
      </c>
      <c r="AB696" s="113" t="e">
        <v>#N/A</v>
      </c>
    </row>
    <row r="697" spans="1:28">
      <c r="A697" s="108">
        <v>696</v>
      </c>
      <c r="B697" s="135" t="s">
        <v>225</v>
      </c>
      <c r="C697" s="109">
        <v>46073</v>
      </c>
      <c r="D697" s="112" t="s">
        <v>226</v>
      </c>
      <c r="E697" s="112" t="s">
        <v>5252</v>
      </c>
      <c r="F697" s="112" t="s">
        <v>236</v>
      </c>
      <c r="G697" s="110">
        <v>20</v>
      </c>
      <c r="H697" s="135" t="s">
        <v>6441</v>
      </c>
      <c r="I697" s="108">
        <v>9121690973</v>
      </c>
      <c r="J697" s="135"/>
      <c r="K697" s="179" t="s">
        <v>6442</v>
      </c>
      <c r="L697" s="179" t="s">
        <v>6442</v>
      </c>
      <c r="M697" s="108">
        <v>100</v>
      </c>
      <c r="N697" s="108">
        <v>101</v>
      </c>
      <c r="O697" s="110" t="s">
        <v>239</v>
      </c>
      <c r="P697" s="110" t="s">
        <v>239</v>
      </c>
      <c r="Q697" s="118" t="s">
        <v>239</v>
      </c>
      <c r="R697" s="111" t="s">
        <v>236</v>
      </c>
      <c r="S697" s="135"/>
      <c r="T697" s="110">
        <f t="shared" si="10"/>
        <v>101</v>
      </c>
      <c r="U697" s="135"/>
      <c r="V697" s="135"/>
      <c r="W697" s="135"/>
      <c r="X697" s="111" t="s">
        <v>236</v>
      </c>
      <c r="Y697" s="135"/>
      <c r="AA697" s="113" t="s">
        <v>11</v>
      </c>
      <c r="AB697" s="113" t="s">
        <v>4967</v>
      </c>
    </row>
    <row r="698" spans="1:28">
      <c r="A698" s="108">
        <v>697</v>
      </c>
      <c r="B698" s="135" t="s">
        <v>225</v>
      </c>
      <c r="C698" s="109">
        <v>46073</v>
      </c>
      <c r="D698" s="112" t="s">
        <v>226</v>
      </c>
      <c r="E698" s="112" t="s">
        <v>5252</v>
      </c>
      <c r="F698" s="112" t="s">
        <v>236</v>
      </c>
      <c r="G698" s="110">
        <v>20</v>
      </c>
      <c r="H698" s="135" t="s">
        <v>6443</v>
      </c>
      <c r="I698" s="108">
        <v>9072447714</v>
      </c>
      <c r="J698" s="135"/>
      <c r="K698" s="179" t="s">
        <v>6444</v>
      </c>
      <c r="L698" s="179" t="s">
        <v>6444</v>
      </c>
      <c r="M698" s="108">
        <v>4480</v>
      </c>
      <c r="N698" s="108">
        <v>4481</v>
      </c>
      <c r="O698" s="110" t="s">
        <v>239</v>
      </c>
      <c r="P698" s="110" t="s">
        <v>239</v>
      </c>
      <c r="Q698" s="118" t="s">
        <v>239</v>
      </c>
      <c r="R698" s="111" t="s">
        <v>236</v>
      </c>
      <c r="S698" s="135"/>
      <c r="T698" s="110">
        <f t="shared" si="10"/>
        <v>4481</v>
      </c>
      <c r="U698" s="135"/>
      <c r="V698" s="135"/>
      <c r="W698" s="135"/>
      <c r="X698" s="111" t="s">
        <v>236</v>
      </c>
      <c r="Y698" s="135"/>
      <c r="AA698" s="113" t="e">
        <v>#N/A</v>
      </c>
      <c r="AB698" s="113" t="e">
        <v>#N/A</v>
      </c>
    </row>
    <row r="699" spans="1:28">
      <c r="A699" s="108">
        <v>698</v>
      </c>
      <c r="B699" s="135" t="s">
        <v>225</v>
      </c>
      <c r="C699" s="109">
        <v>46073</v>
      </c>
      <c r="D699" s="112" t="s">
        <v>226</v>
      </c>
      <c r="E699" s="112" t="s">
        <v>5252</v>
      </c>
      <c r="F699" s="112" t="s">
        <v>236</v>
      </c>
      <c r="G699" s="110">
        <v>20</v>
      </c>
      <c r="H699" s="135" t="s">
        <v>6445</v>
      </c>
      <c r="I699" s="108">
        <v>7032459485</v>
      </c>
      <c r="J699" s="135"/>
      <c r="K699" s="179" t="s">
        <v>6446</v>
      </c>
      <c r="L699" s="179" t="s">
        <v>6446</v>
      </c>
      <c r="M699" s="108">
        <v>3610</v>
      </c>
      <c r="N699" s="108">
        <v>3611</v>
      </c>
      <c r="O699" s="110" t="s">
        <v>239</v>
      </c>
      <c r="P699" s="110" t="s">
        <v>239</v>
      </c>
      <c r="Q699" s="118" t="s">
        <v>239</v>
      </c>
      <c r="R699" s="111" t="s">
        <v>236</v>
      </c>
      <c r="S699" s="135"/>
      <c r="T699" s="110">
        <f t="shared" si="10"/>
        <v>3611</v>
      </c>
      <c r="U699" s="135"/>
      <c r="V699" s="135"/>
      <c r="W699" s="135"/>
      <c r="X699" s="111" t="s">
        <v>236</v>
      </c>
      <c r="Y699" s="135"/>
      <c r="AA699" s="113" t="e">
        <v>#N/A</v>
      </c>
      <c r="AB699" s="113" t="e">
        <v>#N/A</v>
      </c>
    </row>
    <row r="700" spans="1:28">
      <c r="A700" s="108">
        <v>699</v>
      </c>
      <c r="B700" s="135" t="s">
        <v>225</v>
      </c>
      <c r="C700" s="109">
        <v>46073</v>
      </c>
      <c r="D700" s="112" t="s">
        <v>226</v>
      </c>
      <c r="E700" s="112" t="s">
        <v>5252</v>
      </c>
      <c r="F700" s="112" t="s">
        <v>236</v>
      </c>
      <c r="G700" s="110">
        <v>20</v>
      </c>
      <c r="H700" s="135" t="s">
        <v>6447</v>
      </c>
      <c r="I700" s="108">
        <v>8555864573</v>
      </c>
      <c r="J700" s="135"/>
      <c r="K700" s="179" t="s">
        <v>6448</v>
      </c>
      <c r="L700" s="179" t="s">
        <v>6448</v>
      </c>
      <c r="M700" s="108">
        <v>1170</v>
      </c>
      <c r="N700" s="108">
        <v>1170</v>
      </c>
      <c r="O700" s="110" t="s">
        <v>239</v>
      </c>
      <c r="P700" s="110" t="s">
        <v>239</v>
      </c>
      <c r="Q700" s="118" t="s">
        <v>239</v>
      </c>
      <c r="R700" s="111" t="s">
        <v>236</v>
      </c>
      <c r="S700" s="135"/>
      <c r="T700" s="110">
        <f t="shared" si="10"/>
        <v>1170</v>
      </c>
      <c r="U700" s="135"/>
      <c r="V700" s="135"/>
      <c r="W700" s="135"/>
      <c r="X700" s="111" t="s">
        <v>236</v>
      </c>
      <c r="Y700" s="135"/>
      <c r="AA700" s="113" t="e">
        <v>#N/A</v>
      </c>
      <c r="AB700" s="113" t="e">
        <v>#N/A</v>
      </c>
    </row>
    <row r="701" spans="1:28">
      <c r="A701" s="108">
        <v>700</v>
      </c>
      <c r="B701" s="135" t="s">
        <v>225</v>
      </c>
      <c r="C701" s="109">
        <v>46073</v>
      </c>
      <c r="D701" s="112" t="s">
        <v>226</v>
      </c>
      <c r="E701" s="112" t="s">
        <v>5252</v>
      </c>
      <c r="F701" s="112" t="s">
        <v>236</v>
      </c>
      <c r="G701" s="110">
        <v>20</v>
      </c>
      <c r="H701" s="135" t="s">
        <v>6449</v>
      </c>
      <c r="I701" s="108">
        <v>9491457627</v>
      </c>
      <c r="J701" s="135"/>
      <c r="K701" s="179" t="s">
        <v>6450</v>
      </c>
      <c r="L701" s="179" t="s">
        <v>6450</v>
      </c>
      <c r="M701" s="108">
        <v>1510</v>
      </c>
      <c r="N701" s="108">
        <v>1511</v>
      </c>
      <c r="O701" s="110" t="s">
        <v>239</v>
      </c>
      <c r="P701" s="110" t="s">
        <v>239</v>
      </c>
      <c r="Q701" s="118" t="s">
        <v>239</v>
      </c>
      <c r="R701" s="111" t="s">
        <v>236</v>
      </c>
      <c r="S701" s="135"/>
      <c r="T701" s="110">
        <f t="shared" si="10"/>
        <v>1511</v>
      </c>
      <c r="U701" s="135"/>
      <c r="V701" s="135"/>
      <c r="W701" s="135"/>
      <c r="X701" s="111" t="s">
        <v>236</v>
      </c>
      <c r="Y701" s="135"/>
      <c r="AA701" s="113" t="e">
        <v>#N/A</v>
      </c>
      <c r="AB701" s="113" t="e">
        <v>#N/A</v>
      </c>
    </row>
    <row r="702" spans="1:28">
      <c r="A702" s="108">
        <v>701</v>
      </c>
      <c r="B702" s="135" t="s">
        <v>225</v>
      </c>
      <c r="C702" s="109">
        <v>46073</v>
      </c>
      <c r="D702" s="112" t="s">
        <v>226</v>
      </c>
      <c r="E702" s="112" t="s">
        <v>5252</v>
      </c>
      <c r="F702" s="112" t="s">
        <v>236</v>
      </c>
      <c r="G702" s="110">
        <v>20</v>
      </c>
      <c r="H702" s="135" t="s">
        <v>6451</v>
      </c>
      <c r="I702" s="108">
        <v>8943454538</v>
      </c>
      <c r="J702" s="135"/>
      <c r="K702" s="179" t="s">
        <v>6452</v>
      </c>
      <c r="L702" s="179" t="s">
        <v>6452</v>
      </c>
      <c r="M702" s="108">
        <v>660</v>
      </c>
      <c r="N702" s="108">
        <v>661</v>
      </c>
      <c r="O702" s="110" t="s">
        <v>239</v>
      </c>
      <c r="P702" s="110" t="s">
        <v>239</v>
      </c>
      <c r="Q702" s="118" t="s">
        <v>239</v>
      </c>
      <c r="R702" s="111" t="s">
        <v>236</v>
      </c>
      <c r="S702" s="135"/>
      <c r="T702" s="110">
        <f t="shared" si="10"/>
        <v>661</v>
      </c>
      <c r="U702" s="135"/>
      <c r="V702" s="135"/>
      <c r="W702" s="135"/>
      <c r="X702" s="111" t="s">
        <v>236</v>
      </c>
      <c r="Y702" s="135"/>
      <c r="AA702" s="113" t="e">
        <v>#N/A</v>
      </c>
      <c r="AB702" s="113" t="e">
        <v>#N/A</v>
      </c>
    </row>
    <row r="703" spans="1:28">
      <c r="A703" s="108">
        <v>702</v>
      </c>
      <c r="B703" s="180" t="s">
        <v>225</v>
      </c>
      <c r="C703" s="124">
        <v>46073</v>
      </c>
      <c r="D703" s="128" t="s">
        <v>226</v>
      </c>
      <c r="E703" s="128" t="s">
        <v>5252</v>
      </c>
      <c r="F703" s="128" t="s">
        <v>236</v>
      </c>
      <c r="G703" s="125">
        <v>20</v>
      </c>
      <c r="H703" s="180" t="s">
        <v>6453</v>
      </c>
      <c r="I703" s="123">
        <v>9701366169</v>
      </c>
      <c r="J703" s="180"/>
      <c r="K703" s="181" t="s">
        <v>6454</v>
      </c>
      <c r="L703" s="181" t="s">
        <v>6454</v>
      </c>
      <c r="M703" s="123">
        <v>840</v>
      </c>
      <c r="N703" s="123">
        <v>841</v>
      </c>
      <c r="O703" s="110" t="s">
        <v>239</v>
      </c>
      <c r="P703" s="110" t="s">
        <v>239</v>
      </c>
      <c r="Q703" s="182" t="s">
        <v>239</v>
      </c>
      <c r="R703" s="127" t="s">
        <v>236</v>
      </c>
      <c r="S703" s="180"/>
      <c r="T703" s="110">
        <f t="shared" si="10"/>
        <v>841</v>
      </c>
      <c r="U703" s="180"/>
      <c r="V703" s="180"/>
      <c r="W703" s="180"/>
      <c r="X703" s="127" t="s">
        <v>236</v>
      </c>
      <c r="Y703" s="180"/>
      <c r="AA703" s="113" t="e">
        <v>#N/A</v>
      </c>
      <c r="AB703" s="113" t="e">
        <v>#N/A</v>
      </c>
    </row>
    <row r="704" spans="1:28" s="108" customFormat="1">
      <c r="A704" s="108">
        <v>703</v>
      </c>
      <c r="B704" s="108" t="s">
        <v>225</v>
      </c>
      <c r="C704" s="109">
        <v>46073</v>
      </c>
      <c r="D704" s="110" t="s">
        <v>226</v>
      </c>
      <c r="E704" s="110" t="s">
        <v>5252</v>
      </c>
      <c r="F704" s="110" t="s">
        <v>236</v>
      </c>
      <c r="G704" s="110">
        <v>20</v>
      </c>
      <c r="H704" s="108" t="s">
        <v>6455</v>
      </c>
      <c r="I704" s="108">
        <v>9704148594</v>
      </c>
      <c r="K704" s="183" t="s">
        <v>1132</v>
      </c>
      <c r="L704" s="183" t="s">
        <v>1132</v>
      </c>
      <c r="M704" s="108">
        <v>200</v>
      </c>
      <c r="N704" s="108">
        <v>201</v>
      </c>
      <c r="O704" s="110" t="s">
        <v>239</v>
      </c>
      <c r="P704" s="110" t="s">
        <v>239</v>
      </c>
      <c r="Q704" s="118" t="s">
        <v>239</v>
      </c>
      <c r="R704" s="111" t="s">
        <v>236</v>
      </c>
      <c r="T704" s="110">
        <f t="shared" si="10"/>
        <v>201</v>
      </c>
      <c r="X704" s="111" t="s">
        <v>236</v>
      </c>
      <c r="AA704" s="108" t="e">
        <v>#N/A</v>
      </c>
      <c r="AB704" s="108" t="e">
        <v>#N/A</v>
      </c>
    </row>
    <row r="705" spans="1:28" s="108" customFormat="1">
      <c r="A705" s="108">
        <v>704</v>
      </c>
      <c r="B705" s="108" t="s">
        <v>225</v>
      </c>
      <c r="C705" s="109">
        <v>46073</v>
      </c>
      <c r="D705" s="110" t="s">
        <v>226</v>
      </c>
      <c r="E705" s="110" t="s">
        <v>5252</v>
      </c>
      <c r="F705" s="110" t="s">
        <v>6456</v>
      </c>
      <c r="G705" s="108">
        <v>20</v>
      </c>
      <c r="H705" s="108" t="s">
        <v>6457</v>
      </c>
      <c r="I705" s="108">
        <v>7036175003</v>
      </c>
      <c r="K705" s="183" t="s">
        <v>6458</v>
      </c>
      <c r="L705" s="183" t="s">
        <v>6458</v>
      </c>
      <c r="M705" s="108">
        <v>1550</v>
      </c>
      <c r="N705" s="108">
        <v>1550</v>
      </c>
      <c r="O705" s="109">
        <v>46077</v>
      </c>
      <c r="P705" s="135" t="s">
        <v>626</v>
      </c>
      <c r="Q705" s="108" t="s">
        <v>52</v>
      </c>
      <c r="R705" s="108" t="s">
        <v>626</v>
      </c>
      <c r="S705" s="108">
        <v>1500</v>
      </c>
      <c r="T705" s="110">
        <f t="shared" si="10"/>
        <v>50</v>
      </c>
      <c r="U705" s="109">
        <v>46082</v>
      </c>
      <c r="V705" s="108" t="s">
        <v>6459</v>
      </c>
      <c r="W705" s="108" t="s">
        <v>54</v>
      </c>
      <c r="X705" s="108" t="s">
        <v>626</v>
      </c>
      <c r="Y705" s="108" t="s">
        <v>626</v>
      </c>
      <c r="AA705" s="108" t="s">
        <v>4983</v>
      </c>
      <c r="AB705" s="108" t="s">
        <v>4916</v>
      </c>
    </row>
    <row r="706" spans="1:28" s="108" customFormat="1">
      <c r="A706" s="108">
        <v>705</v>
      </c>
      <c r="B706" s="108" t="s">
        <v>225</v>
      </c>
      <c r="C706" s="109">
        <v>46073</v>
      </c>
      <c r="D706" s="110" t="s">
        <v>226</v>
      </c>
      <c r="E706" s="110" t="s">
        <v>5252</v>
      </c>
      <c r="F706" s="110" t="s">
        <v>6456</v>
      </c>
      <c r="G706" s="108">
        <v>20</v>
      </c>
      <c r="H706" s="108" t="s">
        <v>6460</v>
      </c>
      <c r="I706" s="108">
        <v>7086811593</v>
      </c>
      <c r="K706" s="183" t="s">
        <v>6461</v>
      </c>
      <c r="L706" s="183" t="s">
        <v>6461</v>
      </c>
      <c r="M706" s="108">
        <v>11325</v>
      </c>
      <c r="N706" s="108">
        <v>11325</v>
      </c>
      <c r="O706" s="109">
        <v>46081</v>
      </c>
      <c r="P706" s="135" t="s">
        <v>626</v>
      </c>
      <c r="Q706" s="108" t="s">
        <v>52</v>
      </c>
      <c r="R706" s="108" t="s">
        <v>626</v>
      </c>
      <c r="S706" s="108">
        <v>11325</v>
      </c>
      <c r="T706" s="110">
        <f t="shared" si="10"/>
        <v>0</v>
      </c>
      <c r="U706" s="109">
        <v>46077</v>
      </c>
      <c r="V706" s="108" t="s">
        <v>6462</v>
      </c>
      <c r="W706" s="108" t="s">
        <v>54</v>
      </c>
      <c r="X706" s="108" t="s">
        <v>626</v>
      </c>
      <c r="Y706" s="108" t="s">
        <v>626</v>
      </c>
      <c r="AA706" s="108" t="e">
        <v>#N/A</v>
      </c>
      <c r="AB706" s="108" t="e">
        <v>#N/A</v>
      </c>
    </row>
    <row r="707" spans="1:28" s="108" customFormat="1" ht="15">
      <c r="A707" s="108">
        <v>706</v>
      </c>
      <c r="B707" s="108" t="s">
        <v>225</v>
      </c>
      <c r="C707" s="109">
        <v>46074</v>
      </c>
      <c r="D707" s="110" t="s">
        <v>226</v>
      </c>
      <c r="E707" s="110" t="s">
        <v>5252</v>
      </c>
      <c r="F707" s="108" t="s">
        <v>6232</v>
      </c>
      <c r="G707" s="168">
        <v>21</v>
      </c>
      <c r="H707" s="168" t="s">
        <v>1241</v>
      </c>
      <c r="I707" s="168" t="s">
        <v>1242</v>
      </c>
      <c r="K707" s="168" t="s">
        <v>1243</v>
      </c>
      <c r="L707" s="168" t="s">
        <v>1243</v>
      </c>
      <c r="M707" s="168">
        <v>39630</v>
      </c>
      <c r="N707" s="168">
        <v>39631</v>
      </c>
      <c r="O707" s="109">
        <v>46082</v>
      </c>
      <c r="P707" s="184" t="s">
        <v>1222</v>
      </c>
      <c r="Q707" s="108" t="s">
        <v>52</v>
      </c>
      <c r="R707" s="168" t="s">
        <v>298</v>
      </c>
      <c r="S707" s="108">
        <f>7000+4000+5000+10000+10000+3631</f>
        <v>39631</v>
      </c>
      <c r="T707" s="110">
        <f t="shared" si="10"/>
        <v>0</v>
      </c>
      <c r="U707" s="109">
        <v>46124</v>
      </c>
      <c r="V707" s="108" t="s">
        <v>6463</v>
      </c>
      <c r="W707" s="108" t="s">
        <v>54</v>
      </c>
      <c r="X707" s="168" t="s">
        <v>1222</v>
      </c>
      <c r="Y707" s="168" t="s">
        <v>178</v>
      </c>
      <c r="Z707" s="185" t="s">
        <v>5269</v>
      </c>
      <c r="AA707" s="108" t="s">
        <v>11</v>
      </c>
      <c r="AB707" s="108" t="s">
        <v>4969</v>
      </c>
    </row>
    <row r="708" spans="1:28" s="108" customFormat="1" ht="15">
      <c r="A708" s="108">
        <v>707</v>
      </c>
      <c r="B708" s="108" t="s">
        <v>225</v>
      </c>
      <c r="C708" s="109">
        <v>46074</v>
      </c>
      <c r="D708" s="110" t="s">
        <v>226</v>
      </c>
      <c r="E708" s="110" t="s">
        <v>5252</v>
      </c>
      <c r="F708" s="108" t="s">
        <v>6232</v>
      </c>
      <c r="G708" s="168">
        <v>21</v>
      </c>
      <c r="H708" s="168" t="s">
        <v>1246</v>
      </c>
      <c r="I708" s="168">
        <v>8008521916</v>
      </c>
      <c r="K708" s="168" t="s">
        <v>1248</v>
      </c>
      <c r="L708" s="168" t="s">
        <v>1248</v>
      </c>
      <c r="M708" s="168">
        <v>25129</v>
      </c>
      <c r="N708" s="168">
        <v>25130</v>
      </c>
      <c r="O708" s="109">
        <v>46082</v>
      </c>
      <c r="P708" s="184" t="s">
        <v>298</v>
      </c>
      <c r="Q708" s="108" t="s">
        <v>52</v>
      </c>
      <c r="R708" s="168" t="s">
        <v>298</v>
      </c>
      <c r="S708" s="108">
        <f>5000+2000+6000+6000+2000+4000</f>
        <v>25000</v>
      </c>
      <c r="T708" s="110">
        <f t="shared" ref="T708:T767" si="11">N708-S708</f>
        <v>130</v>
      </c>
      <c r="U708" s="109">
        <v>46102</v>
      </c>
      <c r="V708" s="108" t="s">
        <v>6464</v>
      </c>
      <c r="W708" s="108" t="s">
        <v>54</v>
      </c>
      <c r="X708" s="168" t="s">
        <v>1089</v>
      </c>
      <c r="Y708" s="168" t="s">
        <v>782</v>
      </c>
      <c r="Z708" s="185"/>
      <c r="AA708" s="108" t="s">
        <v>11</v>
      </c>
      <c r="AB708" s="108" t="s">
        <v>4479</v>
      </c>
    </row>
    <row r="709" spans="1:28" ht="15">
      <c r="A709" s="108">
        <v>708</v>
      </c>
      <c r="B709" s="108" t="s">
        <v>225</v>
      </c>
      <c r="C709" s="109">
        <v>46074</v>
      </c>
      <c r="D709" s="110" t="s">
        <v>226</v>
      </c>
      <c r="E709" s="110" t="s">
        <v>5252</v>
      </c>
      <c r="F709" s="110" t="s">
        <v>767</v>
      </c>
      <c r="G709" s="152">
        <v>21</v>
      </c>
      <c r="H709" s="100" t="s">
        <v>5247</v>
      </c>
      <c r="I709" s="152" t="s">
        <v>5248</v>
      </c>
      <c r="J709" s="108"/>
      <c r="K709" s="100" t="s">
        <v>5249</v>
      </c>
      <c r="L709" s="100" t="s">
        <v>5249</v>
      </c>
      <c r="M709" s="186">
        <v>15910</v>
      </c>
      <c r="N709" s="186">
        <v>15910</v>
      </c>
      <c r="O709" s="187">
        <v>46086</v>
      </c>
      <c r="P709" s="100" t="s">
        <v>972</v>
      </c>
      <c r="Q709" s="108" t="s">
        <v>52</v>
      </c>
      <c r="R709" s="135" t="s">
        <v>772</v>
      </c>
      <c r="S709" s="135">
        <v>15910</v>
      </c>
      <c r="T709" s="110">
        <f t="shared" si="11"/>
        <v>0</v>
      </c>
      <c r="U709" s="178">
        <v>46086</v>
      </c>
      <c r="V709" s="135" t="s">
        <v>6465</v>
      </c>
      <c r="W709" s="135" t="s">
        <v>54</v>
      </c>
      <c r="X709" s="100" t="s">
        <v>972</v>
      </c>
      <c r="Y709" s="100" t="s">
        <v>6466</v>
      </c>
      <c r="AA709" s="113" t="s">
        <v>11</v>
      </c>
      <c r="AB709" s="113" t="s">
        <v>5211</v>
      </c>
    </row>
    <row r="710" spans="1:28" ht="15">
      <c r="A710" s="108">
        <v>709</v>
      </c>
      <c r="B710" s="108" t="s">
        <v>225</v>
      </c>
      <c r="C710" s="109">
        <v>46074</v>
      </c>
      <c r="D710" s="110" t="s">
        <v>226</v>
      </c>
      <c r="E710" s="110" t="s">
        <v>5252</v>
      </c>
      <c r="F710" s="110" t="s">
        <v>767</v>
      </c>
      <c r="G710" s="152">
        <v>21</v>
      </c>
      <c r="H710" s="100" t="s">
        <v>6467</v>
      </c>
      <c r="I710" s="152">
        <v>9110733661</v>
      </c>
      <c r="J710" s="108"/>
      <c r="K710" s="188" t="s">
        <v>6468</v>
      </c>
      <c r="L710" s="188" t="s">
        <v>6468</v>
      </c>
      <c r="M710" s="152">
        <v>7781</v>
      </c>
      <c r="N710" s="152">
        <v>7781</v>
      </c>
      <c r="O710" s="187">
        <v>46086</v>
      </c>
      <c r="P710" t="s">
        <v>774</v>
      </c>
      <c r="Q710" s="108" t="s">
        <v>52</v>
      </c>
      <c r="R710" s="135" t="s">
        <v>772</v>
      </c>
      <c r="S710" s="135"/>
      <c r="T710" s="110">
        <f t="shared" si="11"/>
        <v>7781</v>
      </c>
      <c r="U710" s="135"/>
      <c r="V710" s="135"/>
      <c r="W710" s="135"/>
      <c r="X710" s="114" t="s">
        <v>774</v>
      </c>
      <c r="Y710" s="100" t="s">
        <v>2442</v>
      </c>
      <c r="AA710" s="113" t="s">
        <v>11</v>
      </c>
      <c r="AB710" s="113" t="s">
        <v>4461</v>
      </c>
    </row>
    <row r="711" spans="1:28" ht="15">
      <c r="A711" s="108">
        <v>710</v>
      </c>
      <c r="B711" s="108" t="s">
        <v>225</v>
      </c>
      <c r="C711" s="109">
        <v>46074</v>
      </c>
      <c r="D711" s="110" t="s">
        <v>226</v>
      </c>
      <c r="E711" s="110" t="s">
        <v>5252</v>
      </c>
      <c r="F711" s="110" t="s">
        <v>767</v>
      </c>
      <c r="G711" s="152">
        <v>21</v>
      </c>
      <c r="H711" s="100" t="s">
        <v>6469</v>
      </c>
      <c r="I711" s="152">
        <v>9581772722</v>
      </c>
      <c r="J711" s="108"/>
      <c r="K711" s="188" t="s">
        <v>6470</v>
      </c>
      <c r="L711" s="188" t="s">
        <v>6470</v>
      </c>
      <c r="M711" s="152">
        <v>22660</v>
      </c>
      <c r="N711" s="152">
        <v>22660</v>
      </c>
      <c r="O711" s="187">
        <v>46086</v>
      </c>
      <c r="P711" s="100" t="s">
        <v>790</v>
      </c>
      <c r="Q711" s="108" t="s">
        <v>52</v>
      </c>
      <c r="R711" s="135" t="s">
        <v>772</v>
      </c>
      <c r="S711" s="135">
        <v>22650</v>
      </c>
      <c r="T711" s="110">
        <f t="shared" si="11"/>
        <v>10</v>
      </c>
      <c r="U711" s="135" t="s">
        <v>6471</v>
      </c>
      <c r="V711" s="135" t="s">
        <v>6472</v>
      </c>
      <c r="W711" s="135" t="s">
        <v>54</v>
      </c>
      <c r="X711" s="100" t="s">
        <v>790</v>
      </c>
      <c r="Y711" s="100" t="s">
        <v>6473</v>
      </c>
      <c r="AA711" s="113" t="s">
        <v>4472</v>
      </c>
      <c r="AB711" s="113" t="s">
        <v>4464</v>
      </c>
    </row>
    <row r="712" spans="1:28">
      <c r="A712" s="108">
        <v>711</v>
      </c>
      <c r="B712" s="108" t="s">
        <v>225</v>
      </c>
      <c r="C712" s="109">
        <v>46076</v>
      </c>
      <c r="D712" s="110" t="s">
        <v>226</v>
      </c>
      <c r="E712" s="110" t="s">
        <v>5252</v>
      </c>
      <c r="F712" s="135" t="s">
        <v>236</v>
      </c>
      <c r="G712" s="108">
        <v>23</v>
      </c>
      <c r="H712" s="135" t="s">
        <v>6474</v>
      </c>
      <c r="I712" s="108">
        <v>9966746338</v>
      </c>
      <c r="J712" s="135"/>
      <c r="K712" s="179" t="s">
        <v>6475</v>
      </c>
      <c r="L712" s="179" t="s">
        <v>6475</v>
      </c>
      <c r="M712" s="108">
        <v>950</v>
      </c>
      <c r="N712" s="108">
        <v>950</v>
      </c>
      <c r="O712" s="110" t="s">
        <v>239</v>
      </c>
      <c r="P712" s="110" t="s">
        <v>239</v>
      </c>
      <c r="Q712" s="135" t="s">
        <v>239</v>
      </c>
      <c r="R712" s="135" t="s">
        <v>239</v>
      </c>
      <c r="S712" s="135"/>
      <c r="T712" s="110">
        <f t="shared" si="11"/>
        <v>950</v>
      </c>
      <c r="U712" s="135"/>
      <c r="V712" s="135"/>
      <c r="W712" s="135"/>
      <c r="X712" s="173" t="s">
        <v>239</v>
      </c>
      <c r="Y712" s="173" t="s">
        <v>239</v>
      </c>
      <c r="AA712" s="113" t="e">
        <v>#N/A</v>
      </c>
      <c r="AB712" s="113" t="e">
        <v>#N/A</v>
      </c>
    </row>
    <row r="713" spans="1:28">
      <c r="A713" s="108">
        <v>712</v>
      </c>
      <c r="B713" s="108" t="s">
        <v>225</v>
      </c>
      <c r="C713" s="109">
        <v>46076</v>
      </c>
      <c r="D713" s="135" t="s">
        <v>933</v>
      </c>
      <c r="E713" s="110" t="s">
        <v>5252</v>
      </c>
      <c r="F713" s="135" t="s">
        <v>6476</v>
      </c>
      <c r="G713" s="108">
        <v>23</v>
      </c>
      <c r="H713" s="135" t="s">
        <v>6477</v>
      </c>
      <c r="I713" s="108">
        <v>8125637638</v>
      </c>
      <c r="J713" s="135"/>
      <c r="K713" s="135" t="s">
        <v>6478</v>
      </c>
      <c r="L713" s="135" t="s">
        <v>6478</v>
      </c>
      <c r="M713" s="189">
        <v>706</v>
      </c>
      <c r="N713" s="189">
        <v>706</v>
      </c>
      <c r="O713" s="110" t="s">
        <v>239</v>
      </c>
      <c r="P713" s="110" t="s">
        <v>239</v>
      </c>
      <c r="Q713" s="135" t="s">
        <v>239</v>
      </c>
      <c r="R713" s="135" t="s">
        <v>239</v>
      </c>
      <c r="S713" s="135"/>
      <c r="T713" s="110">
        <f t="shared" si="11"/>
        <v>706</v>
      </c>
      <c r="U713" s="135"/>
      <c r="V713" s="135"/>
      <c r="W713" s="135"/>
      <c r="X713" s="173" t="s">
        <v>239</v>
      </c>
      <c r="Y713" s="173" t="s">
        <v>239</v>
      </c>
      <c r="AA713" s="113" t="e">
        <v>#N/A</v>
      </c>
      <c r="AB713" s="113" t="e">
        <v>#N/A</v>
      </c>
    </row>
    <row r="714" spans="1:28" ht="15">
      <c r="A714" s="108">
        <v>713</v>
      </c>
      <c r="B714" s="108" t="s">
        <v>225</v>
      </c>
      <c r="C714" s="109">
        <v>46076</v>
      </c>
      <c r="D714" s="135" t="s">
        <v>933</v>
      </c>
      <c r="E714" s="110" t="s">
        <v>5252</v>
      </c>
      <c r="F714" s="135" t="s">
        <v>6476</v>
      </c>
      <c r="G714" s="108">
        <v>23</v>
      </c>
      <c r="H714" s="135" t="s">
        <v>6479</v>
      </c>
      <c r="I714" s="108">
        <v>9743161529</v>
      </c>
      <c r="J714" s="135"/>
      <c r="K714" s="135" t="s">
        <v>6480</v>
      </c>
      <c r="L714" s="135" t="s">
        <v>6480</v>
      </c>
      <c r="M714" s="190">
        <v>437.77</v>
      </c>
      <c r="N714" s="190">
        <v>437.77</v>
      </c>
      <c r="O714" s="110" t="s">
        <v>239</v>
      </c>
      <c r="P714" s="110" t="s">
        <v>239</v>
      </c>
      <c r="Q714" s="135" t="s">
        <v>239</v>
      </c>
      <c r="R714" s="135" t="s">
        <v>239</v>
      </c>
      <c r="S714" s="135"/>
      <c r="T714" s="110">
        <f t="shared" si="11"/>
        <v>437.77</v>
      </c>
      <c r="U714" s="135"/>
      <c r="V714" s="135"/>
      <c r="W714" s="135"/>
      <c r="X714" s="173" t="s">
        <v>239</v>
      </c>
      <c r="Y714" s="173" t="s">
        <v>239</v>
      </c>
      <c r="AA714" s="113" t="e">
        <v>#N/A</v>
      </c>
      <c r="AB714" s="113" t="e">
        <v>#N/A</v>
      </c>
    </row>
    <row r="715" spans="1:28" ht="15">
      <c r="A715" s="108">
        <v>714</v>
      </c>
      <c r="B715" s="108" t="s">
        <v>225</v>
      </c>
      <c r="C715" s="109">
        <v>46076</v>
      </c>
      <c r="D715" s="135" t="s">
        <v>933</v>
      </c>
      <c r="E715" s="110" t="s">
        <v>5252</v>
      </c>
      <c r="F715" s="135" t="s">
        <v>6476</v>
      </c>
      <c r="G715" s="108">
        <v>23</v>
      </c>
      <c r="H715" s="135" t="s">
        <v>6481</v>
      </c>
      <c r="I715" s="108">
        <v>9398638986</v>
      </c>
      <c r="J715" s="135"/>
      <c r="K715" s="135" t="s">
        <v>6482</v>
      </c>
      <c r="L715" s="135" t="s">
        <v>6482</v>
      </c>
      <c r="M715" s="190">
        <v>167</v>
      </c>
      <c r="N715" s="190">
        <v>167</v>
      </c>
      <c r="O715" s="110" t="s">
        <v>239</v>
      </c>
      <c r="P715" s="110" t="s">
        <v>239</v>
      </c>
      <c r="Q715" s="135" t="s">
        <v>239</v>
      </c>
      <c r="R715" s="135" t="s">
        <v>239</v>
      </c>
      <c r="S715" s="135"/>
      <c r="T715" s="110">
        <f t="shared" si="11"/>
        <v>167</v>
      </c>
      <c r="U715" s="135"/>
      <c r="V715" s="135"/>
      <c r="W715" s="135"/>
      <c r="X715" s="173" t="s">
        <v>239</v>
      </c>
      <c r="Y715" s="173" t="s">
        <v>239</v>
      </c>
      <c r="AA715" s="113" t="e">
        <v>#N/A</v>
      </c>
      <c r="AB715" s="113" t="e">
        <v>#N/A</v>
      </c>
    </row>
    <row r="716" spans="1:28">
      <c r="A716" s="108">
        <v>715</v>
      </c>
      <c r="B716" s="108" t="s">
        <v>225</v>
      </c>
      <c r="C716" s="109">
        <v>46076</v>
      </c>
      <c r="D716" s="135" t="s">
        <v>933</v>
      </c>
      <c r="E716" s="110" t="s">
        <v>5252</v>
      </c>
      <c r="F716" s="135" t="s">
        <v>6476</v>
      </c>
      <c r="G716" s="108">
        <v>23</v>
      </c>
      <c r="H716" s="135" t="s">
        <v>6483</v>
      </c>
      <c r="I716" s="108">
        <v>8106686392</v>
      </c>
      <c r="J716" s="135"/>
      <c r="K716" s="135" t="s">
        <v>6484</v>
      </c>
      <c r="L716" s="135" t="s">
        <v>6484</v>
      </c>
      <c r="M716" s="189">
        <v>61</v>
      </c>
      <c r="N716" s="189">
        <v>61</v>
      </c>
      <c r="O716" s="110" t="s">
        <v>239</v>
      </c>
      <c r="P716" s="110" t="s">
        <v>239</v>
      </c>
      <c r="Q716" s="135" t="s">
        <v>239</v>
      </c>
      <c r="R716" s="135" t="s">
        <v>239</v>
      </c>
      <c r="S716" s="135"/>
      <c r="T716" s="110">
        <f t="shared" si="11"/>
        <v>61</v>
      </c>
      <c r="U716" s="135"/>
      <c r="V716" s="135"/>
      <c r="W716" s="135"/>
      <c r="X716" s="173" t="s">
        <v>239</v>
      </c>
      <c r="Y716" s="173" t="s">
        <v>239</v>
      </c>
      <c r="AA716" s="113" t="e">
        <v>#N/A</v>
      </c>
      <c r="AB716" s="113" t="e">
        <v>#N/A</v>
      </c>
    </row>
    <row r="717" spans="1:28" ht="15">
      <c r="A717" s="108">
        <v>716</v>
      </c>
      <c r="B717" s="108" t="s">
        <v>225</v>
      </c>
      <c r="C717" s="109">
        <v>46076</v>
      </c>
      <c r="D717" s="135" t="s">
        <v>933</v>
      </c>
      <c r="E717" s="110" t="s">
        <v>5252</v>
      </c>
      <c r="F717" s="135" t="s">
        <v>6476</v>
      </c>
      <c r="G717" s="108">
        <v>23</v>
      </c>
      <c r="H717" s="135" t="s">
        <v>6485</v>
      </c>
      <c r="I717" s="108">
        <v>9949727307</v>
      </c>
      <c r="J717" s="135"/>
      <c r="K717" s="135" t="s">
        <v>6486</v>
      </c>
      <c r="L717" s="135" t="s">
        <v>6486</v>
      </c>
      <c r="M717" s="190">
        <v>101</v>
      </c>
      <c r="N717" s="190">
        <v>101</v>
      </c>
      <c r="O717" s="110" t="s">
        <v>239</v>
      </c>
      <c r="P717" s="110" t="s">
        <v>239</v>
      </c>
      <c r="Q717" s="135" t="s">
        <v>239</v>
      </c>
      <c r="R717" s="135" t="s">
        <v>239</v>
      </c>
      <c r="S717" s="135"/>
      <c r="T717" s="110">
        <f t="shared" si="11"/>
        <v>101</v>
      </c>
      <c r="U717" s="135"/>
      <c r="V717" s="135"/>
      <c r="W717" s="135"/>
      <c r="X717" s="173" t="s">
        <v>239</v>
      </c>
      <c r="Y717" s="173" t="s">
        <v>239</v>
      </c>
      <c r="AA717" s="113" t="e">
        <v>#N/A</v>
      </c>
      <c r="AB717" s="113" t="e">
        <v>#N/A</v>
      </c>
    </row>
    <row r="718" spans="1:28" ht="15">
      <c r="A718" s="108">
        <v>717</v>
      </c>
      <c r="B718" s="108" t="s">
        <v>225</v>
      </c>
      <c r="C718" s="109">
        <v>46076</v>
      </c>
      <c r="D718" s="135" t="s">
        <v>933</v>
      </c>
      <c r="E718" s="110" t="s">
        <v>5252</v>
      </c>
      <c r="F718" s="135" t="s">
        <v>6476</v>
      </c>
      <c r="G718" s="108">
        <v>23</v>
      </c>
      <c r="H718" s="135" t="s">
        <v>6487</v>
      </c>
      <c r="I718" s="108">
        <v>9182322938</v>
      </c>
      <c r="J718" s="135"/>
      <c r="K718" s="135" t="s">
        <v>6488</v>
      </c>
      <c r="L718" s="135" t="s">
        <v>6488</v>
      </c>
      <c r="M718" s="190">
        <v>84</v>
      </c>
      <c r="N718" s="190">
        <v>84</v>
      </c>
      <c r="O718" s="110" t="s">
        <v>239</v>
      </c>
      <c r="P718" s="110" t="s">
        <v>239</v>
      </c>
      <c r="Q718" s="135" t="s">
        <v>239</v>
      </c>
      <c r="R718" s="135" t="s">
        <v>239</v>
      </c>
      <c r="S718" s="135"/>
      <c r="T718" s="110">
        <f t="shared" si="11"/>
        <v>84</v>
      </c>
      <c r="U718" s="135"/>
      <c r="V718" s="135"/>
      <c r="W718" s="135"/>
      <c r="X718" s="173" t="s">
        <v>239</v>
      </c>
      <c r="Y718" s="173" t="s">
        <v>239</v>
      </c>
      <c r="AA718" s="113" t="e">
        <v>#N/A</v>
      </c>
      <c r="AB718" s="113" t="e">
        <v>#N/A</v>
      </c>
    </row>
    <row r="719" spans="1:28" ht="15">
      <c r="A719" s="108">
        <v>718</v>
      </c>
      <c r="B719" s="108" t="s">
        <v>225</v>
      </c>
      <c r="C719" s="109">
        <v>46076</v>
      </c>
      <c r="D719" s="135" t="s">
        <v>933</v>
      </c>
      <c r="E719" s="110" t="s">
        <v>5252</v>
      </c>
      <c r="F719" s="135" t="s">
        <v>6476</v>
      </c>
      <c r="G719" s="108">
        <v>23</v>
      </c>
      <c r="H719" s="135" t="s">
        <v>6489</v>
      </c>
      <c r="I719" s="108">
        <v>9676152912</v>
      </c>
      <c r="J719" s="135"/>
      <c r="K719" s="135" t="s">
        <v>6490</v>
      </c>
      <c r="L719" s="135" t="s">
        <v>6490</v>
      </c>
      <c r="M719" s="190">
        <v>132</v>
      </c>
      <c r="N719" s="190">
        <v>132</v>
      </c>
      <c r="O719" s="110" t="s">
        <v>239</v>
      </c>
      <c r="P719" s="110" t="s">
        <v>239</v>
      </c>
      <c r="Q719" s="135" t="s">
        <v>239</v>
      </c>
      <c r="R719" s="135" t="s">
        <v>239</v>
      </c>
      <c r="S719" s="135"/>
      <c r="T719" s="110">
        <f t="shared" si="11"/>
        <v>132</v>
      </c>
      <c r="U719" s="135"/>
      <c r="V719" s="135"/>
      <c r="W719" s="135"/>
      <c r="X719" s="173" t="s">
        <v>239</v>
      </c>
      <c r="Y719" s="173" t="s">
        <v>239</v>
      </c>
      <c r="AA719" s="113" t="e">
        <v>#N/A</v>
      </c>
      <c r="AB719" s="113" t="e">
        <v>#N/A</v>
      </c>
    </row>
    <row r="720" spans="1:28" ht="15">
      <c r="A720" s="108">
        <v>719</v>
      </c>
      <c r="B720" s="108" t="s">
        <v>225</v>
      </c>
      <c r="C720" s="109">
        <v>46076</v>
      </c>
      <c r="D720" s="135" t="s">
        <v>933</v>
      </c>
      <c r="E720" s="110" t="s">
        <v>5252</v>
      </c>
      <c r="F720" s="135" t="s">
        <v>6476</v>
      </c>
      <c r="G720" s="108">
        <v>23</v>
      </c>
      <c r="H720" s="135" t="s">
        <v>6491</v>
      </c>
      <c r="I720" s="108">
        <v>9989887701</v>
      </c>
      <c r="J720" s="135"/>
      <c r="K720" s="135" t="s">
        <v>6492</v>
      </c>
      <c r="L720" s="135" t="s">
        <v>6492</v>
      </c>
      <c r="M720" s="190">
        <v>28.19</v>
      </c>
      <c r="N720" s="190">
        <v>28.19</v>
      </c>
      <c r="O720" s="110" t="s">
        <v>239</v>
      </c>
      <c r="P720" s="110" t="s">
        <v>239</v>
      </c>
      <c r="Q720" s="135" t="s">
        <v>239</v>
      </c>
      <c r="R720" s="135" t="s">
        <v>239</v>
      </c>
      <c r="S720" s="135"/>
      <c r="T720" s="110">
        <f t="shared" si="11"/>
        <v>28.19</v>
      </c>
      <c r="U720" s="135"/>
      <c r="V720" s="135"/>
      <c r="W720" s="135"/>
      <c r="X720" s="173" t="s">
        <v>239</v>
      </c>
      <c r="Y720" s="173" t="s">
        <v>239</v>
      </c>
      <c r="AA720" s="113" t="e">
        <v>#N/A</v>
      </c>
      <c r="AB720" s="113" t="e">
        <v>#N/A</v>
      </c>
    </row>
    <row r="721" spans="1:28" ht="15">
      <c r="A721" s="108">
        <v>720</v>
      </c>
      <c r="B721" s="108" t="s">
        <v>225</v>
      </c>
      <c r="C721" s="109">
        <v>46076</v>
      </c>
      <c r="D721" s="135" t="s">
        <v>933</v>
      </c>
      <c r="E721" s="110" t="s">
        <v>5252</v>
      </c>
      <c r="F721" s="135" t="s">
        <v>6476</v>
      </c>
      <c r="G721" s="108">
        <v>23</v>
      </c>
      <c r="H721" s="135" t="s">
        <v>6493</v>
      </c>
      <c r="I721" s="108">
        <v>9492851437</v>
      </c>
      <c r="J721" s="135"/>
      <c r="K721" s="135" t="s">
        <v>6494</v>
      </c>
      <c r="L721" s="135" t="s">
        <v>6494</v>
      </c>
      <c r="M721" s="190">
        <v>62</v>
      </c>
      <c r="N721" s="190">
        <v>62</v>
      </c>
      <c r="O721" s="110" t="s">
        <v>239</v>
      </c>
      <c r="P721" s="110" t="s">
        <v>239</v>
      </c>
      <c r="Q721" s="135" t="s">
        <v>239</v>
      </c>
      <c r="R721" s="135" t="s">
        <v>239</v>
      </c>
      <c r="S721" s="135"/>
      <c r="T721" s="110">
        <f t="shared" si="11"/>
        <v>62</v>
      </c>
      <c r="U721" s="135"/>
      <c r="V721" s="135"/>
      <c r="W721" s="135"/>
      <c r="X721" s="173" t="s">
        <v>239</v>
      </c>
      <c r="Y721" s="173" t="s">
        <v>239</v>
      </c>
      <c r="AA721" s="113" t="e">
        <v>#N/A</v>
      </c>
      <c r="AB721" s="113" t="e">
        <v>#N/A</v>
      </c>
    </row>
    <row r="722" spans="1:28" ht="15">
      <c r="A722" s="108">
        <v>721</v>
      </c>
      <c r="B722" s="108" t="s">
        <v>225</v>
      </c>
      <c r="C722" s="109">
        <v>46076</v>
      </c>
      <c r="D722" s="135" t="s">
        <v>933</v>
      </c>
      <c r="E722" s="110" t="s">
        <v>5252</v>
      </c>
      <c r="F722" s="135" t="s">
        <v>6476</v>
      </c>
      <c r="G722" s="108">
        <v>23</v>
      </c>
      <c r="H722" s="135" t="s">
        <v>6495</v>
      </c>
      <c r="I722" s="108">
        <v>7093783433</v>
      </c>
      <c r="J722" s="135"/>
      <c r="K722" s="135" t="s">
        <v>6496</v>
      </c>
      <c r="L722" s="135" t="s">
        <v>6496</v>
      </c>
      <c r="M722" s="190">
        <v>30</v>
      </c>
      <c r="N722" s="190">
        <v>30</v>
      </c>
      <c r="O722" s="110" t="s">
        <v>239</v>
      </c>
      <c r="P722" s="110" t="s">
        <v>239</v>
      </c>
      <c r="Q722" s="135" t="s">
        <v>239</v>
      </c>
      <c r="R722" s="135" t="s">
        <v>239</v>
      </c>
      <c r="S722" s="135"/>
      <c r="T722" s="110">
        <f t="shared" si="11"/>
        <v>30</v>
      </c>
      <c r="U722" s="135"/>
      <c r="V722" s="135"/>
      <c r="W722" s="135"/>
      <c r="X722" s="173" t="s">
        <v>239</v>
      </c>
      <c r="Y722" s="173" t="s">
        <v>239</v>
      </c>
      <c r="AA722" s="113" t="e">
        <v>#N/A</v>
      </c>
      <c r="AB722" s="113" t="e">
        <v>#N/A</v>
      </c>
    </row>
    <row r="723" spans="1:28" ht="15">
      <c r="A723" s="108">
        <v>722</v>
      </c>
      <c r="B723" s="108" t="s">
        <v>1425</v>
      </c>
      <c r="C723" s="109">
        <v>46076</v>
      </c>
      <c r="D723" s="135" t="s">
        <v>933</v>
      </c>
      <c r="E723" s="110" t="s">
        <v>5252</v>
      </c>
      <c r="F723" s="135" t="s">
        <v>6497</v>
      </c>
      <c r="G723" s="108">
        <v>23</v>
      </c>
      <c r="H723" s="135" t="s">
        <v>1447</v>
      </c>
      <c r="I723" s="108">
        <v>9989093323</v>
      </c>
      <c r="J723" s="135"/>
      <c r="K723" s="135" t="s">
        <v>1449</v>
      </c>
      <c r="L723" s="135" t="s">
        <v>1449</v>
      </c>
      <c r="M723" s="191">
        <v>638</v>
      </c>
      <c r="N723" s="190">
        <v>638</v>
      </c>
      <c r="O723" s="110" t="s">
        <v>239</v>
      </c>
      <c r="P723" s="110" t="s">
        <v>239</v>
      </c>
      <c r="Q723" s="135" t="s">
        <v>239</v>
      </c>
      <c r="R723" s="135" t="s">
        <v>239</v>
      </c>
      <c r="S723" s="135"/>
      <c r="T723" s="110">
        <f t="shared" si="11"/>
        <v>638</v>
      </c>
      <c r="U723" s="135"/>
      <c r="V723" s="135"/>
      <c r="W723" s="135"/>
      <c r="X723" s="173" t="s">
        <v>239</v>
      </c>
      <c r="Y723" s="173" t="s">
        <v>239</v>
      </c>
      <c r="AA723" s="113" t="e">
        <v>#N/A</v>
      </c>
      <c r="AB723" s="113" t="e">
        <v>#N/A</v>
      </c>
    </row>
    <row r="724" spans="1:28" ht="15">
      <c r="A724" s="108">
        <v>723</v>
      </c>
      <c r="B724" s="108" t="s">
        <v>225</v>
      </c>
      <c r="C724" s="109">
        <v>46076</v>
      </c>
      <c r="D724" s="135" t="s">
        <v>933</v>
      </c>
      <c r="E724" s="110" t="s">
        <v>5252</v>
      </c>
      <c r="F724" s="135" t="s">
        <v>6497</v>
      </c>
      <c r="G724" s="108">
        <v>23</v>
      </c>
      <c r="H724" s="135" t="s">
        <v>6498</v>
      </c>
      <c r="I724" s="108">
        <v>8499967857</v>
      </c>
      <c r="J724" s="135"/>
      <c r="K724" s="135" t="s">
        <v>6499</v>
      </c>
      <c r="L724" s="135" t="s">
        <v>6499</v>
      </c>
      <c r="M724" s="190">
        <v>622.73</v>
      </c>
      <c r="N724" s="190">
        <v>622.73</v>
      </c>
      <c r="O724" s="110" t="s">
        <v>239</v>
      </c>
      <c r="P724" s="110" t="s">
        <v>239</v>
      </c>
      <c r="Q724" s="135" t="s">
        <v>239</v>
      </c>
      <c r="R724" s="135" t="s">
        <v>239</v>
      </c>
      <c r="S724" s="135"/>
      <c r="T724" s="110">
        <f t="shared" si="11"/>
        <v>622.73</v>
      </c>
      <c r="U724" s="135"/>
      <c r="V724" s="135"/>
      <c r="W724" s="135"/>
      <c r="X724" s="173" t="s">
        <v>239</v>
      </c>
      <c r="Y724" s="173" t="s">
        <v>239</v>
      </c>
      <c r="AA724" s="113" t="e">
        <v>#N/A</v>
      </c>
      <c r="AB724" s="113" t="e">
        <v>#N/A</v>
      </c>
    </row>
    <row r="725" spans="1:28" ht="15">
      <c r="A725" s="108">
        <v>724</v>
      </c>
      <c r="B725" s="108" t="s">
        <v>225</v>
      </c>
      <c r="C725" s="109">
        <v>46076</v>
      </c>
      <c r="D725" s="135" t="s">
        <v>933</v>
      </c>
      <c r="E725" s="110" t="s">
        <v>5252</v>
      </c>
      <c r="F725" s="135" t="s">
        <v>6497</v>
      </c>
      <c r="G725" s="108">
        <v>23</v>
      </c>
      <c r="H725" s="135" t="s">
        <v>6500</v>
      </c>
      <c r="I725" s="108">
        <v>9014646146</v>
      </c>
      <c r="J725" s="135"/>
      <c r="K725" s="135" t="s">
        <v>6501</v>
      </c>
      <c r="L725" s="135" t="s">
        <v>6501</v>
      </c>
      <c r="M725" s="190">
        <v>769</v>
      </c>
      <c r="N725" s="190">
        <v>769</v>
      </c>
      <c r="O725" s="110" t="s">
        <v>239</v>
      </c>
      <c r="P725" s="110" t="s">
        <v>239</v>
      </c>
      <c r="Q725" s="135" t="s">
        <v>239</v>
      </c>
      <c r="R725" s="135" t="s">
        <v>239</v>
      </c>
      <c r="S725" s="135"/>
      <c r="T725" s="110">
        <f t="shared" si="11"/>
        <v>769</v>
      </c>
      <c r="U725" s="135"/>
      <c r="V725" s="135"/>
      <c r="W725" s="135"/>
      <c r="X725" s="173" t="s">
        <v>239</v>
      </c>
      <c r="Y725" s="173" t="s">
        <v>239</v>
      </c>
      <c r="AA725" s="113" t="e">
        <v>#N/A</v>
      </c>
      <c r="AB725" s="113" t="e">
        <v>#N/A</v>
      </c>
    </row>
    <row r="726" spans="1:28" ht="15">
      <c r="A726" s="108">
        <v>725</v>
      </c>
      <c r="B726" s="108" t="s">
        <v>225</v>
      </c>
      <c r="C726" s="109">
        <v>46076</v>
      </c>
      <c r="D726" s="135" t="s">
        <v>933</v>
      </c>
      <c r="E726" s="110" t="s">
        <v>5252</v>
      </c>
      <c r="F726" s="135" t="s">
        <v>6497</v>
      </c>
      <c r="G726" s="108">
        <v>23</v>
      </c>
      <c r="H726" s="135" t="s">
        <v>6502</v>
      </c>
      <c r="I726" s="108">
        <v>9182906933</v>
      </c>
      <c r="J726" s="135"/>
      <c r="K726" s="135" t="s">
        <v>6503</v>
      </c>
      <c r="L726" s="135" t="s">
        <v>6503</v>
      </c>
      <c r="M726" s="190">
        <v>613</v>
      </c>
      <c r="N726" s="190">
        <v>613</v>
      </c>
      <c r="O726" s="110" t="s">
        <v>239</v>
      </c>
      <c r="P726" s="110" t="s">
        <v>239</v>
      </c>
      <c r="Q726" s="135" t="s">
        <v>239</v>
      </c>
      <c r="R726" s="135" t="s">
        <v>239</v>
      </c>
      <c r="S726" s="135"/>
      <c r="T726" s="110">
        <f t="shared" si="11"/>
        <v>613</v>
      </c>
      <c r="U726" s="135"/>
      <c r="V726" s="135"/>
      <c r="W726" s="135"/>
      <c r="X726" s="173" t="s">
        <v>239</v>
      </c>
      <c r="Y726" s="173" t="s">
        <v>239</v>
      </c>
      <c r="AA726" s="113" t="e">
        <v>#N/A</v>
      </c>
      <c r="AB726" s="113" t="e">
        <v>#N/A</v>
      </c>
    </row>
    <row r="727" spans="1:28" ht="15">
      <c r="A727" s="108">
        <v>726</v>
      </c>
      <c r="B727" s="123" t="s">
        <v>225</v>
      </c>
      <c r="C727" s="124">
        <v>46076</v>
      </c>
      <c r="D727" s="180" t="s">
        <v>933</v>
      </c>
      <c r="E727" s="125" t="s">
        <v>5252</v>
      </c>
      <c r="F727" s="180" t="s">
        <v>6497</v>
      </c>
      <c r="G727" s="123">
        <v>23</v>
      </c>
      <c r="H727" s="180" t="s">
        <v>6504</v>
      </c>
      <c r="I727" s="123">
        <v>9396626299</v>
      </c>
      <c r="J727" s="180"/>
      <c r="K727" s="180" t="s">
        <v>6505</v>
      </c>
      <c r="L727" s="180" t="s">
        <v>6505</v>
      </c>
      <c r="M727" s="192">
        <v>163.19999999999999</v>
      </c>
      <c r="N727" s="192">
        <v>163.19999999999999</v>
      </c>
      <c r="O727" s="110" t="s">
        <v>239</v>
      </c>
      <c r="P727" s="110" t="s">
        <v>239</v>
      </c>
      <c r="Q727" s="180" t="s">
        <v>239</v>
      </c>
      <c r="R727" s="180" t="s">
        <v>239</v>
      </c>
      <c r="S727" s="180"/>
      <c r="T727" s="110">
        <f t="shared" si="11"/>
        <v>163.19999999999999</v>
      </c>
      <c r="U727" s="180"/>
      <c r="V727" s="180"/>
      <c r="W727" s="180"/>
      <c r="X727" s="193" t="s">
        <v>239</v>
      </c>
      <c r="Y727" s="193" t="s">
        <v>239</v>
      </c>
      <c r="AA727" s="113" t="e">
        <v>#N/A</v>
      </c>
      <c r="AB727" s="113" t="e">
        <v>#N/A</v>
      </c>
    </row>
    <row r="728" spans="1:28" s="135" customFormat="1" ht="15">
      <c r="A728" s="108">
        <v>727</v>
      </c>
      <c r="B728" s="108" t="s">
        <v>225</v>
      </c>
      <c r="C728" s="109">
        <v>46076</v>
      </c>
      <c r="D728" s="135" t="s">
        <v>933</v>
      </c>
      <c r="E728" s="110" t="s">
        <v>5252</v>
      </c>
      <c r="F728" s="135" t="s">
        <v>6497</v>
      </c>
      <c r="G728" s="108">
        <v>23</v>
      </c>
      <c r="H728" s="135" t="s">
        <v>6506</v>
      </c>
      <c r="I728" s="108">
        <v>9700282442</v>
      </c>
      <c r="K728" s="135" t="s">
        <v>6507</v>
      </c>
      <c r="L728" s="135" t="s">
        <v>6507</v>
      </c>
      <c r="M728" s="190">
        <v>500</v>
      </c>
      <c r="N728" s="190">
        <v>500</v>
      </c>
      <c r="O728" s="110" t="s">
        <v>239</v>
      </c>
      <c r="P728" s="110" t="s">
        <v>239</v>
      </c>
      <c r="Q728" s="135" t="s">
        <v>239</v>
      </c>
      <c r="R728" s="135" t="s">
        <v>239</v>
      </c>
      <c r="T728" s="110">
        <f t="shared" si="11"/>
        <v>500</v>
      </c>
      <c r="X728" s="173" t="s">
        <v>239</v>
      </c>
      <c r="Y728" s="173" t="s">
        <v>239</v>
      </c>
      <c r="AA728" s="135" t="e">
        <v>#N/A</v>
      </c>
      <c r="AB728" s="135" t="e">
        <v>#N/A</v>
      </c>
    </row>
    <row r="729" spans="1:28" s="135" customFormat="1" ht="15">
      <c r="A729" s="108">
        <v>728</v>
      </c>
      <c r="B729" s="108" t="s">
        <v>225</v>
      </c>
      <c r="C729" s="109">
        <v>46076</v>
      </c>
      <c r="D729" s="135" t="s">
        <v>226</v>
      </c>
      <c r="E729" s="110" t="s">
        <v>5252</v>
      </c>
      <c r="F729" s="135" t="s">
        <v>6232</v>
      </c>
      <c r="G729" s="108">
        <v>25</v>
      </c>
      <c r="H729" s="108" t="s">
        <v>6508</v>
      </c>
      <c r="I729" s="108">
        <v>9902514544</v>
      </c>
      <c r="K729" s="183" t="s">
        <v>1309</v>
      </c>
      <c r="L729" s="179" t="s">
        <v>1309</v>
      </c>
      <c r="M729" s="108">
        <v>35910</v>
      </c>
      <c r="N729" s="108">
        <v>17920</v>
      </c>
      <c r="O729" s="109">
        <v>46080</v>
      </c>
      <c r="P729" s="135" t="s">
        <v>813</v>
      </c>
      <c r="Q729" s="135" t="s">
        <v>52</v>
      </c>
      <c r="R729" s="135" t="s">
        <v>298</v>
      </c>
      <c r="S729" s="135">
        <f>7000+10910</f>
        <v>17910</v>
      </c>
      <c r="T729" s="110">
        <f t="shared" si="11"/>
        <v>10</v>
      </c>
      <c r="U729" s="194">
        <v>46086</v>
      </c>
      <c r="V729" s="135" t="s">
        <v>6509</v>
      </c>
      <c r="W729" s="135" t="s">
        <v>54</v>
      </c>
      <c r="X729" s="132" t="s">
        <v>5156</v>
      </c>
      <c r="Y729" s="152" t="s">
        <v>1311</v>
      </c>
      <c r="AA729" s="135" t="s">
        <v>4484</v>
      </c>
      <c r="AB729" s="135" t="s">
        <v>4485</v>
      </c>
    </row>
    <row r="730" spans="1:28">
      <c r="A730" s="108">
        <v>729</v>
      </c>
      <c r="B730" s="108" t="s">
        <v>225</v>
      </c>
      <c r="C730" s="109">
        <v>46078</v>
      </c>
      <c r="D730" s="108" t="s">
        <v>933</v>
      </c>
      <c r="E730" s="110" t="s">
        <v>5252</v>
      </c>
      <c r="F730" s="108" t="s">
        <v>6497</v>
      </c>
      <c r="G730" s="108"/>
      <c r="H730" s="108" t="s">
        <v>6510</v>
      </c>
      <c r="I730" s="108">
        <v>7075970972</v>
      </c>
      <c r="J730" s="108"/>
      <c r="K730" s="108" t="s">
        <v>6511</v>
      </c>
      <c r="L730" s="108" t="s">
        <v>6511</v>
      </c>
      <c r="M730" s="108">
        <v>42166</v>
      </c>
      <c r="N730" s="108">
        <v>42166</v>
      </c>
      <c r="O730" s="109">
        <v>46078</v>
      </c>
      <c r="P730" s="108" t="s">
        <v>2158</v>
      </c>
      <c r="Q730" s="108" t="s">
        <v>52</v>
      </c>
      <c r="R730" s="108" t="s">
        <v>76</v>
      </c>
      <c r="S730" s="108">
        <v>42000</v>
      </c>
      <c r="T730" s="110">
        <f t="shared" si="11"/>
        <v>166</v>
      </c>
      <c r="U730" s="194">
        <v>46079</v>
      </c>
      <c r="V730" s="135" t="s">
        <v>6512</v>
      </c>
      <c r="W730" s="108" t="s">
        <v>54</v>
      </c>
      <c r="X730" s="108" t="s">
        <v>76</v>
      </c>
      <c r="Y730" s="108" t="s">
        <v>76</v>
      </c>
      <c r="AA730" s="113" t="e">
        <v>#N/A</v>
      </c>
      <c r="AB730" s="113" t="e">
        <v>#N/A</v>
      </c>
    </row>
    <row r="731" spans="1:28">
      <c r="A731" s="108">
        <v>730</v>
      </c>
      <c r="B731" s="108" t="s">
        <v>225</v>
      </c>
      <c r="C731" s="109">
        <v>46078</v>
      </c>
      <c r="D731" s="135" t="s">
        <v>226</v>
      </c>
      <c r="E731" s="110" t="s">
        <v>5252</v>
      </c>
      <c r="F731" s="135" t="s">
        <v>236</v>
      </c>
      <c r="G731" s="108">
        <v>25</v>
      </c>
      <c r="H731" s="135" t="s">
        <v>6513</v>
      </c>
      <c r="I731" s="108">
        <v>8088162113</v>
      </c>
      <c r="J731" s="135"/>
      <c r="K731" s="179" t="s">
        <v>6514</v>
      </c>
      <c r="L731" s="179" t="s">
        <v>6514</v>
      </c>
      <c r="M731" s="108">
        <v>1350</v>
      </c>
      <c r="N731" s="108">
        <v>1350</v>
      </c>
      <c r="O731" s="110" t="s">
        <v>239</v>
      </c>
      <c r="P731" s="110" t="s">
        <v>239</v>
      </c>
      <c r="Q731" s="135" t="s">
        <v>239</v>
      </c>
      <c r="R731" s="135" t="s">
        <v>239</v>
      </c>
      <c r="S731" s="135"/>
      <c r="T731" s="110">
        <f t="shared" si="11"/>
        <v>1350</v>
      </c>
      <c r="U731" s="135"/>
      <c r="V731" s="135"/>
      <c r="W731" s="135"/>
      <c r="X731" s="135" t="s">
        <v>239</v>
      </c>
      <c r="Y731" s="135" t="s">
        <v>239</v>
      </c>
      <c r="AA731" s="113" t="e">
        <v>#N/A</v>
      </c>
      <c r="AB731" s="113" t="e">
        <v>#N/A</v>
      </c>
    </row>
    <row r="732" spans="1:28">
      <c r="A732" s="108">
        <v>731</v>
      </c>
      <c r="B732" s="108" t="s">
        <v>225</v>
      </c>
      <c r="C732" s="109">
        <v>46078</v>
      </c>
      <c r="D732" s="135" t="s">
        <v>226</v>
      </c>
      <c r="E732" s="110" t="s">
        <v>5252</v>
      </c>
      <c r="F732" s="135" t="s">
        <v>236</v>
      </c>
      <c r="G732" s="108">
        <v>25</v>
      </c>
      <c r="H732" s="135" t="s">
        <v>6515</v>
      </c>
      <c r="I732" s="108">
        <v>8367734746</v>
      </c>
      <c r="J732" s="135"/>
      <c r="K732" s="179" t="s">
        <v>6516</v>
      </c>
      <c r="L732" s="179" t="s">
        <v>6516</v>
      </c>
      <c r="M732" s="108">
        <v>2200</v>
      </c>
      <c r="N732" s="108">
        <v>2200</v>
      </c>
      <c r="O732" s="110" t="s">
        <v>239</v>
      </c>
      <c r="P732" s="110" t="s">
        <v>239</v>
      </c>
      <c r="Q732" s="135" t="s">
        <v>239</v>
      </c>
      <c r="R732" s="135" t="s">
        <v>239</v>
      </c>
      <c r="S732" s="135"/>
      <c r="T732" s="110">
        <f t="shared" si="11"/>
        <v>2200</v>
      </c>
      <c r="U732" s="135"/>
      <c r="V732" s="135"/>
      <c r="W732" s="135"/>
      <c r="X732" s="135" t="s">
        <v>239</v>
      </c>
      <c r="Y732" s="135" t="s">
        <v>239</v>
      </c>
      <c r="AA732" s="113" t="e">
        <v>#N/A</v>
      </c>
      <c r="AB732" s="113" t="e">
        <v>#N/A</v>
      </c>
    </row>
    <row r="733" spans="1:28">
      <c r="A733" s="108">
        <v>732</v>
      </c>
      <c r="B733" s="108" t="s">
        <v>225</v>
      </c>
      <c r="C733" s="109">
        <v>46078</v>
      </c>
      <c r="D733" s="135" t="s">
        <v>226</v>
      </c>
      <c r="E733" s="110" t="s">
        <v>5252</v>
      </c>
      <c r="F733" s="135" t="s">
        <v>236</v>
      </c>
      <c r="G733" s="108">
        <v>25</v>
      </c>
      <c r="H733" s="135" t="s">
        <v>6517</v>
      </c>
      <c r="I733" s="108">
        <v>8525978707</v>
      </c>
      <c r="J733" s="135"/>
      <c r="K733" s="179" t="s">
        <v>6518</v>
      </c>
      <c r="L733" s="179" t="s">
        <v>6518</v>
      </c>
      <c r="M733" s="108">
        <v>2600</v>
      </c>
      <c r="N733" s="108">
        <v>2600</v>
      </c>
      <c r="O733" s="110" t="s">
        <v>239</v>
      </c>
      <c r="P733" s="110" t="s">
        <v>239</v>
      </c>
      <c r="Q733" s="135" t="s">
        <v>239</v>
      </c>
      <c r="R733" s="135" t="s">
        <v>239</v>
      </c>
      <c r="S733" s="135"/>
      <c r="T733" s="110">
        <f t="shared" si="11"/>
        <v>2600</v>
      </c>
      <c r="U733" s="135"/>
      <c r="V733" s="135"/>
      <c r="W733" s="135"/>
      <c r="X733" s="135" t="s">
        <v>239</v>
      </c>
      <c r="Y733" s="135" t="s">
        <v>239</v>
      </c>
      <c r="AA733" s="113" t="e">
        <v>#N/A</v>
      </c>
      <c r="AB733" s="113" t="e">
        <v>#N/A</v>
      </c>
    </row>
    <row r="734" spans="1:28">
      <c r="A734" s="108">
        <v>733</v>
      </c>
      <c r="B734" s="108" t="s">
        <v>225</v>
      </c>
      <c r="C734" s="109">
        <v>46078</v>
      </c>
      <c r="D734" s="135" t="s">
        <v>226</v>
      </c>
      <c r="E734" s="110" t="s">
        <v>5252</v>
      </c>
      <c r="F734" s="135" t="s">
        <v>236</v>
      </c>
      <c r="G734" s="108">
        <v>25</v>
      </c>
      <c r="H734" s="135" t="s">
        <v>6519</v>
      </c>
      <c r="I734" s="108">
        <v>7358421060</v>
      </c>
      <c r="J734" s="135"/>
      <c r="K734" s="179" t="s">
        <v>6520</v>
      </c>
      <c r="L734" s="179" t="s">
        <v>6520</v>
      </c>
      <c r="M734" s="108">
        <v>460</v>
      </c>
      <c r="N734" s="108">
        <v>460</v>
      </c>
      <c r="O734" s="110" t="s">
        <v>239</v>
      </c>
      <c r="P734" s="110" t="s">
        <v>239</v>
      </c>
      <c r="Q734" s="135" t="s">
        <v>239</v>
      </c>
      <c r="R734" s="135" t="s">
        <v>239</v>
      </c>
      <c r="S734" s="135"/>
      <c r="T734" s="110">
        <f t="shared" si="11"/>
        <v>460</v>
      </c>
      <c r="U734" s="135"/>
      <c r="V734" s="135"/>
      <c r="W734" s="135"/>
      <c r="X734" s="135" t="s">
        <v>239</v>
      </c>
      <c r="Y734" s="135" t="s">
        <v>239</v>
      </c>
      <c r="AA734" s="113" t="e">
        <v>#N/A</v>
      </c>
      <c r="AB734" s="113" t="e">
        <v>#N/A</v>
      </c>
    </row>
    <row r="735" spans="1:28">
      <c r="A735" s="108">
        <v>734</v>
      </c>
      <c r="B735" s="108" t="s">
        <v>225</v>
      </c>
      <c r="C735" s="109">
        <v>46078</v>
      </c>
      <c r="D735" s="135" t="s">
        <v>226</v>
      </c>
      <c r="E735" s="110" t="s">
        <v>5252</v>
      </c>
      <c r="F735" s="135" t="s">
        <v>236</v>
      </c>
      <c r="G735" s="108">
        <v>25</v>
      </c>
      <c r="H735" s="135" t="s">
        <v>6521</v>
      </c>
      <c r="I735" s="108">
        <v>9739062716</v>
      </c>
      <c r="J735" s="135"/>
      <c r="K735" s="179" t="s">
        <v>6522</v>
      </c>
      <c r="L735" s="179" t="s">
        <v>6522</v>
      </c>
      <c r="M735" s="108">
        <v>260</v>
      </c>
      <c r="N735" s="108">
        <v>260</v>
      </c>
      <c r="O735" s="110" t="s">
        <v>239</v>
      </c>
      <c r="P735" s="110" t="s">
        <v>239</v>
      </c>
      <c r="Q735" s="135" t="s">
        <v>239</v>
      </c>
      <c r="R735" s="135" t="s">
        <v>239</v>
      </c>
      <c r="S735" s="135"/>
      <c r="T735" s="110">
        <f t="shared" si="11"/>
        <v>260</v>
      </c>
      <c r="U735" s="135"/>
      <c r="V735" s="135"/>
      <c r="W735" s="135"/>
      <c r="X735" s="135" t="s">
        <v>239</v>
      </c>
      <c r="Y735" s="135" t="s">
        <v>239</v>
      </c>
      <c r="AA735" s="113" t="e">
        <v>#N/A</v>
      </c>
      <c r="AB735" s="113" t="e">
        <v>#N/A</v>
      </c>
    </row>
    <row r="736" spans="1:28">
      <c r="A736" s="108">
        <v>735</v>
      </c>
      <c r="B736" s="108" t="s">
        <v>225</v>
      </c>
      <c r="C736" s="109">
        <v>46078</v>
      </c>
      <c r="D736" s="135" t="s">
        <v>226</v>
      </c>
      <c r="E736" s="110" t="s">
        <v>5252</v>
      </c>
      <c r="F736" s="135" t="s">
        <v>236</v>
      </c>
      <c r="G736" s="108">
        <v>25</v>
      </c>
      <c r="H736" s="135" t="s">
        <v>6523</v>
      </c>
      <c r="I736" s="108">
        <v>7995391536</v>
      </c>
      <c r="J736" s="135"/>
      <c r="K736" s="179" t="s">
        <v>6524</v>
      </c>
      <c r="L736" s="179" t="s">
        <v>6524</v>
      </c>
      <c r="M736" s="108">
        <v>100</v>
      </c>
      <c r="N736" s="108">
        <v>100</v>
      </c>
      <c r="O736" s="110" t="s">
        <v>239</v>
      </c>
      <c r="P736" s="110" t="s">
        <v>239</v>
      </c>
      <c r="Q736" s="135" t="s">
        <v>239</v>
      </c>
      <c r="R736" s="135" t="s">
        <v>239</v>
      </c>
      <c r="S736" s="135"/>
      <c r="T736" s="110">
        <f t="shared" si="11"/>
        <v>100</v>
      </c>
      <c r="U736" s="135"/>
      <c r="V736" s="135"/>
      <c r="W736" s="135"/>
      <c r="X736" s="135" t="s">
        <v>239</v>
      </c>
      <c r="Y736" s="135" t="s">
        <v>239</v>
      </c>
      <c r="AA736" s="113" t="e">
        <v>#N/A</v>
      </c>
      <c r="AB736" s="113" t="e">
        <v>#N/A</v>
      </c>
    </row>
    <row r="737" spans="1:28">
      <c r="A737" s="108">
        <v>736</v>
      </c>
      <c r="B737" s="108" t="s">
        <v>225</v>
      </c>
      <c r="C737" s="109">
        <v>46078</v>
      </c>
      <c r="D737" s="135" t="s">
        <v>226</v>
      </c>
      <c r="E737" s="110" t="s">
        <v>5252</v>
      </c>
      <c r="F737" s="135" t="s">
        <v>236</v>
      </c>
      <c r="G737" s="108">
        <v>25</v>
      </c>
      <c r="H737" s="135" t="s">
        <v>6525</v>
      </c>
      <c r="I737" s="108">
        <v>9398863732</v>
      </c>
      <c r="J737" s="135"/>
      <c r="K737" s="179" t="s">
        <v>6526</v>
      </c>
      <c r="L737" s="179" t="s">
        <v>6526</v>
      </c>
      <c r="M737" s="108">
        <v>170</v>
      </c>
      <c r="N737" s="108">
        <v>170</v>
      </c>
      <c r="O737" s="110" t="s">
        <v>239</v>
      </c>
      <c r="P737" s="110" t="s">
        <v>239</v>
      </c>
      <c r="Q737" s="135" t="s">
        <v>239</v>
      </c>
      <c r="R737" s="135" t="s">
        <v>239</v>
      </c>
      <c r="S737" s="135"/>
      <c r="T737" s="110">
        <f t="shared" si="11"/>
        <v>170</v>
      </c>
      <c r="U737" s="135"/>
      <c r="V737" s="135"/>
      <c r="W737" s="135"/>
      <c r="X737" s="135" t="s">
        <v>239</v>
      </c>
      <c r="Y737" s="135" t="s">
        <v>239</v>
      </c>
      <c r="AA737" s="113" t="e">
        <v>#N/A</v>
      </c>
      <c r="AB737" s="113" t="e">
        <v>#N/A</v>
      </c>
    </row>
    <row r="738" spans="1:28">
      <c r="A738" s="108">
        <v>737</v>
      </c>
      <c r="B738" s="123" t="s">
        <v>225</v>
      </c>
      <c r="C738" s="124">
        <v>46078</v>
      </c>
      <c r="D738" s="180" t="s">
        <v>226</v>
      </c>
      <c r="E738" s="125" t="s">
        <v>5252</v>
      </c>
      <c r="F738" s="180" t="s">
        <v>236</v>
      </c>
      <c r="G738" s="123">
        <v>25</v>
      </c>
      <c r="H738" s="180" t="s">
        <v>6527</v>
      </c>
      <c r="I738" s="123">
        <v>9600062456</v>
      </c>
      <c r="J738" s="180"/>
      <c r="K738" s="181" t="s">
        <v>6528</v>
      </c>
      <c r="L738" s="181" t="s">
        <v>6528</v>
      </c>
      <c r="M738" s="123">
        <v>420</v>
      </c>
      <c r="N738" s="123">
        <v>420</v>
      </c>
      <c r="O738" s="110" t="s">
        <v>239</v>
      </c>
      <c r="P738" s="110" t="s">
        <v>239</v>
      </c>
      <c r="Q738" s="180" t="s">
        <v>239</v>
      </c>
      <c r="R738" s="180" t="s">
        <v>239</v>
      </c>
      <c r="S738" s="180"/>
      <c r="T738" s="110">
        <f t="shared" si="11"/>
        <v>420</v>
      </c>
      <c r="U738" s="180"/>
      <c r="V738" s="180"/>
      <c r="W738" s="180"/>
      <c r="X738" s="180" t="s">
        <v>239</v>
      </c>
      <c r="Y738" s="180" t="s">
        <v>239</v>
      </c>
      <c r="AA738" s="113" t="e">
        <v>#N/A</v>
      </c>
      <c r="AB738" s="113" t="e">
        <v>#N/A</v>
      </c>
    </row>
    <row r="739" spans="1:28" s="108" customFormat="1">
      <c r="A739" s="108">
        <v>738</v>
      </c>
      <c r="B739" s="108" t="s">
        <v>225</v>
      </c>
      <c r="C739" s="109">
        <v>46078</v>
      </c>
      <c r="D739" s="108" t="s">
        <v>226</v>
      </c>
      <c r="E739" s="110" t="s">
        <v>5252</v>
      </c>
      <c r="F739" s="108" t="s">
        <v>236</v>
      </c>
      <c r="G739" s="108">
        <v>25</v>
      </c>
      <c r="H739" s="108" t="s">
        <v>6529</v>
      </c>
      <c r="I739" s="108">
        <v>7010367793</v>
      </c>
      <c r="K739" s="183" t="s">
        <v>6530</v>
      </c>
      <c r="L739" s="183" t="s">
        <v>6530</v>
      </c>
      <c r="M739" s="108">
        <v>200</v>
      </c>
      <c r="N739" s="108">
        <v>200</v>
      </c>
      <c r="O739" s="110" t="s">
        <v>239</v>
      </c>
      <c r="P739" s="110" t="s">
        <v>239</v>
      </c>
      <c r="Q739" s="108" t="s">
        <v>239</v>
      </c>
      <c r="R739" s="108" t="s">
        <v>239</v>
      </c>
      <c r="T739" s="110">
        <f t="shared" si="11"/>
        <v>200</v>
      </c>
      <c r="X739" s="108" t="s">
        <v>239</v>
      </c>
      <c r="Y739" s="108" t="s">
        <v>239</v>
      </c>
      <c r="AA739" s="108" t="e">
        <v>#N/A</v>
      </c>
      <c r="AB739" s="108" t="e">
        <v>#N/A</v>
      </c>
    </row>
    <row r="740" spans="1:28" s="108" customFormat="1">
      <c r="A740" s="108">
        <v>739</v>
      </c>
      <c r="B740" s="108" t="s">
        <v>225</v>
      </c>
      <c r="C740" s="109">
        <v>46078</v>
      </c>
      <c r="D740" s="108" t="s">
        <v>933</v>
      </c>
      <c r="E740" s="110" t="s">
        <v>5252</v>
      </c>
      <c r="F740" s="108" t="s">
        <v>6497</v>
      </c>
      <c r="G740" s="108">
        <v>25</v>
      </c>
      <c r="H740" s="108" t="s">
        <v>6531</v>
      </c>
      <c r="I740" s="108">
        <v>9573158365</v>
      </c>
      <c r="K740" s="108" t="s">
        <v>6532</v>
      </c>
      <c r="L740" s="108" t="s">
        <v>6532</v>
      </c>
      <c r="M740" s="108">
        <v>645</v>
      </c>
      <c r="N740" s="108">
        <v>645</v>
      </c>
      <c r="O740" s="172">
        <v>46078</v>
      </c>
      <c r="P740" s="118" t="s">
        <v>1425</v>
      </c>
      <c r="Q740" s="108" t="s">
        <v>52</v>
      </c>
      <c r="R740" s="108" t="s">
        <v>1425</v>
      </c>
      <c r="S740" s="108">
        <v>645</v>
      </c>
      <c r="T740" s="110">
        <f t="shared" si="11"/>
        <v>0</v>
      </c>
      <c r="U740" s="109">
        <v>46078</v>
      </c>
      <c r="V740" s="108" t="s">
        <v>6533</v>
      </c>
      <c r="W740" s="108" t="s">
        <v>54</v>
      </c>
      <c r="X740" s="108" t="s">
        <v>239</v>
      </c>
      <c r="Y740" s="108" t="s">
        <v>239</v>
      </c>
      <c r="AA740" s="108" t="e">
        <v>#N/A</v>
      </c>
      <c r="AB740" s="108" t="e">
        <v>#N/A</v>
      </c>
    </row>
    <row r="741" spans="1:28" ht="15">
      <c r="A741" s="108">
        <v>740</v>
      </c>
      <c r="B741" s="108"/>
      <c r="C741" s="109">
        <v>46078</v>
      </c>
      <c r="D741" s="135" t="s">
        <v>226</v>
      </c>
      <c r="E741" s="110" t="s">
        <v>5252</v>
      </c>
      <c r="F741" s="110" t="s">
        <v>767</v>
      </c>
      <c r="G741" s="108">
        <v>25</v>
      </c>
      <c r="H741" s="100" t="s">
        <v>6534</v>
      </c>
      <c r="I741" s="100" t="s">
        <v>6535</v>
      </c>
      <c r="J741" s="108"/>
      <c r="K741" s="100" t="s">
        <v>6536</v>
      </c>
      <c r="L741" s="100" t="s">
        <v>6536</v>
      </c>
      <c r="M741" s="195">
        <v>24930</v>
      </c>
      <c r="N741" s="195">
        <v>24930</v>
      </c>
      <c r="O741" s="187">
        <v>46082</v>
      </c>
      <c r="P741" s="100" t="s">
        <v>774</v>
      </c>
      <c r="Q741" s="108" t="s">
        <v>52</v>
      </c>
      <c r="R741" s="135" t="s">
        <v>772</v>
      </c>
      <c r="S741" s="135">
        <v>24930</v>
      </c>
      <c r="T741" s="110">
        <f t="shared" si="11"/>
        <v>0</v>
      </c>
      <c r="U741" s="178">
        <v>46081</v>
      </c>
      <c r="V741" s="135" t="s">
        <v>6537</v>
      </c>
      <c r="W741" s="135" t="s">
        <v>54</v>
      </c>
      <c r="X741" s="100" t="s">
        <v>774</v>
      </c>
      <c r="Y741" s="100" t="s">
        <v>3761</v>
      </c>
      <c r="AA741" s="113" t="s">
        <v>11</v>
      </c>
      <c r="AB741" s="113" t="s">
        <v>4969</v>
      </c>
    </row>
    <row r="742" spans="1:28">
      <c r="A742" s="108">
        <v>741</v>
      </c>
      <c r="B742" s="108" t="s">
        <v>346</v>
      </c>
      <c r="C742" s="109">
        <v>46078</v>
      </c>
      <c r="D742" s="108" t="s">
        <v>226</v>
      </c>
      <c r="E742" s="110" t="s">
        <v>5252</v>
      </c>
      <c r="F742" s="108" t="s">
        <v>364</v>
      </c>
      <c r="G742" s="108">
        <v>25</v>
      </c>
      <c r="H742" s="108" t="s">
        <v>6538</v>
      </c>
      <c r="I742" s="108">
        <v>9989988665</v>
      </c>
      <c r="J742" s="108"/>
      <c r="K742" s="183" t="s">
        <v>6539</v>
      </c>
      <c r="L742" s="183" t="s">
        <v>6539</v>
      </c>
      <c r="M742" s="108">
        <v>18300</v>
      </c>
      <c r="N742" s="108">
        <v>18300</v>
      </c>
      <c r="O742" s="109">
        <v>46080</v>
      </c>
      <c r="P742" s="108" t="s">
        <v>2442</v>
      </c>
      <c r="Q742" s="108" t="s">
        <v>52</v>
      </c>
      <c r="R742" s="110" t="s">
        <v>5346</v>
      </c>
      <c r="S742" s="108">
        <v>18300</v>
      </c>
      <c r="T742" s="110">
        <f t="shared" si="11"/>
        <v>0</v>
      </c>
      <c r="U742" s="109">
        <v>46080</v>
      </c>
      <c r="V742" s="108" t="s">
        <v>6540</v>
      </c>
      <c r="W742" s="108" t="s">
        <v>54</v>
      </c>
      <c r="X742" s="108" t="s">
        <v>2442</v>
      </c>
      <c r="Y742" s="108" t="s">
        <v>2442</v>
      </c>
      <c r="AA742" s="113" t="e">
        <v>#N/A</v>
      </c>
      <c r="AB742" s="113" t="e">
        <v>#N/A</v>
      </c>
    </row>
    <row r="743" spans="1:28">
      <c r="A743" s="108">
        <v>742</v>
      </c>
      <c r="B743" s="108" t="s">
        <v>225</v>
      </c>
      <c r="C743" s="109">
        <v>46078</v>
      </c>
      <c r="D743" s="108" t="s">
        <v>226</v>
      </c>
      <c r="E743" s="110" t="s">
        <v>5252</v>
      </c>
      <c r="F743" s="108" t="s">
        <v>227</v>
      </c>
      <c r="G743" s="108"/>
      <c r="H743" s="108" t="s">
        <v>6541</v>
      </c>
      <c r="I743" s="108">
        <v>7386697979</v>
      </c>
      <c r="J743" s="108"/>
      <c r="K743" s="183" t="s">
        <v>6542</v>
      </c>
      <c r="L743" s="183" t="s">
        <v>6542</v>
      </c>
      <c r="M743" s="108">
        <v>14310</v>
      </c>
      <c r="N743" s="108">
        <v>14310</v>
      </c>
      <c r="O743" s="109">
        <v>46079</v>
      </c>
      <c r="P743" s="108" t="s">
        <v>230</v>
      </c>
      <c r="Q743" s="108" t="s">
        <v>52</v>
      </c>
      <c r="R743" s="108" t="s">
        <v>230</v>
      </c>
      <c r="S743" s="108">
        <v>14310</v>
      </c>
      <c r="T743" s="110">
        <f t="shared" si="11"/>
        <v>0</v>
      </c>
      <c r="U743" s="109">
        <v>46079</v>
      </c>
      <c r="V743" s="108" t="s">
        <v>6543</v>
      </c>
      <c r="W743" s="108" t="s">
        <v>54</v>
      </c>
      <c r="X743" s="108" t="s">
        <v>230</v>
      </c>
      <c r="Y743" s="108" t="s">
        <v>230</v>
      </c>
      <c r="AA743" s="113" t="e">
        <v>#N/A</v>
      </c>
      <c r="AB743" s="113" t="e">
        <v>#N/A</v>
      </c>
    </row>
    <row r="744" spans="1:28">
      <c r="A744" s="108">
        <v>743</v>
      </c>
      <c r="B744" s="108" t="s">
        <v>225</v>
      </c>
      <c r="C744" s="109">
        <v>46080</v>
      </c>
      <c r="D744" s="108" t="s">
        <v>933</v>
      </c>
      <c r="E744" s="110" t="s">
        <v>5252</v>
      </c>
      <c r="F744" s="108" t="s">
        <v>6544</v>
      </c>
      <c r="G744" s="108">
        <v>5</v>
      </c>
      <c r="H744" s="108" t="s">
        <v>6545</v>
      </c>
      <c r="I744" s="108">
        <v>9908570457</v>
      </c>
      <c r="J744" s="108"/>
      <c r="K744" s="183" t="s">
        <v>6546</v>
      </c>
      <c r="L744" s="183" t="s">
        <v>6546</v>
      </c>
      <c r="M744" s="108">
        <v>12424</v>
      </c>
      <c r="N744" s="108">
        <v>86</v>
      </c>
      <c r="O744" s="110" t="s">
        <v>239</v>
      </c>
      <c r="P744" s="110" t="s">
        <v>239</v>
      </c>
      <c r="Q744" s="108" t="s">
        <v>239</v>
      </c>
      <c r="R744" s="108" t="s">
        <v>76</v>
      </c>
      <c r="S744" s="108"/>
      <c r="T744" s="110">
        <f t="shared" si="11"/>
        <v>86</v>
      </c>
      <c r="U744" s="109"/>
      <c r="V744" s="108"/>
      <c r="W744" s="108"/>
      <c r="X744" s="108" t="s">
        <v>1095</v>
      </c>
      <c r="Y744" s="108" t="s">
        <v>1095</v>
      </c>
      <c r="AA744" s="113" t="e">
        <v>#N/A</v>
      </c>
      <c r="AB744" s="113" t="e">
        <v>#N/A</v>
      </c>
    </row>
    <row r="745" spans="1:28">
      <c r="A745" s="108">
        <v>744</v>
      </c>
      <c r="B745" s="108" t="s">
        <v>225</v>
      </c>
      <c r="C745" s="109">
        <v>46080</v>
      </c>
      <c r="D745" s="108" t="s">
        <v>933</v>
      </c>
      <c r="E745" s="110" t="s">
        <v>5252</v>
      </c>
      <c r="F745" s="108" t="s">
        <v>6544</v>
      </c>
      <c r="G745" s="108">
        <v>10</v>
      </c>
      <c r="H745" s="108" t="s">
        <v>6547</v>
      </c>
      <c r="I745" s="108">
        <v>9640919853</v>
      </c>
      <c r="J745" s="108"/>
      <c r="K745" s="183" t="s">
        <v>6548</v>
      </c>
      <c r="L745" s="183" t="s">
        <v>6548</v>
      </c>
      <c r="M745" s="108">
        <v>10566</v>
      </c>
      <c r="N745" s="108">
        <v>57.63</v>
      </c>
      <c r="O745" s="110" t="s">
        <v>239</v>
      </c>
      <c r="P745" s="110" t="s">
        <v>239</v>
      </c>
      <c r="Q745" s="108" t="s">
        <v>239</v>
      </c>
      <c r="R745" s="108" t="s">
        <v>76</v>
      </c>
      <c r="S745" s="108"/>
      <c r="T745" s="110">
        <f t="shared" si="11"/>
        <v>57.63</v>
      </c>
      <c r="U745" s="109"/>
      <c r="V745" s="108"/>
      <c r="W745" s="108"/>
      <c r="X745" s="108" t="s">
        <v>1095</v>
      </c>
      <c r="Y745" s="108" t="s">
        <v>1095</v>
      </c>
      <c r="AA745" s="113" t="e">
        <v>#N/A</v>
      </c>
      <c r="AB745" s="113" t="e">
        <v>#N/A</v>
      </c>
    </row>
    <row r="746" spans="1:28">
      <c r="A746" s="108">
        <v>745</v>
      </c>
      <c r="B746" s="108" t="s">
        <v>225</v>
      </c>
      <c r="C746" s="109">
        <v>46080</v>
      </c>
      <c r="D746" s="108" t="s">
        <v>933</v>
      </c>
      <c r="E746" s="110" t="s">
        <v>5252</v>
      </c>
      <c r="F746" s="108" t="s">
        <v>6549</v>
      </c>
      <c r="G746" s="108">
        <v>5</v>
      </c>
      <c r="H746" s="108" t="s">
        <v>6550</v>
      </c>
      <c r="I746" s="108" t="s">
        <v>6551</v>
      </c>
      <c r="J746" s="108"/>
      <c r="K746" s="183" t="s">
        <v>6552</v>
      </c>
      <c r="L746" s="183" t="s">
        <v>6552</v>
      </c>
      <c r="M746" s="108">
        <v>24697</v>
      </c>
      <c r="N746" s="108">
        <v>212</v>
      </c>
      <c r="O746" s="110" t="s">
        <v>239</v>
      </c>
      <c r="P746" s="110" t="s">
        <v>239</v>
      </c>
      <c r="Q746" s="108" t="s">
        <v>239</v>
      </c>
      <c r="R746" s="108" t="s">
        <v>76</v>
      </c>
      <c r="S746" s="108"/>
      <c r="T746" s="110">
        <f t="shared" si="11"/>
        <v>212</v>
      </c>
      <c r="U746" s="109"/>
      <c r="V746" s="108"/>
      <c r="W746" s="108"/>
      <c r="X746" s="108" t="s">
        <v>1333</v>
      </c>
      <c r="Y746" s="108" t="s">
        <v>1333</v>
      </c>
      <c r="AA746" s="113" t="e">
        <v>#N/A</v>
      </c>
      <c r="AB746" s="113" t="e">
        <v>#N/A</v>
      </c>
    </row>
    <row r="747" spans="1:28">
      <c r="A747" s="108">
        <v>746</v>
      </c>
      <c r="B747" s="108" t="s">
        <v>225</v>
      </c>
      <c r="C747" s="109">
        <v>46080</v>
      </c>
      <c r="D747" s="108" t="s">
        <v>933</v>
      </c>
      <c r="E747" s="110" t="s">
        <v>5252</v>
      </c>
      <c r="F747" s="108" t="s">
        <v>6549</v>
      </c>
      <c r="G747" s="108">
        <v>20</v>
      </c>
      <c r="H747" s="108" t="s">
        <v>6553</v>
      </c>
      <c r="I747" s="108" t="s">
        <v>6554</v>
      </c>
      <c r="J747" s="108"/>
      <c r="K747" s="183" t="s">
        <v>6555</v>
      </c>
      <c r="L747" s="183" t="s">
        <v>6555</v>
      </c>
      <c r="M747" s="108">
        <v>49508</v>
      </c>
      <c r="N747" s="108">
        <v>1175</v>
      </c>
      <c r="O747" s="110" t="s">
        <v>239</v>
      </c>
      <c r="P747" s="110" t="s">
        <v>239</v>
      </c>
      <c r="Q747" s="108" t="s">
        <v>239</v>
      </c>
      <c r="R747" s="108" t="s">
        <v>76</v>
      </c>
      <c r="S747" s="108"/>
      <c r="T747" s="110">
        <f t="shared" si="11"/>
        <v>1175</v>
      </c>
      <c r="U747" s="109"/>
      <c r="V747" s="108"/>
      <c r="W747" s="108"/>
      <c r="X747" s="108" t="s">
        <v>1333</v>
      </c>
      <c r="Y747" s="108" t="s">
        <v>1333</v>
      </c>
      <c r="AA747" s="113" t="e">
        <v>#N/A</v>
      </c>
      <c r="AB747" s="113" t="e">
        <v>#N/A</v>
      </c>
    </row>
    <row r="748" spans="1:28">
      <c r="A748" s="108">
        <v>747</v>
      </c>
      <c r="B748" s="108" t="s">
        <v>225</v>
      </c>
      <c r="C748" s="109">
        <v>46080</v>
      </c>
      <c r="D748" s="108" t="s">
        <v>933</v>
      </c>
      <c r="E748" s="110" t="s">
        <v>5252</v>
      </c>
      <c r="F748" s="108" t="s">
        <v>6549</v>
      </c>
      <c r="G748" s="108">
        <v>20</v>
      </c>
      <c r="H748" s="108" t="s">
        <v>6556</v>
      </c>
      <c r="I748" s="108" t="s">
        <v>6557</v>
      </c>
      <c r="J748" s="108"/>
      <c r="K748" s="183" t="s">
        <v>6558</v>
      </c>
      <c r="L748" s="183" t="s">
        <v>6558</v>
      </c>
      <c r="M748" s="108">
        <v>20070</v>
      </c>
      <c r="N748" s="108">
        <v>687</v>
      </c>
      <c r="O748" s="110" t="s">
        <v>239</v>
      </c>
      <c r="P748" s="110" t="s">
        <v>239</v>
      </c>
      <c r="Q748" s="108" t="s">
        <v>239</v>
      </c>
      <c r="R748" s="108" t="s">
        <v>76</v>
      </c>
      <c r="S748" s="108"/>
      <c r="T748" s="110">
        <f t="shared" si="11"/>
        <v>687</v>
      </c>
      <c r="U748" s="109"/>
      <c r="V748" s="108"/>
      <c r="W748" s="108"/>
      <c r="X748" s="108" t="s">
        <v>1333</v>
      </c>
      <c r="Y748" s="108" t="s">
        <v>1333</v>
      </c>
      <c r="AA748" s="113" t="e">
        <v>#N/A</v>
      </c>
      <c r="AB748" s="113" t="e">
        <v>#N/A</v>
      </c>
    </row>
    <row r="749" spans="1:28">
      <c r="A749" s="108">
        <v>748</v>
      </c>
      <c r="B749" s="108" t="s">
        <v>225</v>
      </c>
      <c r="C749" s="109">
        <v>46080</v>
      </c>
      <c r="D749" s="108" t="s">
        <v>933</v>
      </c>
      <c r="E749" s="110" t="s">
        <v>5252</v>
      </c>
      <c r="F749" s="108" t="s">
        <v>6549</v>
      </c>
      <c r="G749" s="108">
        <v>5</v>
      </c>
      <c r="H749" s="108" t="s">
        <v>6559</v>
      </c>
      <c r="I749" s="108" t="s">
        <v>6560</v>
      </c>
      <c r="J749" s="108"/>
      <c r="K749" s="183" t="s">
        <v>6561</v>
      </c>
      <c r="L749" s="183" t="s">
        <v>6561</v>
      </c>
      <c r="M749" s="108">
        <v>11683</v>
      </c>
      <c r="N749" s="108">
        <v>1359</v>
      </c>
      <c r="O749" s="110" t="s">
        <v>239</v>
      </c>
      <c r="P749" s="110" t="s">
        <v>239</v>
      </c>
      <c r="Q749" s="108" t="s">
        <v>239</v>
      </c>
      <c r="R749" s="108" t="s">
        <v>76</v>
      </c>
      <c r="S749" s="108"/>
      <c r="T749" s="110">
        <f t="shared" si="11"/>
        <v>1359</v>
      </c>
      <c r="U749" s="109"/>
      <c r="V749" s="108"/>
      <c r="W749" s="108"/>
      <c r="X749" s="108" t="s">
        <v>1333</v>
      </c>
      <c r="Y749" s="108" t="s">
        <v>1333</v>
      </c>
      <c r="AA749" s="113" t="e">
        <v>#N/A</v>
      </c>
      <c r="AB749" s="113" t="e">
        <v>#N/A</v>
      </c>
    </row>
    <row r="750" spans="1:28">
      <c r="A750" s="108">
        <v>749</v>
      </c>
      <c r="B750" s="123" t="s">
        <v>225</v>
      </c>
      <c r="C750" s="124">
        <v>46081</v>
      </c>
      <c r="D750" s="108" t="s">
        <v>933</v>
      </c>
      <c r="E750" s="125" t="s">
        <v>5252</v>
      </c>
      <c r="F750" s="123" t="s">
        <v>6544</v>
      </c>
      <c r="G750" s="123">
        <v>5</v>
      </c>
      <c r="H750" s="123" t="s">
        <v>6562</v>
      </c>
      <c r="I750" s="123">
        <v>8497997965</v>
      </c>
      <c r="J750" s="123"/>
      <c r="K750" s="196" t="s">
        <v>6563</v>
      </c>
      <c r="L750" s="196" t="s">
        <v>6563</v>
      </c>
      <c r="M750" s="123">
        <v>14763</v>
      </c>
      <c r="N750" s="123">
        <v>408</v>
      </c>
      <c r="O750" s="110" t="s">
        <v>239</v>
      </c>
      <c r="P750" s="110" t="s">
        <v>239</v>
      </c>
      <c r="Q750" s="123" t="s">
        <v>239</v>
      </c>
      <c r="R750" s="123" t="s">
        <v>76</v>
      </c>
      <c r="S750" s="123"/>
      <c r="T750" s="125">
        <f t="shared" si="11"/>
        <v>408</v>
      </c>
      <c r="U750" s="124"/>
      <c r="V750" s="123"/>
      <c r="W750" s="123"/>
      <c r="X750" s="123" t="s">
        <v>1095</v>
      </c>
      <c r="Y750" s="123" t="s">
        <v>1095</v>
      </c>
      <c r="AA750" s="113" t="e">
        <v>#N/A</v>
      </c>
      <c r="AB750" s="113" t="e">
        <v>#N/A</v>
      </c>
    </row>
    <row r="751" spans="1:28" s="135" customFormat="1">
      <c r="A751" s="108">
        <v>750</v>
      </c>
      <c r="B751" s="108" t="s">
        <v>225</v>
      </c>
      <c r="C751" s="109">
        <v>46081</v>
      </c>
      <c r="D751" s="108" t="s">
        <v>933</v>
      </c>
      <c r="E751" s="110" t="s">
        <v>5252</v>
      </c>
      <c r="F751" s="108" t="s">
        <v>6544</v>
      </c>
      <c r="G751" s="108">
        <v>5</v>
      </c>
      <c r="H751" s="108" t="s">
        <v>6564</v>
      </c>
      <c r="I751" s="108">
        <v>8142060301</v>
      </c>
      <c r="J751" s="108"/>
      <c r="K751" s="183" t="s">
        <v>6565</v>
      </c>
      <c r="L751" s="183" t="s">
        <v>6565</v>
      </c>
      <c r="M751" s="108">
        <v>4669</v>
      </c>
      <c r="N751" s="108">
        <v>24</v>
      </c>
      <c r="O751" s="110" t="s">
        <v>239</v>
      </c>
      <c r="P751" s="110" t="s">
        <v>239</v>
      </c>
      <c r="Q751" s="108" t="s">
        <v>239</v>
      </c>
      <c r="R751" s="108" t="s">
        <v>76</v>
      </c>
      <c r="S751" s="108"/>
      <c r="T751" s="110">
        <f t="shared" si="11"/>
        <v>24</v>
      </c>
      <c r="U751" s="109"/>
      <c r="V751" s="108"/>
      <c r="W751" s="108"/>
      <c r="X751" s="108" t="s">
        <v>1095</v>
      </c>
      <c r="Y751" s="108" t="s">
        <v>1095</v>
      </c>
      <c r="AA751" s="135" t="e">
        <v>#N/A</v>
      </c>
      <c r="AB751" s="135" t="e">
        <v>#N/A</v>
      </c>
    </row>
    <row r="752" spans="1:28" s="135" customFormat="1">
      <c r="A752" s="108">
        <v>751</v>
      </c>
      <c r="B752" s="108" t="s">
        <v>225</v>
      </c>
      <c r="C752" s="109">
        <v>46081</v>
      </c>
      <c r="D752" s="135" t="s">
        <v>933</v>
      </c>
      <c r="E752" s="135" t="s">
        <v>5252</v>
      </c>
      <c r="F752" s="135" t="s">
        <v>6566</v>
      </c>
      <c r="G752" s="108"/>
      <c r="H752" s="158" t="s">
        <v>5351</v>
      </c>
      <c r="I752" s="158" t="s">
        <v>6567</v>
      </c>
      <c r="K752" s="158" t="s">
        <v>5352</v>
      </c>
      <c r="L752" s="158" t="s">
        <v>5352</v>
      </c>
      <c r="M752" s="158">
        <v>30658</v>
      </c>
      <c r="N752" s="158">
        <v>30658</v>
      </c>
      <c r="O752" s="178">
        <v>46091</v>
      </c>
      <c r="P752" s="158" t="s">
        <v>5354</v>
      </c>
      <c r="Q752" s="158" t="s">
        <v>6181</v>
      </c>
      <c r="R752" s="135" t="s">
        <v>1425</v>
      </c>
      <c r="T752" s="110">
        <f t="shared" si="11"/>
        <v>30658</v>
      </c>
      <c r="X752" s="197" t="s">
        <v>5354</v>
      </c>
      <c r="Y752" s="197" t="s">
        <v>1403</v>
      </c>
      <c r="Z752" s="135" t="s">
        <v>6568</v>
      </c>
      <c r="AA752" s="135" t="e">
        <v>#N/A</v>
      </c>
      <c r="AB752" s="135" t="e">
        <v>#N/A</v>
      </c>
    </row>
    <row r="753" spans="1:28" s="135" customFormat="1">
      <c r="A753" s="108">
        <v>752</v>
      </c>
      <c r="B753" s="108" t="s">
        <v>3018</v>
      </c>
      <c r="C753" s="109">
        <v>46081</v>
      </c>
      <c r="D753" s="135" t="s">
        <v>933</v>
      </c>
      <c r="E753" s="135" t="s">
        <v>5252</v>
      </c>
      <c r="F753" s="135" t="s">
        <v>6566</v>
      </c>
      <c r="G753" s="108"/>
      <c r="H753" s="158" t="s">
        <v>6569</v>
      </c>
      <c r="I753" s="158" t="s">
        <v>6570</v>
      </c>
      <c r="K753" s="158" t="s">
        <v>6571</v>
      </c>
      <c r="L753" s="158" t="s">
        <v>6571</v>
      </c>
      <c r="M753" s="158">
        <v>8173</v>
      </c>
      <c r="N753" s="158">
        <v>8173</v>
      </c>
      <c r="O753" s="178">
        <v>46086</v>
      </c>
      <c r="P753" s="158" t="s">
        <v>5347</v>
      </c>
      <c r="Q753" s="158" t="s">
        <v>6181</v>
      </c>
      <c r="R753" s="135" t="s">
        <v>1425</v>
      </c>
      <c r="S753" s="135">
        <v>8175</v>
      </c>
      <c r="T753" s="110">
        <f t="shared" si="11"/>
        <v>-2</v>
      </c>
      <c r="U753" s="178">
        <v>46084</v>
      </c>
      <c r="V753" s="135" t="s">
        <v>6572</v>
      </c>
      <c r="W753" s="135" t="s">
        <v>54</v>
      </c>
      <c r="X753" s="197" t="s">
        <v>5347</v>
      </c>
      <c r="Y753" s="197" t="s">
        <v>1403</v>
      </c>
      <c r="Z753" s="198"/>
      <c r="AA753" s="135" t="e">
        <v>#N/A</v>
      </c>
      <c r="AB753" s="135" t="e">
        <v>#N/A</v>
      </c>
    </row>
    <row r="754" spans="1:28" s="135" customFormat="1">
      <c r="A754" s="108">
        <v>753</v>
      </c>
      <c r="B754" s="108" t="s">
        <v>1425</v>
      </c>
      <c r="C754" s="109">
        <v>46081</v>
      </c>
      <c r="D754" s="135" t="s">
        <v>933</v>
      </c>
      <c r="E754" s="135" t="s">
        <v>5252</v>
      </c>
      <c r="F754" s="135" t="s">
        <v>6566</v>
      </c>
      <c r="G754" s="108"/>
      <c r="H754" s="158" t="s">
        <v>5332</v>
      </c>
      <c r="I754" s="158">
        <v>9603144144</v>
      </c>
      <c r="K754" s="158" t="s">
        <v>6573</v>
      </c>
      <c r="L754" s="158" t="s">
        <v>6573</v>
      </c>
      <c r="M754" s="158">
        <v>55387</v>
      </c>
      <c r="N754" s="158">
        <v>55387</v>
      </c>
      <c r="O754" s="178">
        <v>46083</v>
      </c>
      <c r="P754" s="158" t="s">
        <v>5334</v>
      </c>
      <c r="Q754" s="158" t="s">
        <v>6181</v>
      </c>
      <c r="R754" s="135" t="s">
        <v>1425</v>
      </c>
      <c r="S754" s="135">
        <v>55587</v>
      </c>
      <c r="T754" s="110">
        <f t="shared" si="11"/>
        <v>-200</v>
      </c>
      <c r="U754" s="178">
        <v>46087</v>
      </c>
      <c r="V754" s="135" t="s">
        <v>6574</v>
      </c>
      <c r="W754" s="135" t="s">
        <v>54</v>
      </c>
      <c r="X754" s="197" t="s">
        <v>5334</v>
      </c>
      <c r="Y754" s="197" t="s">
        <v>1403</v>
      </c>
      <c r="Z754" s="198"/>
      <c r="AA754" s="135" t="e">
        <v>#N/A</v>
      </c>
      <c r="AB754" s="135" t="e">
        <v>#N/A</v>
      </c>
    </row>
    <row r="755" spans="1:28">
      <c r="A755" s="108">
        <v>754</v>
      </c>
      <c r="B755" s="135" t="s">
        <v>298</v>
      </c>
      <c r="C755" s="109">
        <v>46081</v>
      </c>
      <c r="D755" s="135" t="s">
        <v>226</v>
      </c>
      <c r="E755" s="135" t="s">
        <v>5252</v>
      </c>
      <c r="F755" s="135" t="s">
        <v>746</v>
      </c>
      <c r="G755" s="108">
        <v>28</v>
      </c>
      <c r="H755" s="108" t="s">
        <v>6575</v>
      </c>
      <c r="I755" s="108">
        <v>9871083004</v>
      </c>
      <c r="J755" s="135"/>
      <c r="K755" s="183" t="s">
        <v>6576</v>
      </c>
      <c r="L755" s="183" t="s">
        <v>6576</v>
      </c>
      <c r="M755" s="108">
        <v>1743</v>
      </c>
      <c r="N755" s="108">
        <v>1743</v>
      </c>
      <c r="O755" s="110" t="s">
        <v>239</v>
      </c>
      <c r="P755" s="110" t="s">
        <v>239</v>
      </c>
      <c r="Q755" s="108" t="s">
        <v>239</v>
      </c>
      <c r="R755" s="135" t="s">
        <v>236</v>
      </c>
      <c r="S755" s="135"/>
      <c r="T755" s="110">
        <f t="shared" si="11"/>
        <v>1743</v>
      </c>
      <c r="U755" s="135"/>
      <c r="V755" s="135"/>
      <c r="W755" s="135"/>
      <c r="X755" s="135" t="s">
        <v>236</v>
      </c>
      <c r="Y755" s="135" t="s">
        <v>236</v>
      </c>
      <c r="AA755" s="113" t="e">
        <v>#N/A</v>
      </c>
      <c r="AB755" s="113" t="e">
        <v>#N/A</v>
      </c>
    </row>
    <row r="756" spans="1:28">
      <c r="A756" s="108">
        <v>755</v>
      </c>
      <c r="B756" s="135" t="s">
        <v>298</v>
      </c>
      <c r="C756" s="109">
        <v>46081</v>
      </c>
      <c r="D756" s="135" t="s">
        <v>226</v>
      </c>
      <c r="E756" s="135" t="s">
        <v>5252</v>
      </c>
      <c r="F756" s="135" t="s">
        <v>746</v>
      </c>
      <c r="G756" s="108">
        <v>28</v>
      </c>
      <c r="H756" s="108" t="s">
        <v>6577</v>
      </c>
      <c r="I756" s="108">
        <v>9703069947</v>
      </c>
      <c r="J756" s="135"/>
      <c r="K756" s="183" t="s">
        <v>6578</v>
      </c>
      <c r="L756" s="183" t="s">
        <v>6578</v>
      </c>
      <c r="M756" s="108">
        <v>559</v>
      </c>
      <c r="N756" s="108">
        <v>559</v>
      </c>
      <c r="O756" s="110" t="s">
        <v>239</v>
      </c>
      <c r="P756" s="110" t="s">
        <v>239</v>
      </c>
      <c r="Q756" s="108" t="s">
        <v>239</v>
      </c>
      <c r="R756" s="135" t="s">
        <v>236</v>
      </c>
      <c r="S756" s="135"/>
      <c r="T756" s="110">
        <f t="shared" si="11"/>
        <v>559</v>
      </c>
      <c r="U756" s="135"/>
      <c r="V756" s="135"/>
      <c r="W756" s="135"/>
      <c r="X756" s="135" t="s">
        <v>236</v>
      </c>
      <c r="Y756" s="135" t="s">
        <v>236</v>
      </c>
      <c r="AA756" s="113" t="e">
        <v>#N/A</v>
      </c>
      <c r="AB756" s="113" t="e">
        <v>#N/A</v>
      </c>
    </row>
    <row r="757" spans="1:28">
      <c r="A757" s="108">
        <v>756</v>
      </c>
      <c r="B757" s="135" t="s">
        <v>298</v>
      </c>
      <c r="C757" s="109">
        <v>46081</v>
      </c>
      <c r="D757" s="135" t="s">
        <v>226</v>
      </c>
      <c r="E757" s="135" t="s">
        <v>5252</v>
      </c>
      <c r="F757" s="135" t="s">
        <v>746</v>
      </c>
      <c r="G757" s="108">
        <v>28</v>
      </c>
      <c r="H757" s="108" t="s">
        <v>6579</v>
      </c>
      <c r="I757" s="108">
        <v>9787115402</v>
      </c>
      <c r="J757" s="135"/>
      <c r="K757" s="183" t="s">
        <v>6580</v>
      </c>
      <c r="L757" s="183" t="s">
        <v>6580</v>
      </c>
      <c r="M757" s="108">
        <v>540</v>
      </c>
      <c r="N757" s="108">
        <v>540</v>
      </c>
      <c r="O757" s="110" t="s">
        <v>239</v>
      </c>
      <c r="P757" s="110" t="s">
        <v>239</v>
      </c>
      <c r="Q757" s="108" t="s">
        <v>239</v>
      </c>
      <c r="R757" s="135" t="s">
        <v>236</v>
      </c>
      <c r="S757" s="135"/>
      <c r="T757" s="110">
        <f t="shared" si="11"/>
        <v>540</v>
      </c>
      <c r="U757" s="135"/>
      <c r="V757" s="135"/>
      <c r="W757" s="135"/>
      <c r="X757" s="135" t="s">
        <v>236</v>
      </c>
      <c r="Y757" s="135" t="s">
        <v>236</v>
      </c>
      <c r="AA757" s="113" t="e">
        <v>#N/A</v>
      </c>
      <c r="AB757" s="113" t="e">
        <v>#N/A</v>
      </c>
    </row>
    <row r="758" spans="1:28">
      <c r="A758" s="108">
        <v>757</v>
      </c>
      <c r="B758" s="180" t="s">
        <v>298</v>
      </c>
      <c r="C758" s="124">
        <v>46081</v>
      </c>
      <c r="D758" s="180" t="s">
        <v>226</v>
      </c>
      <c r="E758" s="180" t="s">
        <v>5252</v>
      </c>
      <c r="F758" s="135" t="s">
        <v>746</v>
      </c>
      <c r="G758" s="123">
        <v>28</v>
      </c>
      <c r="H758" s="123" t="s">
        <v>6581</v>
      </c>
      <c r="I758" s="123">
        <v>9035760030</v>
      </c>
      <c r="J758" s="180"/>
      <c r="K758" s="196" t="s">
        <v>6582</v>
      </c>
      <c r="L758" s="196" t="s">
        <v>6582</v>
      </c>
      <c r="M758" s="123">
        <v>77</v>
      </c>
      <c r="N758" s="123">
        <v>77</v>
      </c>
      <c r="O758" s="110" t="s">
        <v>239</v>
      </c>
      <c r="P758" s="110" t="s">
        <v>239</v>
      </c>
      <c r="Q758" s="123" t="s">
        <v>239</v>
      </c>
      <c r="R758" s="180" t="s">
        <v>236</v>
      </c>
      <c r="S758" s="180"/>
      <c r="T758" s="125">
        <f t="shared" si="11"/>
        <v>77</v>
      </c>
      <c r="U758" s="180"/>
      <c r="V758" s="180"/>
      <c r="W758" s="180"/>
      <c r="X758" s="180" t="s">
        <v>236</v>
      </c>
      <c r="Y758" s="180" t="s">
        <v>236</v>
      </c>
      <c r="AA758" s="113" t="e">
        <v>#N/A</v>
      </c>
      <c r="AB758" s="113" t="e">
        <v>#N/A</v>
      </c>
    </row>
    <row r="759" spans="1:28" s="135" customFormat="1" ht="15">
      <c r="A759" s="108">
        <v>758</v>
      </c>
      <c r="B759" s="135" t="s">
        <v>225</v>
      </c>
      <c r="C759" s="109">
        <v>46081</v>
      </c>
      <c r="D759" s="135" t="s">
        <v>226</v>
      </c>
      <c r="E759" s="135" t="s">
        <v>5252</v>
      </c>
      <c r="F759" s="135" t="s">
        <v>6232</v>
      </c>
      <c r="G759" s="108">
        <v>28</v>
      </c>
      <c r="H759" s="168" t="s">
        <v>6583</v>
      </c>
      <c r="I759" s="168" t="s">
        <v>6584</v>
      </c>
      <c r="K759" s="168" t="s">
        <v>6585</v>
      </c>
      <c r="L759" s="168" t="s">
        <v>6585</v>
      </c>
      <c r="M759" s="199">
        <v>1640</v>
      </c>
      <c r="N759" s="199">
        <v>1640</v>
      </c>
      <c r="O759" s="110" t="s">
        <v>239</v>
      </c>
      <c r="P759" s="110" t="s">
        <v>239</v>
      </c>
      <c r="Q759" s="168" t="s">
        <v>6586</v>
      </c>
      <c r="R759" s="135" t="s">
        <v>298</v>
      </c>
      <c r="T759" s="110">
        <f t="shared" si="11"/>
        <v>1640</v>
      </c>
      <c r="X759" s="168" t="s">
        <v>298</v>
      </c>
      <c r="Y759" s="168" t="s">
        <v>1229</v>
      </c>
      <c r="AA759" s="135" t="s">
        <v>11</v>
      </c>
      <c r="AB759" s="135" t="s">
        <v>4254</v>
      </c>
    </row>
    <row r="760" spans="1:28" s="135" customFormat="1">
      <c r="A760" s="108">
        <v>759</v>
      </c>
      <c r="B760" s="135" t="s">
        <v>225</v>
      </c>
      <c r="C760" s="109">
        <v>46081</v>
      </c>
      <c r="D760" s="135" t="s">
        <v>933</v>
      </c>
      <c r="E760" s="135" t="s">
        <v>5252</v>
      </c>
      <c r="F760" s="135" t="s">
        <v>6587</v>
      </c>
      <c r="G760" s="108"/>
      <c r="H760" s="108" t="s">
        <v>6588</v>
      </c>
      <c r="I760" s="108">
        <v>9884022998</v>
      </c>
      <c r="K760" s="108" t="s">
        <v>6589</v>
      </c>
      <c r="L760" s="108" t="s">
        <v>6589</v>
      </c>
      <c r="M760" s="108">
        <v>30377</v>
      </c>
      <c r="N760" s="108">
        <v>30377</v>
      </c>
      <c r="O760" s="178">
        <v>46083</v>
      </c>
      <c r="P760" s="135" t="s">
        <v>6590</v>
      </c>
      <c r="Q760" s="135" t="s">
        <v>6181</v>
      </c>
      <c r="R760" s="135" t="s">
        <v>2158</v>
      </c>
      <c r="T760" s="110">
        <f t="shared" si="11"/>
        <v>30377</v>
      </c>
      <c r="AA760" s="135" t="e">
        <v>#N/A</v>
      </c>
      <c r="AB760" s="135" t="e">
        <v>#N/A</v>
      </c>
    </row>
    <row r="761" spans="1:28" s="135" customFormat="1">
      <c r="A761" s="108">
        <v>760</v>
      </c>
      <c r="B761" s="135" t="s">
        <v>771</v>
      </c>
      <c r="C761" s="109">
        <v>46081</v>
      </c>
      <c r="D761" s="135" t="s">
        <v>933</v>
      </c>
      <c r="E761" s="135" t="s">
        <v>5252</v>
      </c>
      <c r="F761" s="135" t="s">
        <v>6587</v>
      </c>
      <c r="G761" s="108"/>
      <c r="H761" s="108" t="s">
        <v>6591</v>
      </c>
      <c r="I761" s="108">
        <v>7893250529</v>
      </c>
      <c r="K761" s="108" t="s">
        <v>6592</v>
      </c>
      <c r="L761" s="108" t="s">
        <v>6592</v>
      </c>
      <c r="M761" s="108">
        <v>75074</v>
      </c>
      <c r="N761" s="108">
        <v>75074</v>
      </c>
      <c r="O761" s="178">
        <v>46135</v>
      </c>
      <c r="P761" s="135" t="s">
        <v>3641</v>
      </c>
      <c r="Q761" s="135" t="s">
        <v>6181</v>
      </c>
      <c r="R761" s="135" t="s">
        <v>2158</v>
      </c>
      <c r="S761" s="135">
        <f>50000+25000</f>
        <v>75000</v>
      </c>
      <c r="T761" s="110">
        <f t="shared" si="11"/>
        <v>74</v>
      </c>
      <c r="U761" s="178">
        <v>46136</v>
      </c>
      <c r="V761" s="135" t="s">
        <v>6593</v>
      </c>
      <c r="W761" s="135" t="s">
        <v>54</v>
      </c>
      <c r="Z761" s="135" t="s">
        <v>6594</v>
      </c>
      <c r="AA761" s="135" t="e">
        <v>#N/A</v>
      </c>
      <c r="AB761" s="135" t="e">
        <v>#N/A</v>
      </c>
    </row>
    <row r="762" spans="1:28" s="135" customFormat="1">
      <c r="A762" s="108">
        <v>761</v>
      </c>
      <c r="B762" s="135" t="s">
        <v>225</v>
      </c>
      <c r="C762" s="109">
        <v>46081</v>
      </c>
      <c r="D762" s="135" t="s">
        <v>933</v>
      </c>
      <c r="E762" s="135" t="s">
        <v>5252</v>
      </c>
      <c r="F762" s="135" t="s">
        <v>6587</v>
      </c>
      <c r="G762" s="108"/>
      <c r="H762" s="108" t="s">
        <v>6595</v>
      </c>
      <c r="I762" s="108">
        <v>9701600652</v>
      </c>
      <c r="K762" s="108" t="s">
        <v>6596</v>
      </c>
      <c r="L762" s="108" t="s">
        <v>6596</v>
      </c>
      <c r="M762" s="108">
        <v>6022</v>
      </c>
      <c r="N762" s="108">
        <v>6022</v>
      </c>
      <c r="O762" s="178"/>
      <c r="Q762" s="135" t="s">
        <v>6181</v>
      </c>
      <c r="R762" s="135" t="s">
        <v>2158</v>
      </c>
      <c r="T762" s="110">
        <f t="shared" si="11"/>
        <v>6022</v>
      </c>
      <c r="AA762" s="135" t="e">
        <v>#N/A</v>
      </c>
      <c r="AB762" s="135" t="e">
        <v>#N/A</v>
      </c>
    </row>
    <row r="763" spans="1:28" s="135" customFormat="1">
      <c r="A763" s="108">
        <v>762</v>
      </c>
      <c r="B763" s="135" t="s">
        <v>225</v>
      </c>
      <c r="C763" s="109">
        <v>46081</v>
      </c>
      <c r="D763" s="135" t="s">
        <v>933</v>
      </c>
      <c r="E763" s="135" t="s">
        <v>5252</v>
      </c>
      <c r="F763" s="135" t="s">
        <v>6587</v>
      </c>
      <c r="G763" s="108"/>
      <c r="H763" s="108" t="s">
        <v>6597</v>
      </c>
      <c r="I763" s="108">
        <v>8096023960</v>
      </c>
      <c r="K763" s="108" t="s">
        <v>6598</v>
      </c>
      <c r="L763" s="108" t="s">
        <v>6598</v>
      </c>
      <c r="M763" s="108">
        <v>1450</v>
      </c>
      <c r="N763" s="108">
        <v>1450</v>
      </c>
      <c r="O763" s="178"/>
      <c r="Q763" s="135" t="s">
        <v>6181</v>
      </c>
      <c r="R763" s="135" t="s">
        <v>2158</v>
      </c>
      <c r="T763" s="110">
        <f t="shared" si="11"/>
        <v>1450</v>
      </c>
      <c r="AA763" s="135" t="e">
        <v>#N/A</v>
      </c>
      <c r="AB763" s="135" t="e">
        <v>#N/A</v>
      </c>
    </row>
    <row r="764" spans="1:28">
      <c r="A764" s="108">
        <v>763</v>
      </c>
      <c r="B764" s="135" t="s">
        <v>225</v>
      </c>
      <c r="C764" s="109">
        <v>46081</v>
      </c>
      <c r="D764" s="135" t="s">
        <v>226</v>
      </c>
      <c r="E764" s="135" t="s">
        <v>5252</v>
      </c>
      <c r="F764" s="135" t="s">
        <v>364</v>
      </c>
      <c r="G764" s="108">
        <v>28</v>
      </c>
      <c r="H764" s="108" t="s">
        <v>6599</v>
      </c>
      <c r="I764" s="108">
        <v>8810363461</v>
      </c>
      <c r="J764" s="135"/>
      <c r="K764" s="183" t="s">
        <v>6600</v>
      </c>
      <c r="L764" s="183" t="s">
        <v>6600</v>
      </c>
      <c r="M764" s="108">
        <v>1631</v>
      </c>
      <c r="N764" s="108">
        <v>1631</v>
      </c>
      <c r="O764" s="110" t="s">
        <v>239</v>
      </c>
      <c r="P764" s="110" t="s">
        <v>239</v>
      </c>
      <c r="Q764" s="135" t="s">
        <v>239</v>
      </c>
      <c r="R764" s="110" t="s">
        <v>5346</v>
      </c>
      <c r="S764" s="135"/>
      <c r="T764" s="110">
        <f t="shared" si="11"/>
        <v>1631</v>
      </c>
      <c r="U764" s="135"/>
      <c r="V764" s="135"/>
      <c r="W764" s="135"/>
      <c r="X764" s="135" t="s">
        <v>6601</v>
      </c>
      <c r="Y764" s="135" t="s">
        <v>6601</v>
      </c>
      <c r="AA764" s="113" t="e">
        <v>#N/A</v>
      </c>
      <c r="AB764" s="113" t="e">
        <v>#N/A</v>
      </c>
    </row>
    <row r="765" spans="1:28">
      <c r="A765" s="108">
        <v>764</v>
      </c>
      <c r="B765" s="135" t="s">
        <v>225</v>
      </c>
      <c r="C765" s="109">
        <v>46081</v>
      </c>
      <c r="D765" s="135" t="s">
        <v>226</v>
      </c>
      <c r="E765" s="135" t="s">
        <v>5252</v>
      </c>
      <c r="F765" s="135" t="s">
        <v>364</v>
      </c>
      <c r="G765" s="108">
        <v>28</v>
      </c>
      <c r="H765" s="108" t="s">
        <v>6602</v>
      </c>
      <c r="I765" s="108">
        <v>9542652602</v>
      </c>
      <c r="J765" s="135"/>
      <c r="K765" s="183" t="s">
        <v>6603</v>
      </c>
      <c r="L765" s="183" t="s">
        <v>6603</v>
      </c>
      <c r="M765" s="108">
        <v>15371</v>
      </c>
      <c r="N765" s="108">
        <v>15371</v>
      </c>
      <c r="O765" s="109">
        <v>46083</v>
      </c>
      <c r="P765" s="135" t="s">
        <v>367</v>
      </c>
      <c r="Q765" s="108" t="s">
        <v>52</v>
      </c>
      <c r="R765" s="110" t="s">
        <v>5346</v>
      </c>
      <c r="S765" s="135">
        <f>15000+371</f>
        <v>15371</v>
      </c>
      <c r="T765" s="110">
        <f t="shared" si="11"/>
        <v>0</v>
      </c>
      <c r="U765" s="178">
        <v>46082</v>
      </c>
      <c r="V765" s="135" t="s">
        <v>6604</v>
      </c>
      <c r="W765" s="135" t="s">
        <v>54</v>
      </c>
      <c r="X765" s="135" t="s">
        <v>367</v>
      </c>
      <c r="Y765" s="135" t="s">
        <v>367</v>
      </c>
      <c r="AA765" s="113" t="s">
        <v>11</v>
      </c>
      <c r="AB765" s="113" t="s">
        <v>4254</v>
      </c>
    </row>
    <row r="766" spans="1:28">
      <c r="A766" s="108">
        <v>765</v>
      </c>
      <c r="B766" s="135" t="s">
        <v>225</v>
      </c>
      <c r="C766" s="109">
        <v>46081</v>
      </c>
      <c r="D766" s="135" t="s">
        <v>933</v>
      </c>
      <c r="E766" s="135" t="s">
        <v>5252</v>
      </c>
      <c r="F766" s="135" t="s">
        <v>6566</v>
      </c>
      <c r="G766" s="108"/>
      <c r="H766" s="108" t="s">
        <v>6605</v>
      </c>
      <c r="I766" s="108">
        <v>9963617314</v>
      </c>
      <c r="J766" s="135"/>
      <c r="K766" s="108" t="s">
        <v>5362</v>
      </c>
      <c r="L766" s="108" t="s">
        <v>5362</v>
      </c>
      <c r="M766" s="108">
        <v>6420</v>
      </c>
      <c r="N766" s="108">
        <v>6420</v>
      </c>
      <c r="O766" s="178">
        <v>46081</v>
      </c>
      <c r="P766" s="135" t="s">
        <v>1425</v>
      </c>
      <c r="Q766" s="135" t="s">
        <v>6181</v>
      </c>
      <c r="R766" s="135" t="s">
        <v>1425</v>
      </c>
      <c r="S766" s="135">
        <v>6420</v>
      </c>
      <c r="T766" s="110">
        <f t="shared" si="11"/>
        <v>0</v>
      </c>
      <c r="U766" s="178">
        <v>46081</v>
      </c>
      <c r="V766" s="135" t="s">
        <v>6606</v>
      </c>
      <c r="W766" s="135" t="s">
        <v>54</v>
      </c>
      <c r="X766" s="135" t="s">
        <v>1425</v>
      </c>
      <c r="Y766" s="135" t="s">
        <v>1425</v>
      </c>
      <c r="AA766" s="113" t="e">
        <v>#N/A</v>
      </c>
      <c r="AB766" s="113" t="e">
        <v>#N/A</v>
      </c>
    </row>
    <row r="767" spans="1:28">
      <c r="A767" s="108">
        <v>766</v>
      </c>
      <c r="B767" s="135" t="s">
        <v>225</v>
      </c>
      <c r="C767" s="109">
        <v>46081</v>
      </c>
      <c r="D767" s="135" t="s">
        <v>933</v>
      </c>
      <c r="E767" s="135" t="s">
        <v>5252</v>
      </c>
      <c r="F767" s="135" t="s">
        <v>6566</v>
      </c>
      <c r="G767" s="108"/>
      <c r="H767" s="108" t="s">
        <v>6607</v>
      </c>
      <c r="I767" s="108">
        <v>9121841541</v>
      </c>
      <c r="J767" s="135"/>
      <c r="K767" s="108" t="s">
        <v>6608</v>
      </c>
      <c r="L767" s="108" t="s">
        <v>6608</v>
      </c>
      <c r="M767" s="108">
        <v>10876</v>
      </c>
      <c r="N767" s="108">
        <v>10876</v>
      </c>
      <c r="O767" s="178">
        <v>46081</v>
      </c>
      <c r="P767" s="135" t="s">
        <v>1425</v>
      </c>
      <c r="Q767" s="135" t="s">
        <v>6181</v>
      </c>
      <c r="R767" s="135" t="s">
        <v>1425</v>
      </c>
      <c r="S767" s="135">
        <v>10876</v>
      </c>
      <c r="T767" s="110">
        <f t="shared" si="11"/>
        <v>0</v>
      </c>
      <c r="U767" s="178">
        <v>46081</v>
      </c>
      <c r="V767" s="135" t="s">
        <v>6609</v>
      </c>
      <c r="W767" s="135" t="s">
        <v>54</v>
      </c>
      <c r="X767" s="135" t="s">
        <v>1425</v>
      </c>
      <c r="Y767" s="135" t="s">
        <v>1425</v>
      </c>
      <c r="AA767" s="113" t="e">
        <v>#N/A</v>
      </c>
      <c r="AB767" s="113" t="e">
        <v>#N/A</v>
      </c>
    </row>
  </sheetData>
  <conditionalFormatting sqref="H1">
    <cfRule type="duplicateValues" dxfId="38" priority="27"/>
  </conditionalFormatting>
  <conditionalFormatting sqref="H677:H679 H2:H266 H268:H675">
    <cfRule type="duplicateValues" dxfId="37" priority="32"/>
  </conditionalFormatting>
  <conditionalFormatting sqref="I59:I65">
    <cfRule type="duplicateValues" dxfId="36" priority="26"/>
  </conditionalFormatting>
  <conditionalFormatting sqref="I270:I273">
    <cfRule type="duplicateValues" dxfId="35" priority="25"/>
  </conditionalFormatting>
  <conditionalFormatting sqref="I602:I675 I677:I679">
    <cfRule type="duplicateValues" dxfId="34" priority="34"/>
  </conditionalFormatting>
  <conditionalFormatting sqref="I635:I675 I677:I679">
    <cfRule type="duplicateValues" dxfId="33" priority="30"/>
  </conditionalFormatting>
  <conditionalFormatting sqref="I677:I679 I2:I266 I268:I675">
    <cfRule type="duplicateValues" dxfId="32" priority="33"/>
  </conditionalFormatting>
  <conditionalFormatting sqref="I1:J1">
    <cfRule type="duplicateValues" dxfId="31" priority="28"/>
    <cfRule type="duplicateValues" dxfId="30" priority="29"/>
  </conditionalFormatting>
  <conditionalFormatting sqref="J59:J65">
    <cfRule type="duplicateValues" dxfId="29" priority="24"/>
  </conditionalFormatting>
  <conditionalFormatting sqref="J270:J273">
    <cfRule type="duplicateValues" dxfId="28" priority="23"/>
  </conditionalFormatting>
  <conditionalFormatting sqref="J613:J679 J2:J601">
    <cfRule type="duplicateValues" dxfId="27" priority="31"/>
  </conditionalFormatting>
  <conditionalFormatting sqref="K741">
    <cfRule type="duplicateValues" dxfId="26" priority="2"/>
  </conditionalFormatting>
  <conditionalFormatting sqref="K652:L652">
    <cfRule type="duplicateValues" dxfId="25" priority="35"/>
    <cfRule type="duplicateValues" dxfId="24" priority="36"/>
    <cfRule type="duplicateValues" dxfId="23" priority="37"/>
    <cfRule type="duplicateValues" dxfId="22" priority="38"/>
    <cfRule type="duplicateValues" dxfId="21" priority="39"/>
  </conditionalFormatting>
  <conditionalFormatting sqref="K694:L694">
    <cfRule type="duplicateValues" dxfId="20" priority="13"/>
    <cfRule type="duplicateValues" dxfId="19" priority="14"/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  <cfRule type="duplicateValues" dxfId="13" priority="20"/>
    <cfRule type="duplicateValues" dxfId="12" priority="21"/>
    <cfRule type="duplicateValues" dxfId="11" priority="22"/>
  </conditionalFormatting>
  <conditionalFormatting sqref="K695:L695">
    <cfRule type="duplicateValues" dxfId="10" priority="3"/>
    <cfRule type="duplicateValues" dxfId="9" priority="4"/>
    <cfRule type="duplicateValues" dxfId="8" priority="5"/>
    <cfRule type="duplicateValues" dxfId="7" priority="6"/>
    <cfRule type="duplicateValues" dxfId="6" priority="7"/>
    <cfRule type="duplicateValues" dxfId="5" priority="8"/>
    <cfRule type="duplicateValues" dxfId="4" priority="9"/>
    <cfRule type="duplicateValues" dxfId="3" priority="10"/>
    <cfRule type="duplicateValues" dxfId="2" priority="11"/>
    <cfRule type="duplicateValues" dxfId="1" priority="12"/>
  </conditionalFormatting>
  <conditionalFormatting sqref="L74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5E9F-07C3-46C8-A481-589310754BC1}">
  <dimension ref="A1:AA1222"/>
  <sheetViews>
    <sheetView tabSelected="1" workbookViewId="0"/>
  </sheetViews>
  <sheetFormatPr defaultRowHeight="18"/>
  <cols>
    <col min="1" max="1" width="10.42578125" style="101" bestFit="1" customWidth="1"/>
    <col min="2" max="2" width="15.5703125" style="5" customWidth="1"/>
    <col min="3" max="3" width="17.85546875" style="102" bestFit="1" customWidth="1"/>
    <col min="4" max="4" width="8" style="5" customWidth="1"/>
    <col min="5" max="5" width="9.42578125" style="5" customWidth="1"/>
    <col min="6" max="6" width="23" style="5" customWidth="1"/>
    <col min="7" max="7" width="6.28515625" style="102" customWidth="1"/>
    <col min="8" max="8" width="65" style="5" bestFit="1" customWidth="1"/>
    <col min="9" max="9" width="17.140625" style="102" bestFit="1" customWidth="1"/>
    <col min="10" max="10" width="32.7109375" style="102" bestFit="1" customWidth="1"/>
    <col min="11" max="11" width="24.28515625" style="102" customWidth="1"/>
    <col min="12" max="12" width="9.28515625" style="102" customWidth="1"/>
    <col min="13" max="13" width="12.5703125" style="102" bestFit="1" customWidth="1"/>
    <col min="14" max="14" width="17.42578125" style="103" bestFit="1" customWidth="1"/>
    <col min="15" max="15" width="42" style="5" bestFit="1" customWidth="1"/>
    <col min="16" max="16" width="16.85546875" style="5" customWidth="1"/>
    <col min="17" max="17" width="16.140625" style="5" bestFit="1" customWidth="1"/>
    <col min="18" max="18" width="10.42578125" style="102" customWidth="1"/>
    <col min="19" max="19" width="11.140625" style="102" customWidth="1"/>
    <col min="20" max="20" width="15.7109375" style="5" bestFit="1" customWidth="1"/>
    <col min="21" max="21" width="9.140625" style="5"/>
    <col min="22" max="22" width="11.7109375" style="5" bestFit="1" customWidth="1"/>
    <col min="23" max="24" width="9.140625" style="5"/>
    <col min="25" max="25" width="14.140625" style="102" customWidth="1"/>
    <col min="26" max="26" width="9.140625" style="5"/>
    <col min="27" max="27" width="18.140625" style="5" bestFit="1" customWidth="1"/>
    <col min="28" max="16384" width="9.140625" style="5"/>
  </cols>
  <sheetData>
    <row r="1" spans="1:27" ht="4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2" t="s">
        <v>26</v>
      </c>
    </row>
    <row r="2" spans="1:27">
      <c r="A2" s="6">
        <v>1</v>
      </c>
      <c r="B2" s="6" t="s">
        <v>27</v>
      </c>
      <c r="C2" s="7">
        <v>46082</v>
      </c>
      <c r="D2" s="8" t="s">
        <v>28</v>
      </c>
      <c r="E2" s="6" t="s">
        <v>29</v>
      </c>
      <c r="F2" s="8" t="s">
        <v>30</v>
      </c>
      <c r="G2" s="8">
        <v>12</v>
      </c>
      <c r="H2" s="8" t="s">
        <v>31</v>
      </c>
      <c r="I2" s="8" t="s">
        <v>32</v>
      </c>
      <c r="J2" s="8" t="s">
        <v>33</v>
      </c>
      <c r="K2" s="8" t="s">
        <v>34</v>
      </c>
      <c r="L2" s="8">
        <v>216.02</v>
      </c>
      <c r="M2" s="8">
        <v>216.02</v>
      </c>
      <c r="N2" s="7"/>
      <c r="O2" s="6" t="s">
        <v>35</v>
      </c>
      <c r="P2" s="6" t="s">
        <v>35</v>
      </c>
      <c r="Q2" s="8" t="s">
        <v>36</v>
      </c>
      <c r="R2" s="6"/>
      <c r="S2" s="6">
        <f>M2-R2</f>
        <v>216.02</v>
      </c>
      <c r="T2" s="6"/>
      <c r="U2" s="6"/>
      <c r="V2" s="6"/>
      <c r="W2" s="6" t="s">
        <v>37</v>
      </c>
      <c r="X2" s="6" t="s">
        <v>37</v>
      </c>
      <c r="Y2" s="8" t="s">
        <v>38</v>
      </c>
      <c r="Z2" s="6" t="s">
        <v>39</v>
      </c>
      <c r="AA2" s="6" t="s">
        <v>40</v>
      </c>
    </row>
    <row r="3" spans="1:27">
      <c r="A3" s="6">
        <v>2</v>
      </c>
      <c r="B3" s="6" t="s">
        <v>27</v>
      </c>
      <c r="C3" s="7">
        <v>46082</v>
      </c>
      <c r="D3" s="8" t="s">
        <v>28</v>
      </c>
      <c r="E3" s="6" t="s">
        <v>29</v>
      </c>
      <c r="F3" s="8" t="s">
        <v>30</v>
      </c>
      <c r="G3" s="8">
        <v>12</v>
      </c>
      <c r="H3" s="8" t="s">
        <v>41</v>
      </c>
      <c r="I3" s="8" t="s">
        <v>42</v>
      </c>
      <c r="J3" s="8" t="s">
        <v>43</v>
      </c>
      <c r="K3" s="8" t="s">
        <v>44</v>
      </c>
      <c r="L3" s="8">
        <v>601.11</v>
      </c>
      <c r="M3" s="8">
        <v>601.11</v>
      </c>
      <c r="N3" s="7"/>
      <c r="O3" s="6" t="s">
        <v>35</v>
      </c>
      <c r="P3" s="6" t="s">
        <v>35</v>
      </c>
      <c r="Q3" s="8" t="s">
        <v>36</v>
      </c>
      <c r="R3" s="6"/>
      <c r="S3" s="6">
        <f t="shared" ref="S3:S66" si="0">M3-R3</f>
        <v>601.11</v>
      </c>
      <c r="T3" s="6"/>
      <c r="U3" s="6"/>
      <c r="V3" s="6"/>
      <c r="W3" s="6" t="s">
        <v>45</v>
      </c>
      <c r="X3" s="6" t="s">
        <v>45</v>
      </c>
      <c r="Y3" s="8" t="s">
        <v>46</v>
      </c>
      <c r="Z3" s="6" t="s">
        <v>47</v>
      </c>
      <c r="AA3" s="6" t="s">
        <v>40</v>
      </c>
    </row>
    <row r="4" spans="1:27">
      <c r="A4" s="6">
        <v>3</v>
      </c>
      <c r="B4" s="6" t="s">
        <v>27</v>
      </c>
      <c r="C4" s="7">
        <v>46082</v>
      </c>
      <c r="D4" s="8" t="s">
        <v>28</v>
      </c>
      <c r="E4" s="6" t="s">
        <v>29</v>
      </c>
      <c r="F4" s="8" t="s">
        <v>30</v>
      </c>
      <c r="G4" s="8">
        <v>12</v>
      </c>
      <c r="H4" s="8" t="s">
        <v>48</v>
      </c>
      <c r="I4" s="8" t="s">
        <v>49</v>
      </c>
      <c r="J4" s="8" t="s">
        <v>50</v>
      </c>
      <c r="K4" s="8" t="s">
        <v>51</v>
      </c>
      <c r="L4" s="8">
        <v>636.92999999999995</v>
      </c>
      <c r="M4" s="8">
        <v>636.92999999999995</v>
      </c>
      <c r="N4" s="7">
        <v>46088</v>
      </c>
      <c r="O4" s="6" t="s">
        <v>27</v>
      </c>
      <c r="P4" s="6" t="s">
        <v>52</v>
      </c>
      <c r="Q4" s="8" t="s">
        <v>36</v>
      </c>
      <c r="R4" s="6">
        <v>504</v>
      </c>
      <c r="S4" s="6">
        <f t="shared" si="0"/>
        <v>132.92999999999995</v>
      </c>
      <c r="T4" s="7">
        <v>46088</v>
      </c>
      <c r="U4" s="6" t="s">
        <v>53</v>
      </c>
      <c r="V4" s="6" t="s">
        <v>54</v>
      </c>
      <c r="W4" s="6" t="s">
        <v>55</v>
      </c>
      <c r="X4" s="6" t="s">
        <v>55</v>
      </c>
      <c r="Y4" s="8" t="s">
        <v>56</v>
      </c>
      <c r="Z4" s="6" t="s">
        <v>57</v>
      </c>
      <c r="AA4" s="6" t="s">
        <v>40</v>
      </c>
    </row>
    <row r="5" spans="1:27">
      <c r="A5" s="6">
        <v>4</v>
      </c>
      <c r="B5" s="6" t="s">
        <v>27</v>
      </c>
      <c r="C5" s="7">
        <v>46082</v>
      </c>
      <c r="D5" s="8" t="s">
        <v>28</v>
      </c>
      <c r="E5" s="6" t="s">
        <v>29</v>
      </c>
      <c r="F5" s="8" t="s">
        <v>30</v>
      </c>
      <c r="G5" s="8">
        <v>12</v>
      </c>
      <c r="H5" s="8" t="s">
        <v>58</v>
      </c>
      <c r="I5" s="8" t="s">
        <v>59</v>
      </c>
      <c r="J5" s="8" t="s">
        <v>60</v>
      </c>
      <c r="K5" s="8" t="s">
        <v>61</v>
      </c>
      <c r="L5" s="8">
        <v>772.88</v>
      </c>
      <c r="M5" s="8">
        <v>772.88</v>
      </c>
      <c r="N5" s="7"/>
      <c r="O5" s="6" t="s">
        <v>35</v>
      </c>
      <c r="P5" s="6" t="s">
        <v>35</v>
      </c>
      <c r="Q5" s="8" t="s">
        <v>36</v>
      </c>
      <c r="R5" s="6"/>
      <c r="S5" s="6">
        <f t="shared" si="0"/>
        <v>772.88</v>
      </c>
      <c r="T5" s="6"/>
      <c r="U5" s="6"/>
      <c r="V5" s="6"/>
      <c r="W5" s="6" t="s">
        <v>62</v>
      </c>
      <c r="X5" s="6" t="s">
        <v>62</v>
      </c>
      <c r="Y5" s="8" t="s">
        <v>63</v>
      </c>
      <c r="Z5" s="6" t="s">
        <v>64</v>
      </c>
      <c r="AA5" s="6" t="s">
        <v>40</v>
      </c>
    </row>
    <row r="6" spans="1:27">
      <c r="A6" s="6">
        <v>5</v>
      </c>
      <c r="B6" s="6" t="s">
        <v>27</v>
      </c>
      <c r="C6" s="7">
        <v>46082</v>
      </c>
      <c r="D6" s="8" t="s">
        <v>28</v>
      </c>
      <c r="E6" s="6" t="s">
        <v>29</v>
      </c>
      <c r="F6" s="8" t="s">
        <v>30</v>
      </c>
      <c r="G6" s="8">
        <v>12</v>
      </c>
      <c r="H6" s="8" t="s">
        <v>65</v>
      </c>
      <c r="I6" s="8" t="s">
        <v>66</v>
      </c>
      <c r="J6" s="8" t="s">
        <v>67</v>
      </c>
      <c r="K6" s="8" t="s">
        <v>68</v>
      </c>
      <c r="L6" s="8">
        <v>1291.4000000000001</v>
      </c>
      <c r="M6" s="8">
        <v>1291.4000000000001</v>
      </c>
      <c r="N6" s="7"/>
      <c r="O6" s="6" t="s">
        <v>35</v>
      </c>
      <c r="P6" s="6" t="s">
        <v>35</v>
      </c>
      <c r="Q6" s="8" t="s">
        <v>36</v>
      </c>
      <c r="R6" s="6"/>
      <c r="S6" s="6">
        <f t="shared" si="0"/>
        <v>1291.4000000000001</v>
      </c>
      <c r="T6" s="6"/>
      <c r="U6" s="6"/>
      <c r="V6" s="6"/>
      <c r="W6" s="6" t="s">
        <v>69</v>
      </c>
      <c r="X6" s="6" t="s">
        <v>69</v>
      </c>
      <c r="Y6" s="8" t="s">
        <v>70</v>
      </c>
      <c r="Z6" s="6" t="s">
        <v>71</v>
      </c>
      <c r="AA6" s="6" t="s">
        <v>40</v>
      </c>
    </row>
    <row r="7" spans="1:27">
      <c r="A7" s="6">
        <v>6</v>
      </c>
      <c r="B7" s="6" t="s">
        <v>27</v>
      </c>
      <c r="C7" s="7">
        <v>46082</v>
      </c>
      <c r="D7" s="8" t="s">
        <v>28</v>
      </c>
      <c r="E7" s="6" t="s">
        <v>29</v>
      </c>
      <c r="F7" s="8" t="s">
        <v>30</v>
      </c>
      <c r="G7" s="8">
        <v>12</v>
      </c>
      <c r="H7" s="8" t="s">
        <v>72</v>
      </c>
      <c r="I7" s="8" t="s">
        <v>73</v>
      </c>
      <c r="J7" s="8" t="s">
        <v>74</v>
      </c>
      <c r="K7" s="8" t="s">
        <v>75</v>
      </c>
      <c r="L7" s="8">
        <v>485</v>
      </c>
      <c r="M7" s="8">
        <v>485</v>
      </c>
      <c r="N7" s="7"/>
      <c r="O7" s="6" t="s">
        <v>35</v>
      </c>
      <c r="P7" s="6" t="s">
        <v>35</v>
      </c>
      <c r="Q7" s="8" t="s">
        <v>36</v>
      </c>
      <c r="R7" s="6"/>
      <c r="S7" s="6">
        <f t="shared" si="0"/>
        <v>485</v>
      </c>
      <c r="T7" s="6"/>
      <c r="U7" s="6"/>
      <c r="V7" s="6"/>
      <c r="W7" s="6" t="s">
        <v>76</v>
      </c>
      <c r="X7" s="6" t="s">
        <v>76</v>
      </c>
      <c r="Y7" s="8" t="s">
        <v>77</v>
      </c>
      <c r="Z7" s="6" t="s">
        <v>71</v>
      </c>
      <c r="AA7" s="6" t="s">
        <v>40</v>
      </c>
    </row>
    <row r="8" spans="1:27">
      <c r="A8" s="6">
        <v>7</v>
      </c>
      <c r="B8" s="6" t="s">
        <v>27</v>
      </c>
      <c r="C8" s="7">
        <v>46082</v>
      </c>
      <c r="D8" s="8" t="s">
        <v>28</v>
      </c>
      <c r="E8" s="6" t="s">
        <v>29</v>
      </c>
      <c r="F8" s="8" t="s">
        <v>30</v>
      </c>
      <c r="G8" s="8">
        <v>12</v>
      </c>
      <c r="H8" s="8" t="s">
        <v>78</v>
      </c>
      <c r="I8" s="8" t="s">
        <v>79</v>
      </c>
      <c r="J8" s="8" t="s">
        <v>80</v>
      </c>
      <c r="K8" s="8" t="s">
        <v>81</v>
      </c>
      <c r="L8" s="8">
        <v>1463.55</v>
      </c>
      <c r="M8" s="8">
        <v>1463.55</v>
      </c>
      <c r="N8" s="7"/>
      <c r="O8" s="6" t="s">
        <v>35</v>
      </c>
      <c r="P8" s="6" t="s">
        <v>35</v>
      </c>
      <c r="Q8" s="8" t="s">
        <v>36</v>
      </c>
      <c r="R8" s="6"/>
      <c r="S8" s="6">
        <f t="shared" si="0"/>
        <v>1463.55</v>
      </c>
      <c r="T8" s="6"/>
      <c r="U8" s="6"/>
      <c r="V8" s="6"/>
      <c r="W8" s="6" t="s">
        <v>82</v>
      </c>
      <c r="X8" s="6" t="s">
        <v>82</v>
      </c>
      <c r="Y8" s="8" t="s">
        <v>83</v>
      </c>
      <c r="Z8" s="6" t="s">
        <v>84</v>
      </c>
      <c r="AA8" s="6" t="s">
        <v>40</v>
      </c>
    </row>
    <row r="9" spans="1:27">
      <c r="A9" s="6">
        <v>8</v>
      </c>
      <c r="B9" s="6" t="s">
        <v>27</v>
      </c>
      <c r="C9" s="7">
        <v>46082</v>
      </c>
      <c r="D9" s="8" t="s">
        <v>28</v>
      </c>
      <c r="E9" s="6" t="s">
        <v>29</v>
      </c>
      <c r="F9" s="8" t="s">
        <v>30</v>
      </c>
      <c r="G9" s="8">
        <v>12</v>
      </c>
      <c r="H9" s="8" t="s">
        <v>85</v>
      </c>
      <c r="I9" s="8" t="s">
        <v>86</v>
      </c>
      <c r="J9" s="8" t="s">
        <v>87</v>
      </c>
      <c r="K9" s="8" t="s">
        <v>88</v>
      </c>
      <c r="L9" s="8">
        <v>1847.3</v>
      </c>
      <c r="M9" s="8">
        <v>1847.3</v>
      </c>
      <c r="N9" s="7"/>
      <c r="O9" s="6" t="s">
        <v>35</v>
      </c>
      <c r="P9" s="6" t="s">
        <v>35</v>
      </c>
      <c r="Q9" s="8" t="s">
        <v>36</v>
      </c>
      <c r="R9" s="6"/>
      <c r="S9" s="6">
        <f t="shared" si="0"/>
        <v>1847.3</v>
      </c>
      <c r="T9" s="6"/>
      <c r="U9" s="6"/>
      <c r="V9" s="6"/>
      <c r="W9" s="6" t="s">
        <v>89</v>
      </c>
      <c r="X9" s="6" t="s">
        <v>89</v>
      </c>
      <c r="Y9" s="8" t="s">
        <v>90</v>
      </c>
      <c r="Z9" s="6" t="s">
        <v>91</v>
      </c>
      <c r="AA9" s="6" t="s">
        <v>40</v>
      </c>
    </row>
    <row r="10" spans="1:27">
      <c r="A10" s="6">
        <v>9</v>
      </c>
      <c r="B10" s="6" t="s">
        <v>27</v>
      </c>
      <c r="C10" s="7">
        <v>46082</v>
      </c>
      <c r="D10" s="8" t="s">
        <v>28</v>
      </c>
      <c r="E10" s="6" t="s">
        <v>29</v>
      </c>
      <c r="F10" s="8" t="s">
        <v>30</v>
      </c>
      <c r="G10" s="8">
        <v>12</v>
      </c>
      <c r="H10" s="8" t="s">
        <v>92</v>
      </c>
      <c r="I10" s="8" t="s">
        <v>93</v>
      </c>
      <c r="J10" s="8" t="s">
        <v>94</v>
      </c>
      <c r="K10" s="8" t="s">
        <v>95</v>
      </c>
      <c r="L10" s="8">
        <v>1933.98</v>
      </c>
      <c r="M10" s="8">
        <v>1933.98</v>
      </c>
      <c r="N10" s="7"/>
      <c r="O10" s="6" t="s">
        <v>35</v>
      </c>
      <c r="P10" s="6" t="s">
        <v>35</v>
      </c>
      <c r="Q10" s="8" t="s">
        <v>36</v>
      </c>
      <c r="R10" s="6"/>
      <c r="S10" s="6">
        <f t="shared" si="0"/>
        <v>1933.98</v>
      </c>
      <c r="T10" s="6"/>
      <c r="U10" s="6"/>
      <c r="V10" s="6"/>
      <c r="W10" s="6" t="s">
        <v>96</v>
      </c>
      <c r="X10" s="6" t="s">
        <v>96</v>
      </c>
      <c r="Y10" s="8" t="s">
        <v>97</v>
      </c>
      <c r="Z10" s="6" t="s">
        <v>98</v>
      </c>
      <c r="AA10" s="6" t="s">
        <v>40</v>
      </c>
    </row>
    <row r="11" spans="1:27">
      <c r="A11" s="6">
        <v>10</v>
      </c>
      <c r="B11" s="6" t="s">
        <v>27</v>
      </c>
      <c r="C11" s="7">
        <v>46082</v>
      </c>
      <c r="D11" s="8" t="s">
        <v>28</v>
      </c>
      <c r="E11" s="6" t="s">
        <v>29</v>
      </c>
      <c r="F11" s="8" t="s">
        <v>30</v>
      </c>
      <c r="G11" s="8">
        <v>12</v>
      </c>
      <c r="H11" s="8" t="s">
        <v>99</v>
      </c>
      <c r="I11" s="8" t="s">
        <v>100</v>
      </c>
      <c r="J11" s="8" t="s">
        <v>101</v>
      </c>
      <c r="K11" s="8" t="s">
        <v>102</v>
      </c>
      <c r="L11" s="8">
        <v>1994.66</v>
      </c>
      <c r="M11" s="8">
        <v>1994.66</v>
      </c>
      <c r="N11" s="7"/>
      <c r="O11" s="6" t="s">
        <v>35</v>
      </c>
      <c r="P11" s="6" t="s">
        <v>35</v>
      </c>
      <c r="Q11" s="8" t="s">
        <v>36</v>
      </c>
      <c r="R11" s="6"/>
      <c r="S11" s="6">
        <f t="shared" si="0"/>
        <v>1994.66</v>
      </c>
      <c r="T11" s="6"/>
      <c r="U11" s="6"/>
      <c r="V11" s="6"/>
      <c r="W11" s="6" t="s">
        <v>103</v>
      </c>
      <c r="X11" s="6" t="s">
        <v>103</v>
      </c>
      <c r="Y11" s="8" t="s">
        <v>104</v>
      </c>
      <c r="Z11" s="6" t="s">
        <v>105</v>
      </c>
      <c r="AA11" s="6" t="s">
        <v>40</v>
      </c>
    </row>
    <row r="12" spans="1:27">
      <c r="A12" s="6">
        <v>11</v>
      </c>
      <c r="B12" s="6" t="s">
        <v>27</v>
      </c>
      <c r="C12" s="7">
        <v>46082</v>
      </c>
      <c r="D12" s="8" t="s">
        <v>28</v>
      </c>
      <c r="E12" s="6" t="s">
        <v>29</v>
      </c>
      <c r="F12" s="8" t="s">
        <v>30</v>
      </c>
      <c r="G12" s="8">
        <v>12</v>
      </c>
      <c r="H12" s="8" t="s">
        <v>106</v>
      </c>
      <c r="I12" s="8" t="s">
        <v>107</v>
      </c>
      <c r="J12" s="8" t="s">
        <v>108</v>
      </c>
      <c r="K12" s="8" t="s">
        <v>109</v>
      </c>
      <c r="L12" s="8">
        <v>904</v>
      </c>
      <c r="M12" s="8">
        <v>904</v>
      </c>
      <c r="N12" s="7"/>
      <c r="O12" s="6" t="s">
        <v>35</v>
      </c>
      <c r="P12" s="6" t="s">
        <v>35</v>
      </c>
      <c r="Q12" s="8" t="s">
        <v>36</v>
      </c>
      <c r="R12" s="6"/>
      <c r="S12" s="6">
        <f t="shared" si="0"/>
        <v>904</v>
      </c>
      <c r="T12" s="6"/>
      <c r="U12" s="6"/>
      <c r="V12" s="6"/>
      <c r="W12" s="6" t="s">
        <v>110</v>
      </c>
      <c r="X12" s="6" t="s">
        <v>110</v>
      </c>
      <c r="Y12" s="8" t="s">
        <v>111</v>
      </c>
      <c r="Z12" s="6" t="s">
        <v>112</v>
      </c>
      <c r="AA12" s="6" t="s">
        <v>40</v>
      </c>
    </row>
    <row r="13" spans="1:27">
      <c r="A13" s="6">
        <v>12</v>
      </c>
      <c r="B13" s="6" t="s">
        <v>27</v>
      </c>
      <c r="C13" s="7">
        <v>46082</v>
      </c>
      <c r="D13" s="8" t="s">
        <v>28</v>
      </c>
      <c r="E13" s="6" t="s">
        <v>29</v>
      </c>
      <c r="F13" s="8" t="s">
        <v>30</v>
      </c>
      <c r="G13" s="8">
        <v>12</v>
      </c>
      <c r="H13" s="8" t="s">
        <v>113</v>
      </c>
      <c r="I13" s="8" t="s">
        <v>114</v>
      </c>
      <c r="J13" s="8" t="s">
        <v>115</v>
      </c>
      <c r="K13" s="8" t="s">
        <v>116</v>
      </c>
      <c r="L13" s="8">
        <v>2408.64</v>
      </c>
      <c r="M13" s="8">
        <v>2408.64</v>
      </c>
      <c r="N13" s="7"/>
      <c r="O13" s="6" t="s">
        <v>35</v>
      </c>
      <c r="P13" s="6" t="s">
        <v>35</v>
      </c>
      <c r="Q13" s="8" t="s">
        <v>36</v>
      </c>
      <c r="R13" s="6"/>
      <c r="S13" s="6">
        <f t="shared" si="0"/>
        <v>2408.64</v>
      </c>
      <c r="T13" s="6"/>
      <c r="U13" s="6"/>
      <c r="V13" s="6"/>
      <c r="W13" s="6" t="s">
        <v>117</v>
      </c>
      <c r="X13" s="6" t="s">
        <v>117</v>
      </c>
      <c r="Y13" s="8" t="s">
        <v>118</v>
      </c>
      <c r="Z13" s="6" t="s">
        <v>119</v>
      </c>
      <c r="AA13" s="6" t="s">
        <v>40</v>
      </c>
    </row>
    <row r="14" spans="1:27">
      <c r="A14" s="6">
        <v>13</v>
      </c>
      <c r="B14" s="6" t="s">
        <v>27</v>
      </c>
      <c r="C14" s="7">
        <v>46082</v>
      </c>
      <c r="D14" s="8" t="s">
        <v>28</v>
      </c>
      <c r="E14" s="6" t="s">
        <v>29</v>
      </c>
      <c r="F14" s="8" t="s">
        <v>30</v>
      </c>
      <c r="G14" s="8">
        <v>12</v>
      </c>
      <c r="H14" s="8" t="s">
        <v>120</v>
      </c>
      <c r="I14" s="8" t="s">
        <v>121</v>
      </c>
      <c r="J14" s="8" t="s">
        <v>122</v>
      </c>
      <c r="K14" s="8" t="s">
        <v>123</v>
      </c>
      <c r="L14" s="8">
        <v>2612.84</v>
      </c>
      <c r="M14" s="8">
        <v>2612.84</v>
      </c>
      <c r="N14" s="7"/>
      <c r="O14" s="6" t="s">
        <v>35</v>
      </c>
      <c r="P14" s="6" t="s">
        <v>35</v>
      </c>
      <c r="Q14" s="8" t="s">
        <v>36</v>
      </c>
      <c r="R14" s="6"/>
      <c r="S14" s="6">
        <f t="shared" si="0"/>
        <v>2612.84</v>
      </c>
      <c r="T14" s="6"/>
      <c r="U14" s="6"/>
      <c r="V14" s="6"/>
      <c r="W14" s="6" t="s">
        <v>124</v>
      </c>
      <c r="X14" s="6" t="s">
        <v>124</v>
      </c>
      <c r="Y14" s="8" t="s">
        <v>125</v>
      </c>
      <c r="Z14" s="6" t="s">
        <v>126</v>
      </c>
      <c r="AA14" s="6" t="s">
        <v>40</v>
      </c>
    </row>
    <row r="15" spans="1:27">
      <c r="A15" s="6">
        <v>14</v>
      </c>
      <c r="B15" s="6" t="s">
        <v>27</v>
      </c>
      <c r="C15" s="7">
        <v>46082</v>
      </c>
      <c r="D15" s="8" t="s">
        <v>28</v>
      </c>
      <c r="E15" s="6" t="s">
        <v>29</v>
      </c>
      <c r="F15" s="8" t="s">
        <v>30</v>
      </c>
      <c r="G15" s="8">
        <v>12</v>
      </c>
      <c r="H15" s="8" t="s">
        <v>127</v>
      </c>
      <c r="I15" s="8" t="s">
        <v>128</v>
      </c>
      <c r="J15" s="8" t="s">
        <v>129</v>
      </c>
      <c r="K15" s="8" t="s">
        <v>130</v>
      </c>
      <c r="L15" s="8">
        <v>2993.54</v>
      </c>
      <c r="M15" s="8">
        <v>2993.54</v>
      </c>
      <c r="N15" s="7"/>
      <c r="O15" s="6" t="s">
        <v>35</v>
      </c>
      <c r="P15" s="6" t="s">
        <v>35</v>
      </c>
      <c r="Q15" s="8" t="s">
        <v>36</v>
      </c>
      <c r="R15" s="6"/>
      <c r="S15" s="6">
        <f t="shared" si="0"/>
        <v>2993.54</v>
      </c>
      <c r="T15" s="6"/>
      <c r="U15" s="6"/>
      <c r="V15" s="6"/>
      <c r="W15" s="6" t="s">
        <v>82</v>
      </c>
      <c r="X15" s="6" t="s">
        <v>82</v>
      </c>
      <c r="Y15" s="8" t="s">
        <v>131</v>
      </c>
      <c r="Z15" s="6" t="s">
        <v>132</v>
      </c>
      <c r="AA15" s="6" t="s">
        <v>40</v>
      </c>
    </row>
    <row r="16" spans="1:27">
      <c r="A16" s="6">
        <v>15</v>
      </c>
      <c r="B16" s="6" t="s">
        <v>27</v>
      </c>
      <c r="C16" s="7">
        <v>46082</v>
      </c>
      <c r="D16" s="8" t="s">
        <v>28</v>
      </c>
      <c r="E16" s="6" t="s">
        <v>29</v>
      </c>
      <c r="F16" s="8" t="s">
        <v>30</v>
      </c>
      <c r="G16" s="8">
        <v>12</v>
      </c>
      <c r="H16" s="8" t="s">
        <v>133</v>
      </c>
      <c r="I16" s="8" t="s">
        <v>134</v>
      </c>
      <c r="J16" s="8" t="s">
        <v>135</v>
      </c>
      <c r="K16" s="8" t="s">
        <v>136</v>
      </c>
      <c r="L16" s="8">
        <v>3075.2</v>
      </c>
      <c r="M16" s="8">
        <v>3075.2</v>
      </c>
      <c r="N16" s="7"/>
      <c r="O16" s="6" t="s">
        <v>35</v>
      </c>
      <c r="P16" s="6" t="s">
        <v>35</v>
      </c>
      <c r="Q16" s="8" t="s">
        <v>36</v>
      </c>
      <c r="R16" s="6"/>
      <c r="S16" s="6">
        <f t="shared" si="0"/>
        <v>3075.2</v>
      </c>
      <c r="T16" s="6"/>
      <c r="U16" s="6"/>
      <c r="V16" s="6"/>
      <c r="W16" s="6" t="s">
        <v>96</v>
      </c>
      <c r="X16" s="6" t="s">
        <v>96</v>
      </c>
      <c r="Y16" s="8" t="s">
        <v>137</v>
      </c>
      <c r="Z16" s="6" t="s">
        <v>138</v>
      </c>
      <c r="AA16" s="6" t="s">
        <v>40</v>
      </c>
    </row>
    <row r="17" spans="1:27">
      <c r="A17" s="6">
        <v>16</v>
      </c>
      <c r="B17" s="6" t="s">
        <v>27</v>
      </c>
      <c r="C17" s="7">
        <v>46082</v>
      </c>
      <c r="D17" s="8" t="s">
        <v>28</v>
      </c>
      <c r="E17" s="6" t="s">
        <v>29</v>
      </c>
      <c r="F17" s="8" t="s">
        <v>30</v>
      </c>
      <c r="G17" s="8">
        <v>12</v>
      </c>
      <c r="H17" s="8" t="s">
        <v>139</v>
      </c>
      <c r="I17" s="8" t="s">
        <v>140</v>
      </c>
      <c r="J17" s="8" t="s">
        <v>141</v>
      </c>
      <c r="K17" s="8" t="s">
        <v>142</v>
      </c>
      <c r="L17" s="8">
        <v>3114.26</v>
      </c>
      <c r="M17" s="8">
        <v>3114.26</v>
      </c>
      <c r="N17" s="7"/>
      <c r="O17" s="6" t="s">
        <v>35</v>
      </c>
      <c r="P17" s="6" t="s">
        <v>35</v>
      </c>
      <c r="Q17" s="8" t="s">
        <v>36</v>
      </c>
      <c r="R17" s="6"/>
      <c r="S17" s="6">
        <f t="shared" si="0"/>
        <v>3114.26</v>
      </c>
      <c r="T17" s="6"/>
      <c r="U17" s="6"/>
      <c r="V17" s="6"/>
      <c r="W17" s="6" t="s">
        <v>69</v>
      </c>
      <c r="X17" s="6" t="s">
        <v>69</v>
      </c>
      <c r="Y17" s="8" t="s">
        <v>143</v>
      </c>
      <c r="Z17" s="6" t="s">
        <v>91</v>
      </c>
      <c r="AA17" s="6" t="s">
        <v>40</v>
      </c>
    </row>
    <row r="18" spans="1:27">
      <c r="A18" s="6">
        <v>17</v>
      </c>
      <c r="B18" s="6" t="s">
        <v>27</v>
      </c>
      <c r="C18" s="7">
        <v>46082</v>
      </c>
      <c r="D18" s="8" t="s">
        <v>28</v>
      </c>
      <c r="E18" s="6" t="s">
        <v>29</v>
      </c>
      <c r="F18" s="8" t="s">
        <v>30</v>
      </c>
      <c r="G18" s="8">
        <v>12</v>
      </c>
      <c r="H18" s="8" t="s">
        <v>144</v>
      </c>
      <c r="I18" s="8" t="s">
        <v>145</v>
      </c>
      <c r="J18" s="8" t="s">
        <v>146</v>
      </c>
      <c r="K18" s="8" t="s">
        <v>147</v>
      </c>
      <c r="L18" s="8">
        <v>1499.99</v>
      </c>
      <c r="M18" s="8">
        <v>1499.99</v>
      </c>
      <c r="N18" s="7"/>
      <c r="O18" s="6" t="s">
        <v>35</v>
      </c>
      <c r="P18" s="6" t="s">
        <v>35</v>
      </c>
      <c r="Q18" s="8" t="s">
        <v>36</v>
      </c>
      <c r="R18" s="6"/>
      <c r="S18" s="6">
        <f t="shared" si="0"/>
        <v>1499.99</v>
      </c>
      <c r="T18" s="6"/>
      <c r="U18" s="6"/>
      <c r="V18" s="6"/>
      <c r="W18" s="6" t="s">
        <v>103</v>
      </c>
      <c r="X18" s="6" t="s">
        <v>103</v>
      </c>
      <c r="Y18" s="8" t="s">
        <v>148</v>
      </c>
      <c r="Z18" s="6" t="s">
        <v>71</v>
      </c>
      <c r="AA18" s="6" t="s">
        <v>40</v>
      </c>
    </row>
    <row r="19" spans="1:27">
      <c r="A19" s="6">
        <v>18</v>
      </c>
      <c r="B19" s="6" t="s">
        <v>27</v>
      </c>
      <c r="C19" s="7">
        <v>46082</v>
      </c>
      <c r="D19" s="8" t="s">
        <v>28</v>
      </c>
      <c r="E19" s="6" t="s">
        <v>29</v>
      </c>
      <c r="F19" s="8" t="s">
        <v>30</v>
      </c>
      <c r="G19" s="8">
        <v>12</v>
      </c>
      <c r="H19" s="8" t="s">
        <v>149</v>
      </c>
      <c r="I19" s="8" t="s">
        <v>150</v>
      </c>
      <c r="J19" s="8" t="s">
        <v>151</v>
      </c>
      <c r="K19" s="8" t="s">
        <v>152</v>
      </c>
      <c r="L19" s="8">
        <v>3791.45</v>
      </c>
      <c r="M19" s="8">
        <v>3791.45</v>
      </c>
      <c r="N19" s="7"/>
      <c r="O19" s="6" t="s">
        <v>35</v>
      </c>
      <c r="P19" s="6" t="s">
        <v>35</v>
      </c>
      <c r="Q19" s="8" t="s">
        <v>36</v>
      </c>
      <c r="R19" s="6"/>
      <c r="S19" s="6">
        <f t="shared" si="0"/>
        <v>3791.45</v>
      </c>
      <c r="T19" s="6"/>
      <c r="U19" s="6"/>
      <c r="V19" s="6"/>
      <c r="W19" s="6" t="s">
        <v>110</v>
      </c>
      <c r="X19" s="6" t="s">
        <v>110</v>
      </c>
      <c r="Y19" s="8" t="s">
        <v>153</v>
      </c>
      <c r="Z19" s="6" t="s">
        <v>154</v>
      </c>
      <c r="AA19" s="6" t="s">
        <v>40</v>
      </c>
    </row>
    <row r="20" spans="1:27">
      <c r="A20" s="6">
        <v>19</v>
      </c>
      <c r="B20" s="6" t="s">
        <v>27</v>
      </c>
      <c r="C20" s="7">
        <v>46082</v>
      </c>
      <c r="D20" s="8" t="s">
        <v>28</v>
      </c>
      <c r="E20" s="6" t="s">
        <v>29</v>
      </c>
      <c r="F20" s="8" t="s">
        <v>30</v>
      </c>
      <c r="G20" s="8">
        <v>12</v>
      </c>
      <c r="H20" s="8" t="s">
        <v>155</v>
      </c>
      <c r="I20" s="8" t="s">
        <v>156</v>
      </c>
      <c r="J20" s="8" t="s">
        <v>157</v>
      </c>
      <c r="K20" s="8" t="s">
        <v>158</v>
      </c>
      <c r="L20" s="8">
        <v>5763.37</v>
      </c>
      <c r="M20" s="8">
        <v>5763.37</v>
      </c>
      <c r="N20" s="7"/>
      <c r="O20" s="6" t="s">
        <v>35</v>
      </c>
      <c r="P20" s="6" t="s">
        <v>35</v>
      </c>
      <c r="Q20" s="8" t="s">
        <v>36</v>
      </c>
      <c r="R20" s="6"/>
      <c r="S20" s="6">
        <f t="shared" si="0"/>
        <v>5763.37</v>
      </c>
      <c r="T20" s="6"/>
      <c r="U20" s="6"/>
      <c r="V20" s="6"/>
      <c r="W20" s="6" t="s">
        <v>62</v>
      </c>
      <c r="X20" s="6" t="s">
        <v>62</v>
      </c>
      <c r="Y20" s="8" t="s">
        <v>159</v>
      </c>
      <c r="Z20" s="6" t="s">
        <v>160</v>
      </c>
      <c r="AA20" s="6" t="s">
        <v>40</v>
      </c>
    </row>
    <row r="21" spans="1:27">
      <c r="A21" s="6">
        <v>20</v>
      </c>
      <c r="B21" s="6" t="s">
        <v>27</v>
      </c>
      <c r="C21" s="7">
        <v>46082</v>
      </c>
      <c r="D21" s="8" t="s">
        <v>28</v>
      </c>
      <c r="E21" s="6" t="s">
        <v>29</v>
      </c>
      <c r="F21" s="8" t="s">
        <v>30</v>
      </c>
      <c r="G21" s="8">
        <v>12</v>
      </c>
      <c r="H21" s="8" t="s">
        <v>161</v>
      </c>
      <c r="I21" s="8" t="s">
        <v>162</v>
      </c>
      <c r="J21" s="8" t="s">
        <v>163</v>
      </c>
      <c r="K21" s="8" t="s">
        <v>164</v>
      </c>
      <c r="L21" s="8">
        <v>4375.08</v>
      </c>
      <c r="M21" s="8">
        <v>4375.08</v>
      </c>
      <c r="N21" s="7"/>
      <c r="O21" s="6" t="s">
        <v>35</v>
      </c>
      <c r="P21" s="6" t="s">
        <v>35</v>
      </c>
      <c r="Q21" s="8" t="s">
        <v>36</v>
      </c>
      <c r="R21" s="6"/>
      <c r="S21" s="6">
        <f t="shared" si="0"/>
        <v>4375.08</v>
      </c>
      <c r="T21" s="6"/>
      <c r="U21" s="6"/>
      <c r="V21" s="6"/>
      <c r="W21" s="6" t="s">
        <v>103</v>
      </c>
      <c r="X21" s="6" t="s">
        <v>103</v>
      </c>
      <c r="Y21" s="8" t="s">
        <v>165</v>
      </c>
      <c r="Z21" s="6" t="s">
        <v>166</v>
      </c>
      <c r="AA21" s="6" t="s">
        <v>40</v>
      </c>
    </row>
    <row r="22" spans="1:27">
      <c r="A22" s="6">
        <v>21</v>
      </c>
      <c r="B22" s="6" t="s">
        <v>27</v>
      </c>
      <c r="C22" s="7">
        <v>46082</v>
      </c>
      <c r="D22" s="8" t="s">
        <v>28</v>
      </c>
      <c r="E22" s="6" t="s">
        <v>29</v>
      </c>
      <c r="F22" s="8" t="s">
        <v>30</v>
      </c>
      <c r="G22" s="8">
        <v>12</v>
      </c>
      <c r="H22" s="8" t="s">
        <v>167</v>
      </c>
      <c r="I22" s="8" t="s">
        <v>168</v>
      </c>
      <c r="J22" s="8" t="s">
        <v>169</v>
      </c>
      <c r="K22" s="8" t="s">
        <v>170</v>
      </c>
      <c r="L22" s="8">
        <v>6166.32</v>
      </c>
      <c r="M22" s="8">
        <v>6166.32</v>
      </c>
      <c r="N22" s="7"/>
      <c r="O22" s="6" t="s">
        <v>35</v>
      </c>
      <c r="P22" s="6" t="s">
        <v>35</v>
      </c>
      <c r="Q22" s="8" t="s">
        <v>36</v>
      </c>
      <c r="R22" s="6"/>
      <c r="S22" s="6">
        <f t="shared" si="0"/>
        <v>6166.32</v>
      </c>
      <c r="T22" s="6"/>
      <c r="U22" s="6"/>
      <c r="V22" s="6"/>
      <c r="W22" s="6" t="s">
        <v>45</v>
      </c>
      <c r="X22" s="6" t="s">
        <v>45</v>
      </c>
      <c r="Y22" s="8" t="s">
        <v>171</v>
      </c>
      <c r="Z22" s="6" t="s">
        <v>172</v>
      </c>
      <c r="AA22" s="6" t="s">
        <v>40</v>
      </c>
    </row>
    <row r="23" spans="1:27">
      <c r="A23" s="6">
        <v>22</v>
      </c>
      <c r="B23" s="6" t="s">
        <v>27</v>
      </c>
      <c r="C23" s="7">
        <v>46082</v>
      </c>
      <c r="D23" s="8" t="s">
        <v>28</v>
      </c>
      <c r="E23" s="6" t="s">
        <v>29</v>
      </c>
      <c r="F23" s="8" t="s">
        <v>30</v>
      </c>
      <c r="G23" s="8">
        <v>12</v>
      </c>
      <c r="H23" s="8" t="s">
        <v>173</v>
      </c>
      <c r="I23" s="8" t="s">
        <v>174</v>
      </c>
      <c r="J23" s="8" t="s">
        <v>175</v>
      </c>
      <c r="K23" s="8" t="s">
        <v>176</v>
      </c>
      <c r="L23" s="8">
        <v>9053.93</v>
      </c>
      <c r="M23" s="8">
        <v>9053.93</v>
      </c>
      <c r="N23" s="7"/>
      <c r="O23" s="6" t="s">
        <v>35</v>
      </c>
      <c r="P23" s="6" t="s">
        <v>35</v>
      </c>
      <c r="Q23" s="8" t="s">
        <v>36</v>
      </c>
      <c r="R23" s="6"/>
      <c r="S23" s="6">
        <f t="shared" si="0"/>
        <v>9053.93</v>
      </c>
      <c r="T23" s="6"/>
      <c r="U23" s="6"/>
      <c r="V23" s="6"/>
      <c r="W23" s="6" t="s">
        <v>96</v>
      </c>
      <c r="X23" s="6" t="s">
        <v>96</v>
      </c>
      <c r="Y23" s="8" t="s">
        <v>177</v>
      </c>
      <c r="Z23" s="6" t="s">
        <v>178</v>
      </c>
      <c r="AA23" s="6" t="s">
        <v>40</v>
      </c>
    </row>
    <row r="24" spans="1:27">
      <c r="A24" s="6">
        <v>23</v>
      </c>
      <c r="B24" s="6" t="s">
        <v>27</v>
      </c>
      <c r="C24" s="7">
        <v>46082</v>
      </c>
      <c r="D24" s="8" t="s">
        <v>28</v>
      </c>
      <c r="E24" s="6" t="s">
        <v>29</v>
      </c>
      <c r="F24" s="8" t="s">
        <v>30</v>
      </c>
      <c r="G24" s="8">
        <v>12</v>
      </c>
      <c r="H24" s="8" t="s">
        <v>179</v>
      </c>
      <c r="I24" s="8" t="s">
        <v>180</v>
      </c>
      <c r="J24" s="8" t="s">
        <v>181</v>
      </c>
      <c r="K24" s="8" t="s">
        <v>182</v>
      </c>
      <c r="L24" s="8">
        <v>11323.25</v>
      </c>
      <c r="M24" s="8">
        <v>11323.25</v>
      </c>
      <c r="N24" s="7"/>
      <c r="O24" s="6" t="s">
        <v>35</v>
      </c>
      <c r="P24" s="6" t="s">
        <v>35</v>
      </c>
      <c r="Q24" s="8" t="s">
        <v>36</v>
      </c>
      <c r="R24" s="6"/>
      <c r="S24" s="6">
        <f t="shared" si="0"/>
        <v>11323.25</v>
      </c>
      <c r="T24" s="6"/>
      <c r="U24" s="6"/>
      <c r="V24" s="6"/>
      <c r="W24" s="6" t="s">
        <v>45</v>
      </c>
      <c r="X24" s="6" t="s">
        <v>45</v>
      </c>
      <c r="Y24" s="8" t="s">
        <v>183</v>
      </c>
      <c r="Z24" s="6" t="s">
        <v>184</v>
      </c>
      <c r="AA24" s="6" t="s">
        <v>40</v>
      </c>
    </row>
    <row r="25" spans="1:27">
      <c r="A25" s="6">
        <v>24</v>
      </c>
      <c r="B25" s="6" t="s">
        <v>27</v>
      </c>
      <c r="C25" s="7">
        <v>46082</v>
      </c>
      <c r="D25" s="8" t="s">
        <v>28</v>
      </c>
      <c r="E25" s="6" t="s">
        <v>29</v>
      </c>
      <c r="F25" s="8" t="s">
        <v>30</v>
      </c>
      <c r="G25" s="8">
        <v>12</v>
      </c>
      <c r="H25" s="8" t="s">
        <v>185</v>
      </c>
      <c r="I25" s="8" t="s">
        <v>186</v>
      </c>
      <c r="J25" s="8" t="s">
        <v>187</v>
      </c>
      <c r="K25" s="8" t="s">
        <v>188</v>
      </c>
      <c r="L25" s="8">
        <v>12702.91</v>
      </c>
      <c r="M25" s="8">
        <v>12702.91</v>
      </c>
      <c r="N25" s="7"/>
      <c r="O25" s="6" t="s">
        <v>35</v>
      </c>
      <c r="P25" s="6" t="s">
        <v>35</v>
      </c>
      <c r="Q25" s="8" t="s">
        <v>36</v>
      </c>
      <c r="R25" s="6"/>
      <c r="S25" s="6">
        <f t="shared" si="0"/>
        <v>12702.91</v>
      </c>
      <c r="T25" s="6"/>
      <c r="U25" s="6"/>
      <c r="V25" s="6"/>
      <c r="W25" s="6" t="s">
        <v>89</v>
      </c>
      <c r="X25" s="6" t="s">
        <v>89</v>
      </c>
      <c r="Y25" s="8" t="s">
        <v>189</v>
      </c>
      <c r="Z25" s="6" t="s">
        <v>190</v>
      </c>
      <c r="AA25" s="6" t="s">
        <v>40</v>
      </c>
    </row>
    <row r="26" spans="1:27">
      <c r="A26" s="6">
        <v>25</v>
      </c>
      <c r="B26" s="6" t="s">
        <v>27</v>
      </c>
      <c r="C26" s="7">
        <v>46082</v>
      </c>
      <c r="D26" s="8" t="s">
        <v>28</v>
      </c>
      <c r="E26" s="6" t="s">
        <v>29</v>
      </c>
      <c r="F26" s="8" t="s">
        <v>30</v>
      </c>
      <c r="G26" s="8">
        <v>12</v>
      </c>
      <c r="H26" s="8" t="s">
        <v>191</v>
      </c>
      <c r="I26" s="8" t="s">
        <v>192</v>
      </c>
      <c r="J26" s="8" t="s">
        <v>193</v>
      </c>
      <c r="K26" s="8" t="s">
        <v>194</v>
      </c>
      <c r="L26" s="8">
        <v>10687.67</v>
      </c>
      <c r="M26" s="8">
        <v>10687.67</v>
      </c>
      <c r="N26" s="7"/>
      <c r="O26" s="6" t="s">
        <v>35</v>
      </c>
      <c r="P26" s="6" t="s">
        <v>35</v>
      </c>
      <c r="Q26" s="8" t="s">
        <v>36</v>
      </c>
      <c r="R26" s="6"/>
      <c r="S26" s="6">
        <f t="shared" si="0"/>
        <v>10687.67</v>
      </c>
      <c r="T26" s="6"/>
      <c r="U26" s="6"/>
      <c r="V26" s="6"/>
      <c r="W26" s="6" t="s">
        <v>45</v>
      </c>
      <c r="X26" s="6" t="s">
        <v>45</v>
      </c>
      <c r="Y26" s="8" t="s">
        <v>195</v>
      </c>
      <c r="Z26" s="6" t="s">
        <v>196</v>
      </c>
      <c r="AA26" s="6" t="s">
        <v>40</v>
      </c>
    </row>
    <row r="27" spans="1:27">
      <c r="A27" s="6">
        <v>26</v>
      </c>
      <c r="B27" s="6" t="s">
        <v>27</v>
      </c>
      <c r="C27" s="7">
        <v>46082</v>
      </c>
      <c r="D27" s="8" t="s">
        <v>28</v>
      </c>
      <c r="E27" s="6" t="s">
        <v>29</v>
      </c>
      <c r="F27" s="8" t="s">
        <v>30</v>
      </c>
      <c r="G27" s="8">
        <v>12</v>
      </c>
      <c r="H27" s="8" t="s">
        <v>197</v>
      </c>
      <c r="I27" s="8">
        <v>9347971341</v>
      </c>
      <c r="J27" s="8" t="s">
        <v>198</v>
      </c>
      <c r="K27" s="8" t="s">
        <v>199</v>
      </c>
      <c r="L27" s="8">
        <v>13745.88</v>
      </c>
      <c r="M27" s="8">
        <v>13745.88</v>
      </c>
      <c r="N27" s="7"/>
      <c r="O27" s="6" t="s">
        <v>35</v>
      </c>
      <c r="P27" s="6" t="s">
        <v>35</v>
      </c>
      <c r="Q27" s="8" t="s">
        <v>36</v>
      </c>
      <c r="R27" s="6"/>
      <c r="S27" s="6">
        <f t="shared" si="0"/>
        <v>13745.88</v>
      </c>
      <c r="T27" s="6"/>
      <c r="U27" s="6"/>
      <c r="V27" s="6"/>
      <c r="W27" s="6" t="s">
        <v>62</v>
      </c>
      <c r="X27" s="6" t="s">
        <v>62</v>
      </c>
      <c r="Y27" s="8" t="s">
        <v>200</v>
      </c>
      <c r="Z27" s="6" t="s">
        <v>201</v>
      </c>
      <c r="AA27" s="6" t="s">
        <v>40</v>
      </c>
    </row>
    <row r="28" spans="1:27">
      <c r="A28" s="6">
        <v>27</v>
      </c>
      <c r="B28" s="6" t="s">
        <v>27</v>
      </c>
      <c r="C28" s="7">
        <v>46082</v>
      </c>
      <c r="D28" s="8" t="s">
        <v>28</v>
      </c>
      <c r="E28" s="6" t="s">
        <v>29</v>
      </c>
      <c r="F28" s="8" t="s">
        <v>30</v>
      </c>
      <c r="G28" s="8">
        <v>12</v>
      </c>
      <c r="H28" s="8" t="s">
        <v>202</v>
      </c>
      <c r="I28" s="8" t="s">
        <v>203</v>
      </c>
      <c r="J28" s="8" t="s">
        <v>204</v>
      </c>
      <c r="K28" s="8" t="s">
        <v>205</v>
      </c>
      <c r="L28" s="8">
        <v>14762.92</v>
      </c>
      <c r="M28" s="8">
        <v>14762.92</v>
      </c>
      <c r="N28" s="7"/>
      <c r="O28" s="6" t="s">
        <v>35</v>
      </c>
      <c r="P28" s="6" t="s">
        <v>35</v>
      </c>
      <c r="Q28" s="8" t="s">
        <v>36</v>
      </c>
      <c r="R28" s="6"/>
      <c r="S28" s="6">
        <f t="shared" si="0"/>
        <v>14762.92</v>
      </c>
      <c r="T28" s="6"/>
      <c r="U28" s="6"/>
      <c r="V28" s="6"/>
      <c r="W28" s="6" t="s">
        <v>76</v>
      </c>
      <c r="X28" s="6" t="s">
        <v>76</v>
      </c>
      <c r="Y28" s="8" t="s">
        <v>206</v>
      </c>
      <c r="Z28" s="6" t="s">
        <v>71</v>
      </c>
      <c r="AA28" s="6" t="s">
        <v>40</v>
      </c>
    </row>
    <row r="29" spans="1:27">
      <c r="A29" s="6">
        <v>28</v>
      </c>
      <c r="B29" s="6" t="s">
        <v>27</v>
      </c>
      <c r="C29" s="7">
        <v>46082</v>
      </c>
      <c r="D29" s="8" t="s">
        <v>28</v>
      </c>
      <c r="E29" s="6" t="s">
        <v>29</v>
      </c>
      <c r="F29" s="8" t="s">
        <v>30</v>
      </c>
      <c r="G29" s="8">
        <v>12</v>
      </c>
      <c r="H29" s="8" t="s">
        <v>207</v>
      </c>
      <c r="I29" s="8">
        <v>7780417906</v>
      </c>
      <c r="J29" s="8" t="s">
        <v>208</v>
      </c>
      <c r="K29" s="8" t="s">
        <v>209</v>
      </c>
      <c r="L29" s="8">
        <v>15828.36</v>
      </c>
      <c r="M29" s="8">
        <v>15828.36</v>
      </c>
      <c r="N29" s="7"/>
      <c r="O29" s="6" t="s">
        <v>35</v>
      </c>
      <c r="P29" s="6" t="s">
        <v>35</v>
      </c>
      <c r="Q29" s="8" t="s">
        <v>36</v>
      </c>
      <c r="R29" s="6"/>
      <c r="S29" s="6">
        <f t="shared" si="0"/>
        <v>15828.36</v>
      </c>
      <c r="T29" s="6"/>
      <c r="U29" s="6"/>
      <c r="V29" s="6"/>
      <c r="W29" s="6" t="s">
        <v>76</v>
      </c>
      <c r="X29" s="6" t="s">
        <v>76</v>
      </c>
      <c r="Y29" s="8" t="s">
        <v>210</v>
      </c>
      <c r="Z29" s="6" t="s">
        <v>211</v>
      </c>
      <c r="AA29" s="6" t="s">
        <v>40</v>
      </c>
    </row>
    <row r="30" spans="1:27">
      <c r="A30" s="6">
        <v>29</v>
      </c>
      <c r="B30" s="6" t="s">
        <v>27</v>
      </c>
      <c r="C30" s="7">
        <v>46082</v>
      </c>
      <c r="D30" s="8" t="s">
        <v>28</v>
      </c>
      <c r="E30" s="6" t="s">
        <v>29</v>
      </c>
      <c r="F30" s="8" t="s">
        <v>30</v>
      </c>
      <c r="G30" s="8">
        <v>12</v>
      </c>
      <c r="H30" s="8" t="s">
        <v>212</v>
      </c>
      <c r="I30" s="8">
        <v>8143403848</v>
      </c>
      <c r="J30" s="8" t="s">
        <v>213</v>
      </c>
      <c r="K30" s="8"/>
      <c r="L30" s="8">
        <v>18837.53</v>
      </c>
      <c r="M30" s="8">
        <v>18837.53</v>
      </c>
      <c r="N30" s="7"/>
      <c r="O30" s="6" t="s">
        <v>35</v>
      </c>
      <c r="P30" s="6" t="s">
        <v>35</v>
      </c>
      <c r="Q30" s="8" t="s">
        <v>36</v>
      </c>
      <c r="R30" s="6"/>
      <c r="S30" s="6">
        <f t="shared" si="0"/>
        <v>18837.53</v>
      </c>
      <c r="T30" s="6"/>
      <c r="U30" s="6"/>
      <c r="V30" s="6"/>
      <c r="W30" s="6" t="s">
        <v>110</v>
      </c>
      <c r="X30" s="6" t="s">
        <v>110</v>
      </c>
      <c r="Y30" s="8" t="s">
        <v>214</v>
      </c>
      <c r="Z30" s="6" t="s">
        <v>215</v>
      </c>
      <c r="AA30" s="6" t="s">
        <v>40</v>
      </c>
    </row>
    <row r="31" spans="1:27">
      <c r="A31" s="6">
        <v>30</v>
      </c>
      <c r="B31" s="6" t="s">
        <v>27</v>
      </c>
      <c r="C31" s="7">
        <v>46082</v>
      </c>
      <c r="D31" s="8" t="s">
        <v>28</v>
      </c>
      <c r="E31" s="6" t="s">
        <v>29</v>
      </c>
      <c r="F31" s="8" t="s">
        <v>30</v>
      </c>
      <c r="G31" s="8">
        <v>12</v>
      </c>
      <c r="H31" s="8" t="s">
        <v>216</v>
      </c>
      <c r="I31" s="8">
        <v>9391414888</v>
      </c>
      <c r="J31" s="8" t="s">
        <v>217</v>
      </c>
      <c r="K31" s="8" t="s">
        <v>218</v>
      </c>
      <c r="L31" s="8">
        <v>21974.16</v>
      </c>
      <c r="M31" s="8">
        <v>21974.16</v>
      </c>
      <c r="N31" s="7"/>
      <c r="O31" s="6" t="s">
        <v>35</v>
      </c>
      <c r="P31" s="6" t="s">
        <v>35</v>
      </c>
      <c r="Q31" s="8" t="s">
        <v>36</v>
      </c>
      <c r="R31" s="6"/>
      <c r="S31" s="6">
        <f t="shared" si="0"/>
        <v>21974.16</v>
      </c>
      <c r="T31" s="6"/>
      <c r="U31" s="6"/>
      <c r="V31" s="6"/>
      <c r="W31" s="6" t="s">
        <v>62</v>
      </c>
      <c r="X31" s="6" t="s">
        <v>62</v>
      </c>
      <c r="Y31" s="8" t="s">
        <v>219</v>
      </c>
      <c r="Z31" s="6" t="s">
        <v>215</v>
      </c>
      <c r="AA31" s="6" t="s">
        <v>40</v>
      </c>
    </row>
    <row r="32" spans="1:27">
      <c r="A32" s="6">
        <v>31</v>
      </c>
      <c r="B32" s="6" t="s">
        <v>27</v>
      </c>
      <c r="C32" s="7">
        <v>46082</v>
      </c>
      <c r="D32" s="8" t="s">
        <v>28</v>
      </c>
      <c r="E32" s="6" t="s">
        <v>29</v>
      </c>
      <c r="F32" s="8" t="s">
        <v>30</v>
      </c>
      <c r="G32" s="8">
        <v>12</v>
      </c>
      <c r="H32" s="8" t="s">
        <v>220</v>
      </c>
      <c r="I32" s="8">
        <v>9666622642</v>
      </c>
      <c r="J32" s="8" t="s">
        <v>221</v>
      </c>
      <c r="K32" s="8" t="s">
        <v>222</v>
      </c>
      <c r="L32" s="8">
        <v>22450.26</v>
      </c>
      <c r="M32" s="8">
        <v>22450.26</v>
      </c>
      <c r="N32" s="7"/>
      <c r="O32" s="6" t="s">
        <v>35</v>
      </c>
      <c r="P32" s="6" t="s">
        <v>35</v>
      </c>
      <c r="Q32" s="8" t="s">
        <v>36</v>
      </c>
      <c r="R32" s="6"/>
      <c r="S32" s="6">
        <f t="shared" si="0"/>
        <v>22450.26</v>
      </c>
      <c r="T32" s="6"/>
      <c r="U32" s="6"/>
      <c r="V32" s="6"/>
      <c r="W32" s="6" t="s">
        <v>89</v>
      </c>
      <c r="X32" s="6" t="s">
        <v>89</v>
      </c>
      <c r="Y32" s="8" t="s">
        <v>223</v>
      </c>
      <c r="Z32" s="6" t="s">
        <v>224</v>
      </c>
      <c r="AA32" s="6" t="s">
        <v>40</v>
      </c>
    </row>
    <row r="33" spans="1:27" ht="12.75" customHeight="1">
      <c r="A33" s="6">
        <v>32</v>
      </c>
      <c r="B33" s="6" t="s">
        <v>225</v>
      </c>
      <c r="C33" s="7">
        <v>46083</v>
      </c>
      <c r="D33" s="6" t="s">
        <v>226</v>
      </c>
      <c r="E33" s="6" t="s">
        <v>29</v>
      </c>
      <c r="F33" s="6" t="s">
        <v>227</v>
      </c>
      <c r="G33" s="8">
        <v>2</v>
      </c>
      <c r="H33" s="8" t="s">
        <v>228</v>
      </c>
      <c r="I33" s="6">
        <v>9014332426</v>
      </c>
      <c r="J33" s="9" t="s">
        <v>229</v>
      </c>
      <c r="K33" s="9" t="s">
        <v>229</v>
      </c>
      <c r="L33" s="8">
        <v>11330</v>
      </c>
      <c r="M33" s="8">
        <v>11330</v>
      </c>
      <c r="N33" s="7">
        <v>46085</v>
      </c>
      <c r="O33" s="6" t="s">
        <v>37</v>
      </c>
      <c r="P33" s="6" t="s">
        <v>52</v>
      </c>
      <c r="Q33" s="8" t="s">
        <v>230</v>
      </c>
      <c r="R33" s="6">
        <v>11330</v>
      </c>
      <c r="S33" s="6">
        <f t="shared" si="0"/>
        <v>0</v>
      </c>
      <c r="T33" s="7">
        <v>46085</v>
      </c>
      <c r="U33" s="6" t="s">
        <v>231</v>
      </c>
      <c r="V33" s="6" t="s">
        <v>54</v>
      </c>
      <c r="W33" s="6" t="s">
        <v>232</v>
      </c>
      <c r="X33" s="6" t="s">
        <v>232</v>
      </c>
      <c r="Y33" s="6" t="s">
        <v>233</v>
      </c>
      <c r="Z33" s="6" t="s">
        <v>234</v>
      </c>
      <c r="AA33" s="6" t="s">
        <v>235</v>
      </c>
    </row>
    <row r="34" spans="1:27">
      <c r="A34" s="6">
        <v>33</v>
      </c>
      <c r="B34" s="6" t="s">
        <v>225</v>
      </c>
      <c r="C34" s="7">
        <v>46083</v>
      </c>
      <c r="D34" s="6" t="s">
        <v>226</v>
      </c>
      <c r="E34" s="6" t="s">
        <v>29</v>
      </c>
      <c r="F34" s="6" t="s">
        <v>236</v>
      </c>
      <c r="G34" s="8">
        <v>2</v>
      </c>
      <c r="H34" s="8" t="s">
        <v>237</v>
      </c>
      <c r="I34" s="6">
        <v>9393681441</v>
      </c>
      <c r="J34" s="10" t="s">
        <v>238</v>
      </c>
      <c r="K34" s="10" t="s">
        <v>238</v>
      </c>
      <c r="L34" s="6">
        <v>8400</v>
      </c>
      <c r="M34" s="6">
        <v>8400</v>
      </c>
      <c r="N34" s="7" t="s">
        <v>239</v>
      </c>
      <c r="O34" s="6" t="s">
        <v>239</v>
      </c>
      <c r="P34" s="6" t="s">
        <v>239</v>
      </c>
      <c r="Q34" s="8" t="s">
        <v>236</v>
      </c>
      <c r="R34" s="6"/>
      <c r="S34" s="6">
        <f t="shared" si="0"/>
        <v>8400</v>
      </c>
      <c r="T34" s="6"/>
      <c r="U34" s="6"/>
      <c r="V34" s="6"/>
      <c r="W34" s="6" t="s">
        <v>236</v>
      </c>
      <c r="X34" s="6" t="s">
        <v>236</v>
      </c>
      <c r="Y34" s="6" t="s">
        <v>236</v>
      </c>
      <c r="Z34" s="6" t="s">
        <v>236</v>
      </c>
      <c r="AA34" s="6" t="s">
        <v>236</v>
      </c>
    </row>
    <row r="35" spans="1:27">
      <c r="A35" s="6">
        <v>34</v>
      </c>
      <c r="B35" s="6" t="s">
        <v>225</v>
      </c>
      <c r="C35" s="7">
        <v>46083</v>
      </c>
      <c r="D35" s="6" t="s">
        <v>226</v>
      </c>
      <c r="E35" s="6" t="s">
        <v>29</v>
      </c>
      <c r="F35" s="6" t="s">
        <v>240</v>
      </c>
      <c r="G35" s="8">
        <v>2</v>
      </c>
      <c r="H35" s="8" t="s">
        <v>241</v>
      </c>
      <c r="I35" s="6">
        <v>9618144118</v>
      </c>
      <c r="J35" s="10" t="s">
        <v>242</v>
      </c>
      <c r="K35" s="10" t="s">
        <v>242</v>
      </c>
      <c r="L35" s="6">
        <v>100</v>
      </c>
      <c r="M35" s="6">
        <v>100</v>
      </c>
      <c r="N35" s="7" t="s">
        <v>239</v>
      </c>
      <c r="O35" s="6" t="s">
        <v>239</v>
      </c>
      <c r="P35" s="6" t="s">
        <v>239</v>
      </c>
      <c r="Q35" s="8" t="s">
        <v>236</v>
      </c>
      <c r="R35" s="6"/>
      <c r="S35" s="6">
        <f t="shared" si="0"/>
        <v>100</v>
      </c>
      <c r="T35" s="6"/>
      <c r="U35" s="6"/>
      <c r="V35" s="6"/>
      <c r="W35" s="6" t="s">
        <v>236</v>
      </c>
      <c r="X35" s="6" t="s">
        <v>236</v>
      </c>
      <c r="Y35" s="6" t="s">
        <v>236</v>
      </c>
      <c r="Z35" s="6" t="s">
        <v>236</v>
      </c>
      <c r="AA35" s="6" t="s">
        <v>236</v>
      </c>
    </row>
    <row r="36" spans="1:27">
      <c r="A36" s="6">
        <v>35</v>
      </c>
      <c r="B36" s="6" t="s">
        <v>225</v>
      </c>
      <c r="C36" s="7">
        <v>46083</v>
      </c>
      <c r="D36" s="6" t="s">
        <v>226</v>
      </c>
      <c r="E36" s="6" t="s">
        <v>29</v>
      </c>
      <c r="F36" s="6" t="s">
        <v>240</v>
      </c>
      <c r="G36" s="8">
        <v>2</v>
      </c>
      <c r="H36" s="8" t="s">
        <v>243</v>
      </c>
      <c r="I36" s="6">
        <v>8096752787</v>
      </c>
      <c r="J36" s="10" t="s">
        <v>244</v>
      </c>
      <c r="K36" s="10" t="s">
        <v>244</v>
      </c>
      <c r="L36" s="6">
        <v>1020</v>
      </c>
      <c r="M36" s="6">
        <v>1020</v>
      </c>
      <c r="N36" s="7" t="s">
        <v>239</v>
      </c>
      <c r="O36" s="6" t="s">
        <v>239</v>
      </c>
      <c r="P36" s="6" t="s">
        <v>239</v>
      </c>
      <c r="Q36" s="8" t="s">
        <v>236</v>
      </c>
      <c r="R36" s="6"/>
      <c r="S36" s="6">
        <f t="shared" si="0"/>
        <v>1020</v>
      </c>
      <c r="T36" s="6"/>
      <c r="U36" s="6"/>
      <c r="V36" s="6"/>
      <c r="W36" s="6" t="s">
        <v>236</v>
      </c>
      <c r="X36" s="6" t="s">
        <v>236</v>
      </c>
      <c r="Y36" s="6" t="s">
        <v>236</v>
      </c>
      <c r="Z36" s="6" t="s">
        <v>236</v>
      </c>
      <c r="AA36" s="6" t="s">
        <v>236</v>
      </c>
    </row>
    <row r="37" spans="1:27">
      <c r="A37" s="6">
        <v>36</v>
      </c>
      <c r="B37" s="6" t="s">
        <v>225</v>
      </c>
      <c r="C37" s="7">
        <v>46083</v>
      </c>
      <c r="D37" s="6" t="s">
        <v>226</v>
      </c>
      <c r="E37" s="6" t="s">
        <v>29</v>
      </c>
      <c r="F37" s="6" t="s">
        <v>240</v>
      </c>
      <c r="G37" s="8">
        <v>2</v>
      </c>
      <c r="H37" s="8" t="s">
        <v>245</v>
      </c>
      <c r="I37" s="6">
        <v>8105597667</v>
      </c>
      <c r="J37" s="10" t="s">
        <v>246</v>
      </c>
      <c r="K37" s="10" t="s">
        <v>246</v>
      </c>
      <c r="L37" s="6">
        <v>1930</v>
      </c>
      <c r="M37" s="6">
        <v>1930</v>
      </c>
      <c r="N37" s="7" t="s">
        <v>239</v>
      </c>
      <c r="O37" s="6" t="s">
        <v>239</v>
      </c>
      <c r="P37" s="6" t="s">
        <v>239</v>
      </c>
      <c r="Q37" s="8" t="s">
        <v>236</v>
      </c>
      <c r="R37" s="6"/>
      <c r="S37" s="6">
        <f t="shared" si="0"/>
        <v>1930</v>
      </c>
      <c r="T37" s="6"/>
      <c r="U37" s="6"/>
      <c r="V37" s="6"/>
      <c r="W37" s="6" t="s">
        <v>236</v>
      </c>
      <c r="X37" s="6" t="s">
        <v>236</v>
      </c>
      <c r="Y37" s="6" t="s">
        <v>236</v>
      </c>
      <c r="Z37" s="6" t="s">
        <v>236</v>
      </c>
      <c r="AA37" s="6" t="s">
        <v>236</v>
      </c>
    </row>
    <row r="38" spans="1:27">
      <c r="A38" s="6">
        <v>37</v>
      </c>
      <c r="B38" s="6" t="s">
        <v>225</v>
      </c>
      <c r="C38" s="7">
        <v>46083</v>
      </c>
      <c r="D38" s="6" t="s">
        <v>226</v>
      </c>
      <c r="E38" s="6" t="s">
        <v>29</v>
      </c>
      <c r="F38" s="6" t="s">
        <v>240</v>
      </c>
      <c r="G38" s="8">
        <v>2</v>
      </c>
      <c r="H38" s="8" t="s">
        <v>247</v>
      </c>
      <c r="I38" s="6">
        <v>8179940682</v>
      </c>
      <c r="J38" s="10" t="s">
        <v>248</v>
      </c>
      <c r="K38" s="10" t="s">
        <v>248</v>
      </c>
      <c r="L38" s="6">
        <v>970</v>
      </c>
      <c r="M38" s="6">
        <v>970</v>
      </c>
      <c r="N38" s="7" t="s">
        <v>239</v>
      </c>
      <c r="O38" s="6" t="s">
        <v>239</v>
      </c>
      <c r="P38" s="6" t="s">
        <v>239</v>
      </c>
      <c r="Q38" s="8" t="s">
        <v>236</v>
      </c>
      <c r="R38" s="6"/>
      <c r="S38" s="6">
        <f t="shared" si="0"/>
        <v>970</v>
      </c>
      <c r="T38" s="6"/>
      <c r="U38" s="6"/>
      <c r="V38" s="6"/>
      <c r="W38" s="6" t="s">
        <v>236</v>
      </c>
      <c r="X38" s="6" t="s">
        <v>236</v>
      </c>
      <c r="Y38" s="6" t="s">
        <v>236</v>
      </c>
      <c r="Z38" s="6" t="s">
        <v>236</v>
      </c>
      <c r="AA38" s="6" t="s">
        <v>236</v>
      </c>
    </row>
    <row r="39" spans="1:27">
      <c r="A39" s="6">
        <v>38</v>
      </c>
      <c r="B39" s="6" t="s">
        <v>225</v>
      </c>
      <c r="C39" s="7">
        <v>46083</v>
      </c>
      <c r="D39" s="6" t="s">
        <v>226</v>
      </c>
      <c r="E39" s="6" t="s">
        <v>29</v>
      </c>
      <c r="F39" s="6" t="s">
        <v>240</v>
      </c>
      <c r="G39" s="8">
        <v>2</v>
      </c>
      <c r="H39" s="8" t="s">
        <v>249</v>
      </c>
      <c r="I39" s="6">
        <v>9989277209</v>
      </c>
      <c r="J39" s="10" t="s">
        <v>250</v>
      </c>
      <c r="K39" s="10" t="s">
        <v>250</v>
      </c>
      <c r="L39" s="6">
        <v>1440</v>
      </c>
      <c r="M39" s="6">
        <v>1440</v>
      </c>
      <c r="N39" s="7" t="s">
        <v>239</v>
      </c>
      <c r="O39" s="6" t="s">
        <v>239</v>
      </c>
      <c r="P39" s="6" t="s">
        <v>239</v>
      </c>
      <c r="Q39" s="8" t="s">
        <v>236</v>
      </c>
      <c r="R39" s="6"/>
      <c r="S39" s="6">
        <f t="shared" si="0"/>
        <v>1440</v>
      </c>
      <c r="T39" s="6"/>
      <c r="U39" s="6"/>
      <c r="V39" s="6"/>
      <c r="W39" s="6" t="s">
        <v>236</v>
      </c>
      <c r="X39" s="6" t="s">
        <v>236</v>
      </c>
      <c r="Y39" s="6" t="s">
        <v>236</v>
      </c>
      <c r="Z39" s="6" t="s">
        <v>236</v>
      </c>
      <c r="AA39" s="6" t="s">
        <v>236</v>
      </c>
    </row>
    <row r="40" spans="1:27">
      <c r="A40" s="6">
        <v>39</v>
      </c>
      <c r="B40" s="6" t="s">
        <v>225</v>
      </c>
      <c r="C40" s="7">
        <v>46083</v>
      </c>
      <c r="D40" s="6" t="s">
        <v>226</v>
      </c>
      <c r="E40" s="6" t="s">
        <v>29</v>
      </c>
      <c r="F40" s="6" t="s">
        <v>240</v>
      </c>
      <c r="G40" s="8">
        <v>2</v>
      </c>
      <c r="H40" s="8" t="s">
        <v>251</v>
      </c>
      <c r="I40" s="6">
        <v>9247247775</v>
      </c>
      <c r="J40" s="10" t="s">
        <v>252</v>
      </c>
      <c r="K40" s="10" t="s">
        <v>252</v>
      </c>
      <c r="L40" s="6">
        <v>970</v>
      </c>
      <c r="M40" s="6">
        <v>970</v>
      </c>
      <c r="N40" s="7" t="s">
        <v>239</v>
      </c>
      <c r="O40" s="6" t="s">
        <v>239</v>
      </c>
      <c r="P40" s="6" t="s">
        <v>239</v>
      </c>
      <c r="Q40" s="8" t="s">
        <v>236</v>
      </c>
      <c r="R40" s="6"/>
      <c r="S40" s="6">
        <f t="shared" si="0"/>
        <v>970</v>
      </c>
      <c r="T40" s="6"/>
      <c r="U40" s="6"/>
      <c r="V40" s="6"/>
      <c r="W40" s="6" t="s">
        <v>236</v>
      </c>
      <c r="X40" s="6" t="s">
        <v>236</v>
      </c>
      <c r="Y40" s="6" t="s">
        <v>236</v>
      </c>
      <c r="Z40" s="6" t="s">
        <v>236</v>
      </c>
      <c r="AA40" s="6" t="s">
        <v>236</v>
      </c>
    </row>
    <row r="41" spans="1:27">
      <c r="A41" s="6">
        <v>40</v>
      </c>
      <c r="B41" s="6" t="s">
        <v>225</v>
      </c>
      <c r="C41" s="7">
        <v>46083</v>
      </c>
      <c r="D41" s="6" t="s">
        <v>226</v>
      </c>
      <c r="E41" s="6" t="s">
        <v>29</v>
      </c>
      <c r="F41" s="6" t="s">
        <v>240</v>
      </c>
      <c r="G41" s="8">
        <v>2</v>
      </c>
      <c r="H41" s="8" t="s">
        <v>253</v>
      </c>
      <c r="I41" s="6">
        <v>7593010270</v>
      </c>
      <c r="J41" s="10" t="s">
        <v>254</v>
      </c>
      <c r="K41" s="10" t="s">
        <v>254</v>
      </c>
      <c r="L41" s="6">
        <v>840</v>
      </c>
      <c r="M41" s="6">
        <v>840</v>
      </c>
      <c r="N41" s="7" t="s">
        <v>239</v>
      </c>
      <c r="O41" s="6" t="s">
        <v>239</v>
      </c>
      <c r="P41" s="6" t="s">
        <v>239</v>
      </c>
      <c r="Q41" s="8" t="s">
        <v>236</v>
      </c>
      <c r="R41" s="6"/>
      <c r="S41" s="6">
        <f t="shared" si="0"/>
        <v>840</v>
      </c>
      <c r="T41" s="6"/>
      <c r="U41" s="6"/>
      <c r="V41" s="6"/>
      <c r="W41" s="6" t="s">
        <v>236</v>
      </c>
      <c r="X41" s="6" t="s">
        <v>236</v>
      </c>
      <c r="Y41" s="6" t="s">
        <v>236</v>
      </c>
      <c r="Z41" s="6" t="s">
        <v>236</v>
      </c>
      <c r="AA41" s="6" t="s">
        <v>236</v>
      </c>
    </row>
    <row r="42" spans="1:27">
      <c r="A42" s="6">
        <v>41</v>
      </c>
      <c r="B42" s="6" t="s">
        <v>225</v>
      </c>
      <c r="C42" s="7">
        <v>46083</v>
      </c>
      <c r="D42" s="6" t="s">
        <v>226</v>
      </c>
      <c r="E42" s="6" t="s">
        <v>29</v>
      </c>
      <c r="F42" s="6" t="s">
        <v>240</v>
      </c>
      <c r="G42" s="8">
        <v>2</v>
      </c>
      <c r="H42" s="8" t="s">
        <v>255</v>
      </c>
      <c r="I42" s="6">
        <v>8341675811</v>
      </c>
      <c r="J42" s="10" t="s">
        <v>256</v>
      </c>
      <c r="K42" s="10" t="s">
        <v>256</v>
      </c>
      <c r="L42" s="6">
        <v>30</v>
      </c>
      <c r="M42" s="6">
        <v>30</v>
      </c>
      <c r="N42" s="7" t="s">
        <v>239</v>
      </c>
      <c r="O42" s="6" t="s">
        <v>239</v>
      </c>
      <c r="P42" s="6" t="s">
        <v>239</v>
      </c>
      <c r="Q42" s="8" t="s">
        <v>236</v>
      </c>
      <c r="R42" s="6"/>
      <c r="S42" s="6">
        <f t="shared" si="0"/>
        <v>30</v>
      </c>
      <c r="T42" s="6"/>
      <c r="U42" s="6"/>
      <c r="V42" s="6"/>
      <c r="W42" s="6" t="s">
        <v>236</v>
      </c>
      <c r="X42" s="6" t="s">
        <v>236</v>
      </c>
      <c r="Y42" s="6" t="s">
        <v>236</v>
      </c>
      <c r="Z42" s="6" t="s">
        <v>236</v>
      </c>
      <c r="AA42" s="6" t="s">
        <v>236</v>
      </c>
    </row>
    <row r="43" spans="1:27">
      <c r="A43" s="6">
        <v>42</v>
      </c>
      <c r="B43" s="6" t="s">
        <v>225</v>
      </c>
      <c r="C43" s="7">
        <v>46083</v>
      </c>
      <c r="D43" s="6" t="s">
        <v>226</v>
      </c>
      <c r="E43" s="6" t="s">
        <v>29</v>
      </c>
      <c r="F43" s="6" t="s">
        <v>240</v>
      </c>
      <c r="G43" s="8">
        <v>2</v>
      </c>
      <c r="H43" s="8" t="s">
        <v>257</v>
      </c>
      <c r="I43" s="6">
        <v>9611984334</v>
      </c>
      <c r="J43" s="10" t="s">
        <v>258</v>
      </c>
      <c r="K43" s="10" t="s">
        <v>258</v>
      </c>
      <c r="L43" s="6">
        <v>370</v>
      </c>
      <c r="M43" s="6">
        <v>370</v>
      </c>
      <c r="N43" s="7" t="s">
        <v>239</v>
      </c>
      <c r="O43" s="6" t="s">
        <v>239</v>
      </c>
      <c r="P43" s="6" t="s">
        <v>239</v>
      </c>
      <c r="Q43" s="8" t="s">
        <v>236</v>
      </c>
      <c r="R43" s="6"/>
      <c r="S43" s="6">
        <f t="shared" si="0"/>
        <v>370</v>
      </c>
      <c r="T43" s="6"/>
      <c r="U43" s="6"/>
      <c r="V43" s="6"/>
      <c r="W43" s="6" t="s">
        <v>236</v>
      </c>
      <c r="X43" s="6" t="s">
        <v>236</v>
      </c>
      <c r="Y43" s="6" t="s">
        <v>236</v>
      </c>
      <c r="Z43" s="6" t="s">
        <v>236</v>
      </c>
      <c r="AA43" s="6" t="s">
        <v>236</v>
      </c>
    </row>
    <row r="44" spans="1:27">
      <c r="A44" s="6">
        <v>43</v>
      </c>
      <c r="B44" s="6" t="s">
        <v>225</v>
      </c>
      <c r="C44" s="7">
        <v>46083</v>
      </c>
      <c r="D44" s="6" t="s">
        <v>226</v>
      </c>
      <c r="E44" s="6" t="s">
        <v>29</v>
      </c>
      <c r="F44" s="6" t="s">
        <v>240</v>
      </c>
      <c r="G44" s="8">
        <v>2</v>
      </c>
      <c r="H44" s="8" t="s">
        <v>259</v>
      </c>
      <c r="I44" s="6">
        <v>6382959347</v>
      </c>
      <c r="J44" s="10" t="s">
        <v>260</v>
      </c>
      <c r="K44" s="10" t="s">
        <v>260</v>
      </c>
      <c r="L44" s="6">
        <v>770</v>
      </c>
      <c r="M44" s="6">
        <v>770</v>
      </c>
      <c r="N44" s="7" t="s">
        <v>239</v>
      </c>
      <c r="O44" s="6" t="s">
        <v>239</v>
      </c>
      <c r="P44" s="6" t="s">
        <v>239</v>
      </c>
      <c r="Q44" s="8" t="s">
        <v>236</v>
      </c>
      <c r="R44" s="6"/>
      <c r="S44" s="6">
        <f t="shared" si="0"/>
        <v>770</v>
      </c>
      <c r="T44" s="6"/>
      <c r="U44" s="6"/>
      <c r="V44" s="6"/>
      <c r="W44" s="6" t="s">
        <v>236</v>
      </c>
      <c r="X44" s="6" t="s">
        <v>236</v>
      </c>
      <c r="Y44" s="6" t="s">
        <v>236</v>
      </c>
      <c r="Z44" s="6" t="s">
        <v>236</v>
      </c>
      <c r="AA44" s="6" t="s">
        <v>236</v>
      </c>
    </row>
    <row r="45" spans="1:27">
      <c r="A45" s="6">
        <v>44</v>
      </c>
      <c r="B45" s="6" t="s">
        <v>225</v>
      </c>
      <c r="C45" s="7">
        <v>46083</v>
      </c>
      <c r="D45" s="6" t="s">
        <v>226</v>
      </c>
      <c r="E45" s="6" t="s">
        <v>29</v>
      </c>
      <c r="F45" s="6" t="s">
        <v>240</v>
      </c>
      <c r="G45" s="8">
        <v>2</v>
      </c>
      <c r="H45" s="8" t="s">
        <v>261</v>
      </c>
      <c r="I45" s="6">
        <v>9701876836</v>
      </c>
      <c r="J45" s="10" t="s">
        <v>262</v>
      </c>
      <c r="K45" s="10" t="s">
        <v>262</v>
      </c>
      <c r="L45" s="6">
        <v>710</v>
      </c>
      <c r="M45" s="6">
        <v>710</v>
      </c>
      <c r="N45" s="7" t="s">
        <v>239</v>
      </c>
      <c r="O45" s="6" t="s">
        <v>239</v>
      </c>
      <c r="P45" s="6" t="s">
        <v>239</v>
      </c>
      <c r="Q45" s="8" t="s">
        <v>236</v>
      </c>
      <c r="R45" s="6"/>
      <c r="S45" s="6">
        <f t="shared" si="0"/>
        <v>710</v>
      </c>
      <c r="T45" s="6"/>
      <c r="U45" s="6"/>
      <c r="V45" s="6"/>
      <c r="W45" s="6" t="s">
        <v>236</v>
      </c>
      <c r="X45" s="6" t="s">
        <v>236</v>
      </c>
      <c r="Y45" s="6" t="s">
        <v>236</v>
      </c>
      <c r="Z45" s="6" t="s">
        <v>236</v>
      </c>
      <c r="AA45" s="6" t="s">
        <v>236</v>
      </c>
    </row>
    <row r="46" spans="1:27">
      <c r="A46" s="6">
        <v>45</v>
      </c>
      <c r="B46" s="6" t="s">
        <v>225</v>
      </c>
      <c r="C46" s="7">
        <v>46083</v>
      </c>
      <c r="D46" s="6" t="s">
        <v>226</v>
      </c>
      <c r="E46" s="6" t="s">
        <v>29</v>
      </c>
      <c r="F46" s="6" t="s">
        <v>240</v>
      </c>
      <c r="G46" s="8">
        <v>2</v>
      </c>
      <c r="H46" s="8" t="s">
        <v>263</v>
      </c>
      <c r="I46" s="6">
        <v>9666867366</v>
      </c>
      <c r="J46" s="10" t="s">
        <v>264</v>
      </c>
      <c r="K46" s="10" t="s">
        <v>264</v>
      </c>
      <c r="L46" s="6">
        <v>780</v>
      </c>
      <c r="M46" s="6">
        <v>780</v>
      </c>
      <c r="N46" s="7" t="s">
        <v>239</v>
      </c>
      <c r="O46" s="6" t="s">
        <v>239</v>
      </c>
      <c r="P46" s="6" t="s">
        <v>239</v>
      </c>
      <c r="Q46" s="8" t="s">
        <v>236</v>
      </c>
      <c r="R46" s="6"/>
      <c r="S46" s="6">
        <f t="shared" si="0"/>
        <v>780</v>
      </c>
      <c r="T46" s="6"/>
      <c r="U46" s="6"/>
      <c r="V46" s="6"/>
      <c r="W46" s="6" t="s">
        <v>236</v>
      </c>
      <c r="X46" s="6" t="s">
        <v>236</v>
      </c>
      <c r="Y46" s="6" t="s">
        <v>236</v>
      </c>
      <c r="Z46" s="6" t="s">
        <v>236</v>
      </c>
      <c r="AA46" s="6" t="s">
        <v>236</v>
      </c>
    </row>
    <row r="47" spans="1:27">
      <c r="A47" s="6">
        <v>46</v>
      </c>
      <c r="B47" s="6" t="s">
        <v>225</v>
      </c>
      <c r="C47" s="7">
        <v>46083</v>
      </c>
      <c r="D47" s="6" t="s">
        <v>226</v>
      </c>
      <c r="E47" s="6" t="s">
        <v>29</v>
      </c>
      <c r="F47" s="6" t="s">
        <v>240</v>
      </c>
      <c r="G47" s="8">
        <v>2</v>
      </c>
      <c r="H47" s="8" t="s">
        <v>265</v>
      </c>
      <c r="I47" s="6">
        <v>8754138274</v>
      </c>
      <c r="J47" s="10" t="s">
        <v>266</v>
      </c>
      <c r="K47" s="10" t="s">
        <v>266</v>
      </c>
      <c r="L47" s="6">
        <v>960</v>
      </c>
      <c r="M47" s="6">
        <v>960</v>
      </c>
      <c r="N47" s="7" t="s">
        <v>239</v>
      </c>
      <c r="O47" s="6" t="s">
        <v>239</v>
      </c>
      <c r="P47" s="6" t="s">
        <v>239</v>
      </c>
      <c r="Q47" s="8" t="s">
        <v>236</v>
      </c>
      <c r="R47" s="6"/>
      <c r="S47" s="6">
        <f t="shared" si="0"/>
        <v>960</v>
      </c>
      <c r="T47" s="6"/>
      <c r="U47" s="6"/>
      <c r="V47" s="6"/>
      <c r="W47" s="6" t="s">
        <v>236</v>
      </c>
      <c r="X47" s="6" t="s">
        <v>236</v>
      </c>
      <c r="Y47" s="6" t="s">
        <v>236</v>
      </c>
      <c r="Z47" s="6" t="s">
        <v>236</v>
      </c>
      <c r="AA47" s="6" t="s">
        <v>236</v>
      </c>
    </row>
    <row r="48" spans="1:27">
      <c r="A48" s="6">
        <v>47</v>
      </c>
      <c r="B48" s="6" t="s">
        <v>225</v>
      </c>
      <c r="C48" s="7">
        <v>46083</v>
      </c>
      <c r="D48" s="6" t="s">
        <v>226</v>
      </c>
      <c r="E48" s="6" t="s">
        <v>29</v>
      </c>
      <c r="F48" s="6" t="s">
        <v>267</v>
      </c>
      <c r="G48" s="8">
        <v>2</v>
      </c>
      <c r="H48" s="11" t="s">
        <v>268</v>
      </c>
      <c r="I48" s="11">
        <v>9496646330</v>
      </c>
      <c r="J48" s="10" t="s">
        <v>269</v>
      </c>
      <c r="K48" s="10" t="s">
        <v>269</v>
      </c>
      <c r="L48" s="11">
        <v>3910</v>
      </c>
      <c r="M48" s="11">
        <v>3910</v>
      </c>
      <c r="N48" s="7" t="s">
        <v>239</v>
      </c>
      <c r="O48" s="6" t="s">
        <v>239</v>
      </c>
      <c r="P48" s="6" t="s">
        <v>239</v>
      </c>
      <c r="Q48" s="8" t="s">
        <v>236</v>
      </c>
      <c r="R48" s="6"/>
      <c r="S48" s="6">
        <f t="shared" si="0"/>
        <v>3910</v>
      </c>
      <c r="T48" s="6"/>
      <c r="U48" s="6"/>
      <c r="V48" s="6"/>
      <c r="W48" s="6" t="s">
        <v>236</v>
      </c>
      <c r="X48" s="6" t="s">
        <v>236</v>
      </c>
      <c r="Y48" s="6" t="s">
        <v>236</v>
      </c>
      <c r="Z48" s="6" t="s">
        <v>236</v>
      </c>
      <c r="AA48" s="6" t="s">
        <v>236</v>
      </c>
    </row>
    <row r="49" spans="1:27">
      <c r="A49" s="6">
        <v>48</v>
      </c>
      <c r="B49" s="6" t="s">
        <v>225</v>
      </c>
      <c r="C49" s="7">
        <v>46083</v>
      </c>
      <c r="D49" s="6" t="s">
        <v>226</v>
      </c>
      <c r="E49" s="6" t="s">
        <v>29</v>
      </c>
      <c r="F49" s="6" t="s">
        <v>267</v>
      </c>
      <c r="G49" s="8">
        <v>2</v>
      </c>
      <c r="H49" s="11" t="s">
        <v>270</v>
      </c>
      <c r="I49" s="11">
        <v>9947888799</v>
      </c>
      <c r="J49" s="10" t="s">
        <v>271</v>
      </c>
      <c r="K49" s="10" t="s">
        <v>271</v>
      </c>
      <c r="L49" s="11">
        <v>1000</v>
      </c>
      <c r="M49" s="11">
        <v>1000</v>
      </c>
      <c r="N49" s="7" t="s">
        <v>239</v>
      </c>
      <c r="O49" s="6" t="s">
        <v>239</v>
      </c>
      <c r="P49" s="6" t="s">
        <v>239</v>
      </c>
      <c r="Q49" s="8" t="s">
        <v>236</v>
      </c>
      <c r="R49" s="6"/>
      <c r="S49" s="6">
        <f t="shared" si="0"/>
        <v>1000</v>
      </c>
      <c r="T49" s="6"/>
      <c r="U49" s="6"/>
      <c r="V49" s="6"/>
      <c r="W49" s="6" t="s">
        <v>236</v>
      </c>
      <c r="X49" s="6" t="s">
        <v>236</v>
      </c>
      <c r="Y49" s="6" t="s">
        <v>236</v>
      </c>
      <c r="Z49" s="6" t="s">
        <v>236</v>
      </c>
      <c r="AA49" s="6" t="s">
        <v>236</v>
      </c>
    </row>
    <row r="50" spans="1:27">
      <c r="A50" s="6">
        <v>49</v>
      </c>
      <c r="B50" s="6" t="s">
        <v>225</v>
      </c>
      <c r="C50" s="7">
        <v>46083</v>
      </c>
      <c r="D50" s="6" t="s">
        <v>226</v>
      </c>
      <c r="E50" s="6" t="s">
        <v>29</v>
      </c>
      <c r="F50" s="6" t="s">
        <v>267</v>
      </c>
      <c r="G50" s="8">
        <v>2</v>
      </c>
      <c r="H50" s="11" t="s">
        <v>272</v>
      </c>
      <c r="I50" s="11">
        <v>7207793143</v>
      </c>
      <c r="J50" s="10" t="s">
        <v>273</v>
      </c>
      <c r="K50" s="10" t="s">
        <v>273</v>
      </c>
      <c r="L50" s="6">
        <v>2810</v>
      </c>
      <c r="M50" s="6">
        <v>2810</v>
      </c>
      <c r="N50" s="7" t="s">
        <v>239</v>
      </c>
      <c r="O50" s="6" t="s">
        <v>239</v>
      </c>
      <c r="P50" s="6" t="s">
        <v>239</v>
      </c>
      <c r="Q50" s="8" t="s">
        <v>236</v>
      </c>
      <c r="R50" s="6"/>
      <c r="S50" s="6">
        <f t="shared" si="0"/>
        <v>2810</v>
      </c>
      <c r="T50" s="6"/>
      <c r="U50" s="6"/>
      <c r="V50" s="6"/>
      <c r="W50" s="6" t="s">
        <v>236</v>
      </c>
      <c r="X50" s="6" t="s">
        <v>236</v>
      </c>
      <c r="Y50" s="6" t="s">
        <v>236</v>
      </c>
      <c r="Z50" s="6" t="s">
        <v>236</v>
      </c>
      <c r="AA50" s="6" t="s">
        <v>236</v>
      </c>
    </row>
    <row r="51" spans="1:27">
      <c r="A51" s="6">
        <v>50</v>
      </c>
      <c r="B51" s="6" t="s">
        <v>225</v>
      </c>
      <c r="C51" s="7">
        <v>46083</v>
      </c>
      <c r="D51" s="6" t="s">
        <v>226</v>
      </c>
      <c r="E51" s="6" t="s">
        <v>29</v>
      </c>
      <c r="F51" s="6" t="s">
        <v>267</v>
      </c>
      <c r="G51" s="8">
        <v>2</v>
      </c>
      <c r="H51" s="11" t="s">
        <v>274</v>
      </c>
      <c r="I51" s="11">
        <v>7416224843</v>
      </c>
      <c r="J51" s="10" t="s">
        <v>275</v>
      </c>
      <c r="K51" s="10" t="s">
        <v>275</v>
      </c>
      <c r="L51" s="6">
        <v>1690</v>
      </c>
      <c r="M51" s="6">
        <v>1690</v>
      </c>
      <c r="N51" s="7" t="s">
        <v>239</v>
      </c>
      <c r="O51" s="6" t="s">
        <v>239</v>
      </c>
      <c r="P51" s="6" t="s">
        <v>239</v>
      </c>
      <c r="Q51" s="8" t="s">
        <v>236</v>
      </c>
      <c r="R51" s="6"/>
      <c r="S51" s="6">
        <f t="shared" si="0"/>
        <v>1690</v>
      </c>
      <c r="T51" s="6"/>
      <c r="U51" s="6"/>
      <c r="V51" s="6"/>
      <c r="W51" s="6" t="s">
        <v>236</v>
      </c>
      <c r="X51" s="6" t="s">
        <v>236</v>
      </c>
      <c r="Y51" s="6" t="s">
        <v>236</v>
      </c>
      <c r="Z51" s="6" t="s">
        <v>236</v>
      </c>
      <c r="AA51" s="6" t="s">
        <v>236</v>
      </c>
    </row>
    <row r="52" spans="1:27">
      <c r="A52" s="6">
        <v>51</v>
      </c>
      <c r="B52" s="6" t="s">
        <v>225</v>
      </c>
      <c r="C52" s="7">
        <v>46083</v>
      </c>
      <c r="D52" s="6" t="s">
        <v>226</v>
      </c>
      <c r="E52" s="6" t="s">
        <v>29</v>
      </c>
      <c r="F52" s="6" t="s">
        <v>267</v>
      </c>
      <c r="G52" s="8">
        <v>2</v>
      </c>
      <c r="H52" s="11" t="s">
        <v>276</v>
      </c>
      <c r="I52" s="11">
        <v>8638708524</v>
      </c>
      <c r="J52" s="10" t="s">
        <v>277</v>
      </c>
      <c r="K52" s="10" t="s">
        <v>277</v>
      </c>
      <c r="L52" s="6">
        <v>1600</v>
      </c>
      <c r="M52" s="6">
        <v>1600</v>
      </c>
      <c r="N52" s="7" t="s">
        <v>239</v>
      </c>
      <c r="O52" s="6" t="s">
        <v>239</v>
      </c>
      <c r="P52" s="6" t="s">
        <v>239</v>
      </c>
      <c r="Q52" s="8" t="s">
        <v>236</v>
      </c>
      <c r="R52" s="6"/>
      <c r="S52" s="6">
        <f t="shared" si="0"/>
        <v>1600</v>
      </c>
      <c r="T52" s="6"/>
      <c r="U52" s="6"/>
      <c r="V52" s="6"/>
      <c r="W52" s="6" t="s">
        <v>236</v>
      </c>
      <c r="X52" s="6" t="s">
        <v>236</v>
      </c>
      <c r="Y52" s="6" t="s">
        <v>236</v>
      </c>
      <c r="Z52" s="6" t="s">
        <v>236</v>
      </c>
      <c r="AA52" s="6" t="s">
        <v>236</v>
      </c>
    </row>
    <row r="53" spans="1:27">
      <c r="A53" s="6">
        <v>52</v>
      </c>
      <c r="B53" s="6" t="s">
        <v>225</v>
      </c>
      <c r="C53" s="7">
        <v>46083</v>
      </c>
      <c r="D53" s="6" t="s">
        <v>226</v>
      </c>
      <c r="E53" s="6" t="s">
        <v>29</v>
      </c>
      <c r="F53" s="6" t="s">
        <v>267</v>
      </c>
      <c r="G53" s="8">
        <v>2</v>
      </c>
      <c r="H53" s="11" t="s">
        <v>278</v>
      </c>
      <c r="I53" s="11">
        <v>9848329105</v>
      </c>
      <c r="J53" s="10" t="s">
        <v>279</v>
      </c>
      <c r="K53" s="10" t="s">
        <v>279</v>
      </c>
      <c r="L53" s="6">
        <v>2540</v>
      </c>
      <c r="M53" s="6">
        <v>2540</v>
      </c>
      <c r="N53" s="7" t="s">
        <v>239</v>
      </c>
      <c r="O53" s="6" t="s">
        <v>239</v>
      </c>
      <c r="P53" s="6" t="s">
        <v>239</v>
      </c>
      <c r="Q53" s="8" t="s">
        <v>236</v>
      </c>
      <c r="R53" s="6"/>
      <c r="S53" s="6">
        <f t="shared" si="0"/>
        <v>2540</v>
      </c>
      <c r="T53" s="6"/>
      <c r="U53" s="6"/>
      <c r="V53" s="6"/>
      <c r="W53" s="6" t="s">
        <v>236</v>
      </c>
      <c r="X53" s="6" t="s">
        <v>236</v>
      </c>
      <c r="Y53" s="6" t="s">
        <v>236</v>
      </c>
      <c r="Z53" s="6" t="s">
        <v>236</v>
      </c>
      <c r="AA53" s="6" t="s">
        <v>236</v>
      </c>
    </row>
    <row r="54" spans="1:27">
      <c r="A54" s="6">
        <v>53</v>
      </c>
      <c r="B54" s="6" t="s">
        <v>225</v>
      </c>
      <c r="C54" s="7">
        <v>46083</v>
      </c>
      <c r="D54" s="6" t="s">
        <v>226</v>
      </c>
      <c r="E54" s="6" t="s">
        <v>29</v>
      </c>
      <c r="F54" s="6" t="s">
        <v>267</v>
      </c>
      <c r="G54" s="8">
        <v>2</v>
      </c>
      <c r="H54" s="11" t="s">
        <v>280</v>
      </c>
      <c r="I54" s="11">
        <v>9440339910</v>
      </c>
      <c r="J54" s="10" t="s">
        <v>281</v>
      </c>
      <c r="K54" s="10" t="s">
        <v>281</v>
      </c>
      <c r="L54" s="6">
        <v>250</v>
      </c>
      <c r="M54" s="6">
        <v>250</v>
      </c>
      <c r="N54" s="7" t="s">
        <v>239</v>
      </c>
      <c r="O54" s="6" t="s">
        <v>239</v>
      </c>
      <c r="P54" s="6" t="s">
        <v>239</v>
      </c>
      <c r="Q54" s="8" t="s">
        <v>236</v>
      </c>
      <c r="R54" s="6"/>
      <c r="S54" s="6">
        <f t="shared" si="0"/>
        <v>250</v>
      </c>
      <c r="T54" s="6"/>
      <c r="U54" s="6"/>
      <c r="V54" s="6"/>
      <c r="W54" s="6" t="s">
        <v>236</v>
      </c>
      <c r="X54" s="6" t="s">
        <v>236</v>
      </c>
      <c r="Y54" s="6" t="s">
        <v>236</v>
      </c>
      <c r="Z54" s="6" t="s">
        <v>236</v>
      </c>
      <c r="AA54" s="6" t="s">
        <v>236</v>
      </c>
    </row>
    <row r="55" spans="1:27">
      <c r="A55" s="6">
        <v>54</v>
      </c>
      <c r="B55" s="6" t="s">
        <v>225</v>
      </c>
      <c r="C55" s="7">
        <v>46083</v>
      </c>
      <c r="D55" s="6" t="s">
        <v>226</v>
      </c>
      <c r="E55" s="6" t="s">
        <v>29</v>
      </c>
      <c r="F55" s="6" t="s">
        <v>267</v>
      </c>
      <c r="G55" s="8">
        <v>2</v>
      </c>
      <c r="H55" s="11" t="s">
        <v>282</v>
      </c>
      <c r="I55" s="11">
        <v>9700070603</v>
      </c>
      <c r="J55" s="10" t="s">
        <v>283</v>
      </c>
      <c r="K55" s="10" t="s">
        <v>283</v>
      </c>
      <c r="L55" s="6">
        <v>1690</v>
      </c>
      <c r="M55" s="6">
        <v>1690</v>
      </c>
      <c r="N55" s="7" t="s">
        <v>239</v>
      </c>
      <c r="O55" s="6" t="s">
        <v>239</v>
      </c>
      <c r="P55" s="6" t="s">
        <v>239</v>
      </c>
      <c r="Q55" s="8" t="s">
        <v>236</v>
      </c>
      <c r="R55" s="6"/>
      <c r="S55" s="6">
        <f t="shared" si="0"/>
        <v>1690</v>
      </c>
      <c r="T55" s="6"/>
      <c r="U55" s="6"/>
      <c r="V55" s="6"/>
      <c r="W55" s="6" t="s">
        <v>236</v>
      </c>
      <c r="X55" s="6" t="s">
        <v>236</v>
      </c>
      <c r="Y55" s="6" t="s">
        <v>236</v>
      </c>
      <c r="Z55" s="6" t="s">
        <v>236</v>
      </c>
      <c r="AA55" s="6" t="s">
        <v>236</v>
      </c>
    </row>
    <row r="56" spans="1:27">
      <c r="A56" s="6">
        <v>55</v>
      </c>
      <c r="B56" s="6" t="s">
        <v>225</v>
      </c>
      <c r="C56" s="7">
        <v>46083</v>
      </c>
      <c r="D56" s="6" t="s">
        <v>226</v>
      </c>
      <c r="E56" s="6" t="s">
        <v>29</v>
      </c>
      <c r="F56" s="6" t="s">
        <v>267</v>
      </c>
      <c r="G56" s="8">
        <v>2</v>
      </c>
      <c r="H56" s="11" t="s">
        <v>284</v>
      </c>
      <c r="I56" s="11">
        <v>7287074809</v>
      </c>
      <c r="J56" s="10" t="s">
        <v>285</v>
      </c>
      <c r="K56" s="10" t="s">
        <v>285</v>
      </c>
      <c r="L56" s="6">
        <v>350</v>
      </c>
      <c r="M56" s="6">
        <v>350</v>
      </c>
      <c r="N56" s="7" t="s">
        <v>239</v>
      </c>
      <c r="O56" s="6" t="s">
        <v>239</v>
      </c>
      <c r="P56" s="6" t="s">
        <v>239</v>
      </c>
      <c r="Q56" s="8" t="s">
        <v>236</v>
      </c>
      <c r="R56" s="6"/>
      <c r="S56" s="6">
        <f t="shared" si="0"/>
        <v>350</v>
      </c>
      <c r="T56" s="6"/>
      <c r="U56" s="6"/>
      <c r="V56" s="6"/>
      <c r="W56" s="6" t="s">
        <v>236</v>
      </c>
      <c r="X56" s="6" t="s">
        <v>236</v>
      </c>
      <c r="Y56" s="6" t="s">
        <v>236</v>
      </c>
      <c r="Z56" s="6" t="s">
        <v>236</v>
      </c>
      <c r="AA56" s="6" t="s">
        <v>236</v>
      </c>
    </row>
    <row r="57" spans="1:27">
      <c r="A57" s="6">
        <v>56</v>
      </c>
      <c r="B57" s="6" t="s">
        <v>225</v>
      </c>
      <c r="C57" s="7">
        <v>46083</v>
      </c>
      <c r="D57" s="6" t="s">
        <v>226</v>
      </c>
      <c r="E57" s="6" t="s">
        <v>29</v>
      </c>
      <c r="F57" s="6" t="s">
        <v>267</v>
      </c>
      <c r="G57" s="8">
        <v>2</v>
      </c>
      <c r="H57" s="11" t="s">
        <v>286</v>
      </c>
      <c r="I57" s="11">
        <v>7708303065</v>
      </c>
      <c r="J57" s="10" t="s">
        <v>287</v>
      </c>
      <c r="K57" s="10" t="s">
        <v>287</v>
      </c>
      <c r="L57" s="6">
        <v>180</v>
      </c>
      <c r="M57" s="6">
        <v>180</v>
      </c>
      <c r="N57" s="7" t="s">
        <v>239</v>
      </c>
      <c r="O57" s="6" t="s">
        <v>239</v>
      </c>
      <c r="P57" s="6" t="s">
        <v>239</v>
      </c>
      <c r="Q57" s="8" t="s">
        <v>236</v>
      </c>
      <c r="R57" s="6"/>
      <c r="S57" s="6">
        <f t="shared" si="0"/>
        <v>180</v>
      </c>
      <c r="T57" s="6"/>
      <c r="U57" s="6"/>
      <c r="V57" s="6"/>
      <c r="W57" s="6" t="s">
        <v>236</v>
      </c>
      <c r="X57" s="6" t="s">
        <v>236</v>
      </c>
      <c r="Y57" s="6" t="s">
        <v>236</v>
      </c>
      <c r="Z57" s="6" t="s">
        <v>236</v>
      </c>
      <c r="AA57" s="6" t="s">
        <v>236</v>
      </c>
    </row>
    <row r="58" spans="1:27">
      <c r="A58" s="6">
        <v>57</v>
      </c>
      <c r="B58" s="6" t="s">
        <v>225</v>
      </c>
      <c r="C58" s="7">
        <v>46083</v>
      </c>
      <c r="D58" s="6" t="s">
        <v>226</v>
      </c>
      <c r="E58" s="6" t="s">
        <v>29</v>
      </c>
      <c r="F58" s="6" t="s">
        <v>267</v>
      </c>
      <c r="G58" s="8">
        <v>2</v>
      </c>
      <c r="H58" s="11" t="s">
        <v>288</v>
      </c>
      <c r="I58" s="11">
        <v>8220826947</v>
      </c>
      <c r="J58" s="10" t="s">
        <v>289</v>
      </c>
      <c r="K58" s="10" t="s">
        <v>289</v>
      </c>
      <c r="L58" s="6">
        <v>430</v>
      </c>
      <c r="M58" s="6">
        <v>430</v>
      </c>
      <c r="N58" s="7" t="s">
        <v>239</v>
      </c>
      <c r="O58" s="6" t="s">
        <v>239</v>
      </c>
      <c r="P58" s="6" t="s">
        <v>239</v>
      </c>
      <c r="Q58" s="8" t="s">
        <v>236</v>
      </c>
      <c r="R58" s="6"/>
      <c r="S58" s="6">
        <f t="shared" si="0"/>
        <v>430</v>
      </c>
      <c r="T58" s="6"/>
      <c r="U58" s="6"/>
      <c r="V58" s="6"/>
      <c r="W58" s="6" t="s">
        <v>236</v>
      </c>
      <c r="X58" s="6" t="s">
        <v>236</v>
      </c>
      <c r="Y58" s="6" t="s">
        <v>236</v>
      </c>
      <c r="Z58" s="6" t="s">
        <v>236</v>
      </c>
      <c r="AA58" s="6" t="s">
        <v>236</v>
      </c>
    </row>
    <row r="59" spans="1:27">
      <c r="A59" s="6">
        <v>58</v>
      </c>
      <c r="B59" s="6" t="s">
        <v>225</v>
      </c>
      <c r="C59" s="7">
        <v>46083</v>
      </c>
      <c r="D59" s="6" t="s">
        <v>226</v>
      </c>
      <c r="E59" s="6" t="s">
        <v>29</v>
      </c>
      <c r="F59" s="6" t="s">
        <v>267</v>
      </c>
      <c r="G59" s="8">
        <v>2</v>
      </c>
      <c r="H59" s="11" t="s">
        <v>290</v>
      </c>
      <c r="I59" s="11">
        <v>9645212020</v>
      </c>
      <c r="J59" s="10" t="s">
        <v>291</v>
      </c>
      <c r="K59" s="10" t="s">
        <v>291</v>
      </c>
      <c r="L59" s="6">
        <v>830</v>
      </c>
      <c r="M59" s="6">
        <v>830</v>
      </c>
      <c r="N59" s="7" t="s">
        <v>239</v>
      </c>
      <c r="O59" s="6" t="s">
        <v>239</v>
      </c>
      <c r="P59" s="6" t="s">
        <v>239</v>
      </c>
      <c r="Q59" s="8" t="s">
        <v>236</v>
      </c>
      <c r="R59" s="6"/>
      <c r="S59" s="6">
        <f t="shared" si="0"/>
        <v>830</v>
      </c>
      <c r="T59" s="6"/>
      <c r="U59" s="6"/>
      <c r="V59" s="6"/>
      <c r="W59" s="6" t="s">
        <v>236</v>
      </c>
      <c r="X59" s="6" t="s">
        <v>236</v>
      </c>
      <c r="Y59" s="6" t="s">
        <v>236</v>
      </c>
      <c r="Z59" s="6" t="s">
        <v>236</v>
      </c>
      <c r="AA59" s="6" t="s">
        <v>236</v>
      </c>
    </row>
    <row r="60" spans="1:27">
      <c r="A60" s="6">
        <v>59</v>
      </c>
      <c r="B60" s="6" t="s">
        <v>225</v>
      </c>
      <c r="C60" s="7">
        <v>46083</v>
      </c>
      <c r="D60" s="6" t="s">
        <v>226</v>
      </c>
      <c r="E60" s="6" t="s">
        <v>29</v>
      </c>
      <c r="F60" s="6" t="s">
        <v>267</v>
      </c>
      <c r="G60" s="8">
        <v>2</v>
      </c>
      <c r="H60" s="11" t="s">
        <v>292</v>
      </c>
      <c r="I60" s="11">
        <v>9133298450</v>
      </c>
      <c r="J60" s="10" t="s">
        <v>293</v>
      </c>
      <c r="K60" s="10" t="s">
        <v>293</v>
      </c>
      <c r="L60" s="6">
        <v>770</v>
      </c>
      <c r="M60" s="6">
        <v>770</v>
      </c>
      <c r="N60" s="7" t="s">
        <v>239</v>
      </c>
      <c r="O60" s="6" t="s">
        <v>239</v>
      </c>
      <c r="P60" s="6" t="s">
        <v>239</v>
      </c>
      <c r="Q60" s="8" t="s">
        <v>236</v>
      </c>
      <c r="R60" s="6"/>
      <c r="S60" s="6">
        <f t="shared" si="0"/>
        <v>770</v>
      </c>
      <c r="T60" s="6"/>
      <c r="U60" s="6"/>
      <c r="V60" s="6"/>
      <c r="W60" s="6" t="s">
        <v>236</v>
      </c>
      <c r="X60" s="6" t="s">
        <v>236</v>
      </c>
      <c r="Y60" s="6" t="s">
        <v>236</v>
      </c>
      <c r="Z60" s="6" t="s">
        <v>236</v>
      </c>
      <c r="AA60" s="6" t="s">
        <v>236</v>
      </c>
    </row>
    <row r="61" spans="1:27">
      <c r="A61" s="6">
        <v>60</v>
      </c>
      <c r="B61" s="6" t="s">
        <v>225</v>
      </c>
      <c r="C61" s="7">
        <v>46083</v>
      </c>
      <c r="D61" s="6" t="s">
        <v>226</v>
      </c>
      <c r="E61" s="6" t="s">
        <v>29</v>
      </c>
      <c r="F61" s="12" t="s">
        <v>294</v>
      </c>
      <c r="G61" s="8">
        <v>2</v>
      </c>
      <c r="H61" s="12" t="s">
        <v>295</v>
      </c>
      <c r="I61" s="12" t="s">
        <v>296</v>
      </c>
      <c r="J61" s="12" t="s">
        <v>297</v>
      </c>
      <c r="K61" s="12" t="s">
        <v>297</v>
      </c>
      <c r="L61" s="13">
        <v>24259</v>
      </c>
      <c r="M61" s="13">
        <v>24259</v>
      </c>
      <c r="N61" s="7"/>
      <c r="O61" s="6" t="s">
        <v>298</v>
      </c>
      <c r="P61" s="6" t="s">
        <v>52</v>
      </c>
      <c r="Q61" s="12" t="s">
        <v>298</v>
      </c>
      <c r="R61" s="6">
        <f>20000+4260</f>
        <v>24260</v>
      </c>
      <c r="S61" s="6">
        <f t="shared" si="0"/>
        <v>-1</v>
      </c>
      <c r="T61" s="7">
        <v>46096</v>
      </c>
      <c r="U61" s="6" t="s">
        <v>299</v>
      </c>
      <c r="V61" s="6" t="s">
        <v>54</v>
      </c>
      <c r="W61" s="12" t="s">
        <v>298</v>
      </c>
      <c r="X61" s="12" t="s">
        <v>300</v>
      </c>
      <c r="Y61" s="6" t="s">
        <v>301</v>
      </c>
      <c r="Z61" s="6" t="s">
        <v>302</v>
      </c>
      <c r="AA61" s="6" t="s">
        <v>235</v>
      </c>
    </row>
    <row r="62" spans="1:27">
      <c r="A62" s="6">
        <v>61</v>
      </c>
      <c r="B62" s="6" t="s">
        <v>225</v>
      </c>
      <c r="C62" s="7">
        <v>46083</v>
      </c>
      <c r="D62" s="6" t="s">
        <v>226</v>
      </c>
      <c r="E62" s="6" t="s">
        <v>29</v>
      </c>
      <c r="F62" s="12" t="s">
        <v>294</v>
      </c>
      <c r="G62" s="8">
        <v>2</v>
      </c>
      <c r="H62" s="12" t="s">
        <v>303</v>
      </c>
      <c r="I62" s="12" t="s">
        <v>304</v>
      </c>
      <c r="J62" s="12" t="s">
        <v>305</v>
      </c>
      <c r="K62" s="12" t="s">
        <v>305</v>
      </c>
      <c r="L62" s="12">
        <v>44480</v>
      </c>
      <c r="M62" s="12">
        <v>44480</v>
      </c>
      <c r="N62" s="7">
        <v>46114</v>
      </c>
      <c r="O62" s="6" t="s">
        <v>298</v>
      </c>
      <c r="P62" s="6" t="s">
        <v>52</v>
      </c>
      <c r="Q62" s="12" t="s">
        <v>298</v>
      </c>
      <c r="R62" s="6">
        <v>44480</v>
      </c>
      <c r="S62" s="6">
        <f t="shared" si="0"/>
        <v>0</v>
      </c>
      <c r="T62" s="7">
        <v>46114</v>
      </c>
      <c r="U62" s="6" t="s">
        <v>306</v>
      </c>
      <c r="V62" s="6" t="s">
        <v>54</v>
      </c>
      <c r="W62" s="12" t="s">
        <v>298</v>
      </c>
      <c r="X62" s="12" t="s">
        <v>307</v>
      </c>
      <c r="Y62" s="6" t="s">
        <v>308</v>
      </c>
      <c r="Z62" s="6" t="s">
        <v>309</v>
      </c>
      <c r="AA62" s="6" t="s">
        <v>235</v>
      </c>
    </row>
    <row r="63" spans="1:27">
      <c r="A63" s="6">
        <v>62</v>
      </c>
      <c r="B63" s="6" t="s">
        <v>225</v>
      </c>
      <c r="C63" s="7">
        <v>46083</v>
      </c>
      <c r="D63" s="6" t="s">
        <v>226</v>
      </c>
      <c r="E63" s="6" t="s">
        <v>29</v>
      </c>
      <c r="F63" s="12" t="s">
        <v>310</v>
      </c>
      <c r="G63" s="8">
        <v>2</v>
      </c>
      <c r="H63" s="6" t="s">
        <v>311</v>
      </c>
      <c r="I63" s="6" t="s">
        <v>312</v>
      </c>
      <c r="J63" s="6" t="s">
        <v>313</v>
      </c>
      <c r="K63" s="6" t="s">
        <v>313</v>
      </c>
      <c r="L63" s="6">
        <v>12229.28</v>
      </c>
      <c r="M63" s="6">
        <v>12229.28</v>
      </c>
      <c r="N63" s="7" t="s">
        <v>239</v>
      </c>
      <c r="O63" s="6" t="s">
        <v>239</v>
      </c>
      <c r="P63" s="6" t="s">
        <v>239</v>
      </c>
      <c r="Q63" s="12" t="s">
        <v>314</v>
      </c>
      <c r="R63" s="6"/>
      <c r="S63" s="6">
        <f t="shared" si="0"/>
        <v>12229.28</v>
      </c>
      <c r="T63" s="6"/>
      <c r="U63" s="6"/>
      <c r="V63" s="6"/>
      <c r="W63" s="12" t="s">
        <v>315</v>
      </c>
      <c r="X63" s="12" t="s">
        <v>316</v>
      </c>
      <c r="Y63" s="6" t="s">
        <v>317</v>
      </c>
      <c r="Z63" s="6" t="s">
        <v>318</v>
      </c>
      <c r="AA63" s="6" t="s">
        <v>40</v>
      </c>
    </row>
    <row r="64" spans="1:27">
      <c r="A64" s="6">
        <v>63</v>
      </c>
      <c r="B64" s="6" t="s">
        <v>225</v>
      </c>
      <c r="C64" s="7">
        <v>46083</v>
      </c>
      <c r="D64" s="6" t="s">
        <v>226</v>
      </c>
      <c r="E64" s="6" t="s">
        <v>29</v>
      </c>
      <c r="F64" s="12" t="s">
        <v>310</v>
      </c>
      <c r="G64" s="8">
        <v>2</v>
      </c>
      <c r="H64" s="6" t="s">
        <v>319</v>
      </c>
      <c r="I64" s="6" t="s">
        <v>320</v>
      </c>
      <c r="J64" s="6" t="s">
        <v>321</v>
      </c>
      <c r="K64" s="6" t="s">
        <v>321</v>
      </c>
      <c r="L64" s="6">
        <v>12420</v>
      </c>
      <c r="M64" s="6">
        <v>12420</v>
      </c>
      <c r="N64" s="7">
        <v>46097</v>
      </c>
      <c r="O64" s="6" t="s">
        <v>315</v>
      </c>
      <c r="P64" s="6" t="s">
        <v>52</v>
      </c>
      <c r="Q64" s="12" t="s">
        <v>314</v>
      </c>
      <c r="R64" s="6">
        <v>12420</v>
      </c>
      <c r="S64" s="6">
        <f t="shared" si="0"/>
        <v>0</v>
      </c>
      <c r="T64" s="7">
        <v>46097</v>
      </c>
      <c r="U64" s="6" t="s">
        <v>322</v>
      </c>
      <c r="V64" s="6" t="s">
        <v>54</v>
      </c>
      <c r="W64" s="12" t="s">
        <v>315</v>
      </c>
      <c r="X64" s="12" t="s">
        <v>300</v>
      </c>
      <c r="Y64" s="6" t="s">
        <v>323</v>
      </c>
      <c r="Z64" s="6" t="s">
        <v>302</v>
      </c>
      <c r="AA64" s="6" t="s">
        <v>40</v>
      </c>
    </row>
    <row r="65" spans="1:27">
      <c r="A65" s="6">
        <v>64</v>
      </c>
      <c r="B65" s="6" t="s">
        <v>225</v>
      </c>
      <c r="C65" s="7">
        <v>46083</v>
      </c>
      <c r="D65" s="6" t="s">
        <v>226</v>
      </c>
      <c r="E65" s="6" t="s">
        <v>29</v>
      </c>
      <c r="F65" s="12" t="s">
        <v>310</v>
      </c>
      <c r="G65" s="8">
        <v>2</v>
      </c>
      <c r="H65" s="6" t="s">
        <v>324</v>
      </c>
      <c r="I65" s="6" t="s">
        <v>325</v>
      </c>
      <c r="J65" s="6" t="s">
        <v>326</v>
      </c>
      <c r="K65" s="6" t="s">
        <v>326</v>
      </c>
      <c r="L65" s="6">
        <v>10670</v>
      </c>
      <c r="M65" s="6">
        <v>5670</v>
      </c>
      <c r="N65" s="7"/>
      <c r="O65" s="12" t="s">
        <v>327</v>
      </c>
      <c r="P65" s="6" t="s">
        <v>52</v>
      </c>
      <c r="Q65" s="12" t="s">
        <v>314</v>
      </c>
      <c r="R65" s="6"/>
      <c r="S65" s="6">
        <f t="shared" si="0"/>
        <v>5670</v>
      </c>
      <c r="T65" s="6"/>
      <c r="U65" s="6"/>
      <c r="V65" s="6"/>
      <c r="W65" s="12" t="s">
        <v>328</v>
      </c>
      <c r="X65" s="12" t="s">
        <v>329</v>
      </c>
      <c r="Y65" s="6" t="s">
        <v>330</v>
      </c>
      <c r="Z65" s="6" t="s">
        <v>57</v>
      </c>
      <c r="AA65" s="6" t="s">
        <v>40</v>
      </c>
    </row>
    <row r="66" spans="1:27">
      <c r="A66" s="6">
        <v>65</v>
      </c>
      <c r="B66" s="6" t="s">
        <v>225</v>
      </c>
      <c r="C66" s="7">
        <v>46083</v>
      </c>
      <c r="D66" s="6" t="s">
        <v>226</v>
      </c>
      <c r="E66" s="6" t="s">
        <v>29</v>
      </c>
      <c r="F66" s="12" t="s">
        <v>310</v>
      </c>
      <c r="G66" s="8">
        <v>2</v>
      </c>
      <c r="H66" s="12" t="s">
        <v>331</v>
      </c>
      <c r="I66" s="12" t="s">
        <v>332</v>
      </c>
      <c r="J66" s="12" t="s">
        <v>333</v>
      </c>
      <c r="K66" s="12" t="s">
        <v>333</v>
      </c>
      <c r="L66" s="13">
        <v>17430</v>
      </c>
      <c r="M66" s="13">
        <v>17430</v>
      </c>
      <c r="N66" s="7">
        <v>46085</v>
      </c>
      <c r="O66" s="6" t="s">
        <v>327</v>
      </c>
      <c r="P66" s="6" t="s">
        <v>52</v>
      </c>
      <c r="Q66" s="12" t="s">
        <v>314</v>
      </c>
      <c r="R66" s="6">
        <v>15000</v>
      </c>
      <c r="S66" s="6">
        <f t="shared" si="0"/>
        <v>2430</v>
      </c>
      <c r="T66" s="7">
        <v>46085</v>
      </c>
      <c r="U66" s="6" t="s">
        <v>334</v>
      </c>
      <c r="V66" s="6"/>
      <c r="W66" s="12" t="s">
        <v>328</v>
      </c>
      <c r="X66" s="12" t="s">
        <v>329</v>
      </c>
      <c r="Y66" s="12" t="s">
        <v>335</v>
      </c>
      <c r="Z66" s="12" t="s">
        <v>57</v>
      </c>
      <c r="AA66" s="6" t="s">
        <v>40</v>
      </c>
    </row>
    <row r="67" spans="1:27">
      <c r="A67" s="6">
        <v>66</v>
      </c>
      <c r="B67" s="6" t="s">
        <v>225</v>
      </c>
      <c r="C67" s="7">
        <v>46083</v>
      </c>
      <c r="D67" s="6" t="s">
        <v>226</v>
      </c>
      <c r="E67" s="6" t="s">
        <v>29</v>
      </c>
      <c r="F67" s="6" t="s">
        <v>336</v>
      </c>
      <c r="G67" s="6">
        <v>2</v>
      </c>
      <c r="H67" s="6" t="s">
        <v>337</v>
      </c>
      <c r="I67" s="6">
        <v>9885436331</v>
      </c>
      <c r="J67" s="6" t="s">
        <v>338</v>
      </c>
      <c r="K67" s="6" t="s">
        <v>338</v>
      </c>
      <c r="L67" s="14">
        <v>44870</v>
      </c>
      <c r="M67" s="14">
        <v>44870</v>
      </c>
      <c r="N67" s="7">
        <v>46085</v>
      </c>
      <c r="O67" s="6" t="s">
        <v>339</v>
      </c>
      <c r="P67" s="6" t="s">
        <v>52</v>
      </c>
      <c r="Q67" s="6" t="s">
        <v>340</v>
      </c>
      <c r="R67" s="6">
        <f>35000+9870</f>
        <v>44870</v>
      </c>
      <c r="S67" s="6">
        <f t="shared" ref="S67:S130" si="1">M67-R67</f>
        <v>0</v>
      </c>
      <c r="T67" s="7">
        <v>46086</v>
      </c>
      <c r="U67" s="6" t="s">
        <v>341</v>
      </c>
      <c r="V67" s="6" t="s">
        <v>54</v>
      </c>
      <c r="W67" s="6" t="s">
        <v>342</v>
      </c>
      <c r="X67" s="6" t="s">
        <v>343</v>
      </c>
      <c r="Y67" s="6" t="s">
        <v>344</v>
      </c>
      <c r="Z67" s="6" t="s">
        <v>345</v>
      </c>
      <c r="AA67" s="6" t="s">
        <v>235</v>
      </c>
    </row>
    <row r="68" spans="1:27">
      <c r="A68" s="6">
        <v>67</v>
      </c>
      <c r="B68" s="6" t="s">
        <v>346</v>
      </c>
      <c r="C68" s="7">
        <v>46083</v>
      </c>
      <c r="D68" s="6" t="s">
        <v>226</v>
      </c>
      <c r="E68" s="6" t="s">
        <v>29</v>
      </c>
      <c r="F68" s="6" t="s">
        <v>336</v>
      </c>
      <c r="G68" s="6">
        <v>2</v>
      </c>
      <c r="H68" s="6" t="s">
        <v>347</v>
      </c>
      <c r="I68" s="6">
        <v>9666918888</v>
      </c>
      <c r="J68" s="6" t="s">
        <v>348</v>
      </c>
      <c r="K68" s="6" t="s">
        <v>348</v>
      </c>
      <c r="L68" s="14">
        <v>10030</v>
      </c>
      <c r="M68" s="14">
        <v>5030</v>
      </c>
      <c r="N68" s="7">
        <v>46086</v>
      </c>
      <c r="O68" s="6" t="s">
        <v>342</v>
      </c>
      <c r="P68" s="6" t="s">
        <v>52</v>
      </c>
      <c r="Q68" s="6" t="s">
        <v>340</v>
      </c>
      <c r="R68" s="6">
        <v>5030</v>
      </c>
      <c r="S68" s="6">
        <f t="shared" si="1"/>
        <v>0</v>
      </c>
      <c r="T68" s="7">
        <v>46087</v>
      </c>
      <c r="U68" s="6" t="s">
        <v>349</v>
      </c>
      <c r="V68" s="6" t="s">
        <v>54</v>
      </c>
      <c r="W68" s="6" t="s">
        <v>342</v>
      </c>
      <c r="X68" s="6" t="s">
        <v>350</v>
      </c>
      <c r="Y68" s="6" t="s">
        <v>351</v>
      </c>
      <c r="Z68" s="6" t="s">
        <v>352</v>
      </c>
      <c r="AA68" s="6" t="s">
        <v>235</v>
      </c>
    </row>
    <row r="69" spans="1:27">
      <c r="A69" s="6">
        <v>68</v>
      </c>
      <c r="B69" s="6" t="s">
        <v>225</v>
      </c>
      <c r="C69" s="7">
        <v>46086</v>
      </c>
      <c r="D69" s="6" t="s">
        <v>226</v>
      </c>
      <c r="E69" s="6" t="s">
        <v>29</v>
      </c>
      <c r="F69" s="6" t="s">
        <v>240</v>
      </c>
      <c r="G69" s="6">
        <v>5</v>
      </c>
      <c r="H69" s="6" t="s">
        <v>353</v>
      </c>
      <c r="I69" s="6">
        <v>9246581188</v>
      </c>
      <c r="J69" s="10" t="s">
        <v>354</v>
      </c>
      <c r="K69" s="10" t="s">
        <v>354</v>
      </c>
      <c r="L69" s="6">
        <v>3750</v>
      </c>
      <c r="M69" s="6">
        <v>3750</v>
      </c>
      <c r="N69" s="7" t="s">
        <v>239</v>
      </c>
      <c r="O69" s="6" t="s">
        <v>239</v>
      </c>
      <c r="P69" s="6" t="s">
        <v>239</v>
      </c>
      <c r="Q69" s="6" t="s">
        <v>236</v>
      </c>
      <c r="R69" s="6"/>
      <c r="S69" s="6">
        <f t="shared" si="1"/>
        <v>3750</v>
      </c>
      <c r="T69" s="6"/>
      <c r="U69" s="6"/>
      <c r="V69" s="6"/>
      <c r="W69" s="6" t="s">
        <v>236</v>
      </c>
      <c r="X69" s="6" t="s">
        <v>236</v>
      </c>
      <c r="Y69" s="6" t="s">
        <v>236</v>
      </c>
      <c r="Z69" s="6" t="s">
        <v>236</v>
      </c>
      <c r="AA69" s="6" t="s">
        <v>236</v>
      </c>
    </row>
    <row r="70" spans="1:27">
      <c r="A70" s="6">
        <v>69</v>
      </c>
      <c r="B70" s="6" t="s">
        <v>225</v>
      </c>
      <c r="C70" s="7">
        <v>46086</v>
      </c>
      <c r="D70" s="6" t="s">
        <v>226</v>
      </c>
      <c r="E70" s="6" t="s">
        <v>29</v>
      </c>
      <c r="F70" s="6" t="s">
        <v>240</v>
      </c>
      <c r="G70" s="6">
        <v>5</v>
      </c>
      <c r="H70" s="6" t="s">
        <v>355</v>
      </c>
      <c r="I70" s="6">
        <v>9502120573</v>
      </c>
      <c r="J70" s="10" t="s">
        <v>356</v>
      </c>
      <c r="K70" s="10" t="s">
        <v>356</v>
      </c>
      <c r="L70" s="6">
        <v>2600</v>
      </c>
      <c r="M70" s="6">
        <v>2600</v>
      </c>
      <c r="N70" s="7" t="s">
        <v>239</v>
      </c>
      <c r="O70" s="6" t="s">
        <v>239</v>
      </c>
      <c r="P70" s="6" t="s">
        <v>239</v>
      </c>
      <c r="Q70" s="6" t="s">
        <v>236</v>
      </c>
      <c r="R70" s="6"/>
      <c r="S70" s="6">
        <f t="shared" si="1"/>
        <v>2600</v>
      </c>
      <c r="T70" s="6"/>
      <c r="U70" s="6"/>
      <c r="V70" s="6"/>
      <c r="W70" s="6" t="s">
        <v>236</v>
      </c>
      <c r="X70" s="6" t="s">
        <v>236</v>
      </c>
      <c r="Y70" s="6" t="s">
        <v>236</v>
      </c>
      <c r="Z70" s="6" t="s">
        <v>236</v>
      </c>
      <c r="AA70" s="6" t="s">
        <v>236</v>
      </c>
    </row>
    <row r="71" spans="1:27">
      <c r="A71" s="6">
        <v>70</v>
      </c>
      <c r="B71" s="6" t="s">
        <v>298</v>
      </c>
      <c r="C71" s="7">
        <v>46086</v>
      </c>
      <c r="D71" s="6" t="s">
        <v>226</v>
      </c>
      <c r="E71" s="6" t="s">
        <v>29</v>
      </c>
      <c r="F71" s="6" t="s">
        <v>240</v>
      </c>
      <c r="G71" s="6">
        <v>5</v>
      </c>
      <c r="H71" s="6" t="s">
        <v>357</v>
      </c>
      <c r="I71" s="6">
        <v>9494437235</v>
      </c>
      <c r="J71" s="10" t="s">
        <v>358</v>
      </c>
      <c r="K71" s="10" t="s">
        <v>358</v>
      </c>
      <c r="L71" s="6">
        <v>2840</v>
      </c>
      <c r="M71" s="6">
        <v>2840</v>
      </c>
      <c r="N71" s="7" t="s">
        <v>239</v>
      </c>
      <c r="O71" s="6" t="s">
        <v>239</v>
      </c>
      <c r="P71" s="6" t="s">
        <v>239</v>
      </c>
      <c r="Q71" s="6" t="s">
        <v>236</v>
      </c>
      <c r="R71" s="6"/>
      <c r="S71" s="6">
        <f t="shared" si="1"/>
        <v>2840</v>
      </c>
      <c r="T71" s="6"/>
      <c r="U71" s="6"/>
      <c r="V71" s="6"/>
      <c r="W71" s="6" t="s">
        <v>236</v>
      </c>
      <c r="X71" s="6" t="s">
        <v>236</v>
      </c>
      <c r="Y71" s="6" t="s">
        <v>236</v>
      </c>
      <c r="Z71" s="6" t="s">
        <v>236</v>
      </c>
      <c r="AA71" s="6" t="s">
        <v>236</v>
      </c>
    </row>
    <row r="72" spans="1:27">
      <c r="A72" s="6">
        <v>71</v>
      </c>
      <c r="B72" s="6" t="s">
        <v>225</v>
      </c>
      <c r="C72" s="7">
        <v>46086</v>
      </c>
      <c r="D72" s="6" t="s">
        <v>226</v>
      </c>
      <c r="E72" s="6" t="s">
        <v>29</v>
      </c>
      <c r="F72" s="6" t="s">
        <v>227</v>
      </c>
      <c r="G72" s="6">
        <v>5</v>
      </c>
      <c r="H72" s="6" t="s">
        <v>359</v>
      </c>
      <c r="I72" s="6">
        <v>8977077887</v>
      </c>
      <c r="J72" s="10" t="s">
        <v>360</v>
      </c>
      <c r="K72" s="10" t="s">
        <v>360</v>
      </c>
      <c r="L72" s="6">
        <v>11870</v>
      </c>
      <c r="M72" s="6">
        <v>4880</v>
      </c>
      <c r="N72" s="7">
        <v>46096</v>
      </c>
      <c r="O72" s="6" t="s">
        <v>232</v>
      </c>
      <c r="P72" s="6" t="s">
        <v>52</v>
      </c>
      <c r="Q72" s="6" t="s">
        <v>230</v>
      </c>
      <c r="R72" s="6">
        <v>4800</v>
      </c>
      <c r="S72" s="6">
        <f t="shared" si="1"/>
        <v>80</v>
      </c>
      <c r="T72" s="7">
        <v>46087</v>
      </c>
      <c r="U72" s="6" t="s">
        <v>361</v>
      </c>
      <c r="V72" s="6" t="s">
        <v>54</v>
      </c>
      <c r="W72" s="6" t="s">
        <v>37</v>
      </c>
      <c r="X72" s="6" t="s">
        <v>37</v>
      </c>
      <c r="Y72" s="6" t="s">
        <v>362</v>
      </c>
      <c r="Z72" s="6" t="s">
        <v>363</v>
      </c>
      <c r="AA72" s="6" t="s">
        <v>235</v>
      </c>
    </row>
    <row r="73" spans="1:27">
      <c r="A73" s="6">
        <v>72</v>
      </c>
      <c r="B73" s="6" t="s">
        <v>225</v>
      </c>
      <c r="C73" s="7">
        <v>46086</v>
      </c>
      <c r="D73" s="6" t="s">
        <v>226</v>
      </c>
      <c r="E73" s="6" t="s">
        <v>29</v>
      </c>
      <c r="F73" s="6" t="s">
        <v>364</v>
      </c>
      <c r="G73" s="6">
        <v>5</v>
      </c>
      <c r="H73" s="6" t="s">
        <v>365</v>
      </c>
      <c r="I73" s="6">
        <v>8341888385</v>
      </c>
      <c r="J73" s="10" t="s">
        <v>366</v>
      </c>
      <c r="K73" s="10" t="s">
        <v>366</v>
      </c>
      <c r="L73" s="6">
        <v>7031</v>
      </c>
      <c r="M73" s="6">
        <v>7031</v>
      </c>
      <c r="N73" s="7">
        <v>46090</v>
      </c>
      <c r="O73" s="6" t="s">
        <v>367</v>
      </c>
      <c r="P73" s="6" t="s">
        <v>52</v>
      </c>
      <c r="Q73" s="6" t="s">
        <v>367</v>
      </c>
      <c r="R73" s="6">
        <f>3000+2031+2000</f>
        <v>7031</v>
      </c>
      <c r="S73" s="6">
        <f t="shared" si="1"/>
        <v>0</v>
      </c>
      <c r="T73" s="7">
        <v>46090</v>
      </c>
      <c r="U73" s="6" t="s">
        <v>368</v>
      </c>
      <c r="V73" s="6" t="s">
        <v>54</v>
      </c>
      <c r="W73" s="6" t="s">
        <v>369</v>
      </c>
      <c r="X73" s="6" t="s">
        <v>370</v>
      </c>
      <c r="Y73" s="6" t="s">
        <v>371</v>
      </c>
      <c r="Z73" s="6" t="s">
        <v>372</v>
      </c>
      <c r="AA73" s="6" t="s">
        <v>373</v>
      </c>
    </row>
    <row r="74" spans="1:27">
      <c r="A74" s="6">
        <v>73</v>
      </c>
      <c r="B74" s="6" t="s">
        <v>298</v>
      </c>
      <c r="C74" s="7">
        <v>46086</v>
      </c>
      <c r="D74" s="6" t="s">
        <v>226</v>
      </c>
      <c r="E74" s="6" t="s">
        <v>29</v>
      </c>
      <c r="F74" s="6" t="s">
        <v>227</v>
      </c>
      <c r="G74" s="6">
        <v>5</v>
      </c>
      <c r="H74" s="6" t="s">
        <v>374</v>
      </c>
      <c r="I74" s="6">
        <v>9848433433</v>
      </c>
      <c r="J74" s="10" t="s">
        <v>375</v>
      </c>
      <c r="K74" s="10" t="s">
        <v>375</v>
      </c>
      <c r="L74" s="6">
        <v>11690</v>
      </c>
      <c r="M74" s="6">
        <v>8920</v>
      </c>
      <c r="N74" s="7">
        <v>46096</v>
      </c>
      <c r="O74" s="6" t="s">
        <v>232</v>
      </c>
      <c r="P74" s="6" t="s">
        <v>52</v>
      </c>
      <c r="Q74" s="6" t="s">
        <v>230</v>
      </c>
      <c r="R74" s="6">
        <v>8920</v>
      </c>
      <c r="S74" s="6">
        <f t="shared" si="1"/>
        <v>0</v>
      </c>
      <c r="T74" s="7">
        <v>46088</v>
      </c>
      <c r="U74" s="6" t="s">
        <v>376</v>
      </c>
      <c r="V74" s="6" t="s">
        <v>54</v>
      </c>
      <c r="W74" s="6" t="s">
        <v>377</v>
      </c>
      <c r="X74" s="6" t="s">
        <v>377</v>
      </c>
      <c r="Y74" s="6" t="s">
        <v>378</v>
      </c>
      <c r="Z74" s="6" t="s">
        <v>379</v>
      </c>
      <c r="AA74" s="6" t="s">
        <v>235</v>
      </c>
    </row>
    <row r="75" spans="1:27">
      <c r="A75" s="6">
        <v>74</v>
      </c>
      <c r="B75" s="6" t="s">
        <v>298</v>
      </c>
      <c r="C75" s="7">
        <v>46086</v>
      </c>
      <c r="D75" s="6" t="s">
        <v>226</v>
      </c>
      <c r="E75" s="6" t="s">
        <v>29</v>
      </c>
      <c r="F75" s="6" t="s">
        <v>336</v>
      </c>
      <c r="G75" s="6">
        <v>5</v>
      </c>
      <c r="H75" s="6" t="s">
        <v>380</v>
      </c>
      <c r="I75" s="6">
        <v>8919909081</v>
      </c>
      <c r="J75" s="10" t="s">
        <v>381</v>
      </c>
      <c r="K75" s="10" t="s">
        <v>381</v>
      </c>
      <c r="L75" s="6">
        <v>10450</v>
      </c>
      <c r="M75" s="6">
        <v>10451</v>
      </c>
      <c r="N75" s="7">
        <v>46091</v>
      </c>
      <c r="O75" s="6" t="s">
        <v>370</v>
      </c>
      <c r="P75" s="6" t="s">
        <v>52</v>
      </c>
      <c r="Q75" s="6" t="s">
        <v>340</v>
      </c>
      <c r="R75" s="6">
        <v>10451</v>
      </c>
      <c r="S75" s="6">
        <f t="shared" si="1"/>
        <v>0</v>
      </c>
      <c r="T75" s="7">
        <v>46093</v>
      </c>
      <c r="U75" s="6" t="s">
        <v>382</v>
      </c>
      <c r="V75" s="6" t="s">
        <v>54</v>
      </c>
      <c r="W75" s="6" t="s">
        <v>342</v>
      </c>
      <c r="X75" s="6" t="s">
        <v>370</v>
      </c>
      <c r="Y75" s="6" t="s">
        <v>383</v>
      </c>
      <c r="Z75" s="6" t="s">
        <v>384</v>
      </c>
      <c r="AA75" s="6" t="s">
        <v>235</v>
      </c>
    </row>
    <row r="76" spans="1:27">
      <c r="A76" s="6">
        <v>75</v>
      </c>
      <c r="B76" s="6" t="s">
        <v>225</v>
      </c>
      <c r="C76" s="7">
        <v>46086</v>
      </c>
      <c r="D76" s="6" t="s">
        <v>226</v>
      </c>
      <c r="E76" s="6" t="s">
        <v>29</v>
      </c>
      <c r="F76" s="6" t="s">
        <v>336</v>
      </c>
      <c r="G76" s="6">
        <v>5</v>
      </c>
      <c r="H76" s="6" t="s">
        <v>385</v>
      </c>
      <c r="I76" s="6">
        <v>9063930668</v>
      </c>
      <c r="J76" s="10" t="s">
        <v>386</v>
      </c>
      <c r="K76" s="10" t="s">
        <v>386</v>
      </c>
      <c r="L76" s="6">
        <v>7400</v>
      </c>
      <c r="M76" s="6">
        <v>7401</v>
      </c>
      <c r="N76" s="7">
        <v>46091</v>
      </c>
      <c r="O76" s="6" t="s">
        <v>315</v>
      </c>
      <c r="P76" s="6" t="s">
        <v>52</v>
      </c>
      <c r="Q76" s="6" t="s">
        <v>340</v>
      </c>
      <c r="R76" s="6">
        <v>7400</v>
      </c>
      <c r="S76" s="6">
        <f t="shared" si="1"/>
        <v>1</v>
      </c>
      <c r="T76" s="7">
        <v>46097</v>
      </c>
      <c r="U76" s="6" t="s">
        <v>387</v>
      </c>
      <c r="V76" s="6" t="s">
        <v>54</v>
      </c>
      <c r="W76" s="6" t="s">
        <v>388</v>
      </c>
      <c r="X76" s="6" t="s">
        <v>315</v>
      </c>
      <c r="Y76" s="6" t="s">
        <v>389</v>
      </c>
      <c r="Z76" s="6" t="s">
        <v>390</v>
      </c>
      <c r="AA76" s="6" t="s">
        <v>235</v>
      </c>
    </row>
    <row r="77" spans="1:27">
      <c r="A77" s="6">
        <v>76</v>
      </c>
      <c r="B77" s="6" t="s">
        <v>225</v>
      </c>
      <c r="C77" s="7">
        <v>46086</v>
      </c>
      <c r="D77" s="6" t="s">
        <v>226</v>
      </c>
      <c r="E77" s="6" t="s">
        <v>29</v>
      </c>
      <c r="F77" s="6" t="s">
        <v>336</v>
      </c>
      <c r="G77" s="6">
        <v>5</v>
      </c>
      <c r="H77" s="6" t="s">
        <v>391</v>
      </c>
      <c r="I77" s="6">
        <v>7895498198</v>
      </c>
      <c r="J77" s="10" t="s">
        <v>392</v>
      </c>
      <c r="K77" s="10" t="s">
        <v>392</v>
      </c>
      <c r="L77" s="6">
        <v>20111</v>
      </c>
      <c r="M77" s="6">
        <v>2012</v>
      </c>
      <c r="N77" s="7" t="s">
        <v>239</v>
      </c>
      <c r="O77" s="6" t="s">
        <v>239</v>
      </c>
      <c r="P77" s="6" t="s">
        <v>239</v>
      </c>
      <c r="Q77" s="6" t="s">
        <v>340</v>
      </c>
      <c r="R77" s="6"/>
      <c r="S77" s="6">
        <f t="shared" si="1"/>
        <v>2012</v>
      </c>
      <c r="T77" s="6"/>
      <c r="U77" s="6"/>
      <c r="V77" s="6"/>
      <c r="W77" s="6" t="s">
        <v>342</v>
      </c>
      <c r="X77" s="6" t="s">
        <v>315</v>
      </c>
      <c r="Y77" s="6" t="s">
        <v>393</v>
      </c>
      <c r="Z77" s="6" t="s">
        <v>394</v>
      </c>
      <c r="AA77" s="6" t="s">
        <v>235</v>
      </c>
    </row>
    <row r="78" spans="1:27">
      <c r="A78" s="6">
        <v>77</v>
      </c>
      <c r="B78" s="6" t="s">
        <v>225</v>
      </c>
      <c r="C78" s="7">
        <v>46086</v>
      </c>
      <c r="D78" s="6" t="s">
        <v>226</v>
      </c>
      <c r="E78" s="6" t="s">
        <v>29</v>
      </c>
      <c r="F78" s="6" t="s">
        <v>395</v>
      </c>
      <c r="G78" s="6">
        <v>5</v>
      </c>
      <c r="H78" s="8" t="s">
        <v>396</v>
      </c>
      <c r="I78" s="8" t="s">
        <v>397</v>
      </c>
      <c r="J78" s="8" t="s">
        <v>398</v>
      </c>
      <c r="K78" s="8" t="s">
        <v>398</v>
      </c>
      <c r="L78" s="15">
        <v>7980</v>
      </c>
      <c r="M78" s="15">
        <v>7981</v>
      </c>
      <c r="N78" s="7">
        <v>46119</v>
      </c>
      <c r="O78" s="6" t="s">
        <v>399</v>
      </c>
      <c r="P78" s="6" t="s">
        <v>52</v>
      </c>
      <c r="Q78" s="6" t="s">
        <v>400</v>
      </c>
      <c r="R78" s="6">
        <f>5000+2981</f>
        <v>7981</v>
      </c>
      <c r="S78" s="6">
        <f t="shared" si="1"/>
        <v>0</v>
      </c>
      <c r="T78" s="7">
        <v>46119</v>
      </c>
      <c r="U78" s="6" t="s">
        <v>401</v>
      </c>
      <c r="V78" s="6" t="s">
        <v>54</v>
      </c>
      <c r="W78" s="8" t="s">
        <v>402</v>
      </c>
      <c r="X78" s="8" t="s">
        <v>399</v>
      </c>
      <c r="Y78" s="6" t="s">
        <v>403</v>
      </c>
      <c r="Z78" s="6" t="s">
        <v>404</v>
      </c>
      <c r="AA78" s="6" t="s">
        <v>405</v>
      </c>
    </row>
    <row r="79" spans="1:27">
      <c r="A79" s="6">
        <v>78</v>
      </c>
      <c r="B79" s="6" t="s">
        <v>225</v>
      </c>
      <c r="C79" s="7">
        <v>46084</v>
      </c>
      <c r="D79" s="6" t="s">
        <v>28</v>
      </c>
      <c r="E79" s="6" t="s">
        <v>29</v>
      </c>
      <c r="F79" s="6" t="s">
        <v>30</v>
      </c>
      <c r="G79" s="6">
        <v>14</v>
      </c>
      <c r="H79" s="8" t="s">
        <v>406</v>
      </c>
      <c r="I79" s="8" t="s">
        <v>407</v>
      </c>
      <c r="J79" s="8" t="s">
        <v>408</v>
      </c>
      <c r="K79" s="8" t="s">
        <v>409</v>
      </c>
      <c r="L79" s="8">
        <v>16973.22</v>
      </c>
      <c r="M79" s="8">
        <v>16973.22</v>
      </c>
      <c r="N79" s="7"/>
      <c r="O79" s="6" t="s">
        <v>35</v>
      </c>
      <c r="P79" s="6" t="s">
        <v>35</v>
      </c>
      <c r="Q79" s="6" t="s">
        <v>36</v>
      </c>
      <c r="R79" s="6"/>
      <c r="S79" s="6">
        <f t="shared" si="1"/>
        <v>16973.22</v>
      </c>
      <c r="T79" s="6"/>
      <c r="U79" s="6"/>
      <c r="V79" s="6"/>
      <c r="W79" s="6" t="s">
        <v>410</v>
      </c>
      <c r="X79" s="6" t="s">
        <v>410</v>
      </c>
      <c r="Y79" s="8" t="s">
        <v>411</v>
      </c>
      <c r="Z79" s="6" t="s">
        <v>412</v>
      </c>
      <c r="AA79" s="6" t="s">
        <v>40</v>
      </c>
    </row>
    <row r="80" spans="1:27">
      <c r="A80" s="6">
        <v>79</v>
      </c>
      <c r="B80" s="6" t="s">
        <v>225</v>
      </c>
      <c r="C80" s="7">
        <v>46086</v>
      </c>
      <c r="D80" s="6" t="s">
        <v>28</v>
      </c>
      <c r="E80" s="6" t="s">
        <v>29</v>
      </c>
      <c r="F80" s="6" t="s">
        <v>30</v>
      </c>
      <c r="G80" s="6">
        <v>15</v>
      </c>
      <c r="H80" s="8" t="s">
        <v>413</v>
      </c>
      <c r="I80" s="8" t="s">
        <v>414</v>
      </c>
      <c r="J80" s="8" t="s">
        <v>415</v>
      </c>
      <c r="K80" s="8" t="s">
        <v>416</v>
      </c>
      <c r="L80" s="8">
        <v>1188.77</v>
      </c>
      <c r="M80" s="8">
        <v>1188.77</v>
      </c>
      <c r="N80" s="7"/>
      <c r="O80" s="6" t="s">
        <v>35</v>
      </c>
      <c r="P80" s="6" t="s">
        <v>35</v>
      </c>
      <c r="Q80" s="6" t="s">
        <v>36</v>
      </c>
      <c r="R80" s="6"/>
      <c r="S80" s="6">
        <f t="shared" si="1"/>
        <v>1188.77</v>
      </c>
      <c r="T80" s="6"/>
      <c r="U80" s="6"/>
      <c r="V80" s="6"/>
      <c r="W80" s="6" t="s">
        <v>37</v>
      </c>
      <c r="X80" s="6" t="s">
        <v>37</v>
      </c>
      <c r="Y80" s="8" t="s">
        <v>417</v>
      </c>
      <c r="Z80" s="6" t="s">
        <v>172</v>
      </c>
      <c r="AA80" s="6" t="s">
        <v>40</v>
      </c>
    </row>
    <row r="81" spans="1:27">
      <c r="A81" s="6">
        <v>80</v>
      </c>
      <c r="B81" s="6"/>
      <c r="C81" s="7">
        <v>46084</v>
      </c>
      <c r="D81" s="6" t="s">
        <v>28</v>
      </c>
      <c r="E81" s="6" t="s">
        <v>29</v>
      </c>
      <c r="F81" s="6" t="s">
        <v>30</v>
      </c>
      <c r="G81" s="6">
        <v>14</v>
      </c>
      <c r="H81" s="8" t="s">
        <v>418</v>
      </c>
      <c r="I81" s="8" t="s">
        <v>419</v>
      </c>
      <c r="J81" s="8" t="s">
        <v>420</v>
      </c>
      <c r="K81" s="8"/>
      <c r="L81" s="8">
        <v>16239.08</v>
      </c>
      <c r="M81" s="8">
        <v>16239.08</v>
      </c>
      <c r="N81" s="7"/>
      <c r="O81" s="6" t="s">
        <v>35</v>
      </c>
      <c r="P81" s="6" t="s">
        <v>35</v>
      </c>
      <c r="Q81" s="6" t="s">
        <v>36</v>
      </c>
      <c r="R81" s="6"/>
      <c r="S81" s="6">
        <f t="shared" si="1"/>
        <v>16239.08</v>
      </c>
      <c r="T81" s="6"/>
      <c r="U81" s="6"/>
      <c r="V81" s="6"/>
      <c r="W81" s="6" t="s">
        <v>62</v>
      </c>
      <c r="X81" s="6" t="s">
        <v>62</v>
      </c>
      <c r="Y81" s="8" t="s">
        <v>421</v>
      </c>
      <c r="Z81" s="6" t="s">
        <v>404</v>
      </c>
      <c r="AA81" s="6" t="s">
        <v>40</v>
      </c>
    </row>
    <row r="82" spans="1:27">
      <c r="A82" s="6">
        <v>81</v>
      </c>
      <c r="B82" s="6" t="s">
        <v>225</v>
      </c>
      <c r="C82" s="7">
        <v>46084</v>
      </c>
      <c r="D82" s="6" t="s">
        <v>28</v>
      </c>
      <c r="E82" s="6" t="s">
        <v>29</v>
      </c>
      <c r="F82" s="6" t="s">
        <v>30</v>
      </c>
      <c r="G82" s="6">
        <v>14</v>
      </c>
      <c r="H82" s="8" t="s">
        <v>422</v>
      </c>
      <c r="I82" s="8" t="s">
        <v>423</v>
      </c>
      <c r="J82" s="8" t="s">
        <v>424</v>
      </c>
      <c r="K82" s="8" t="s">
        <v>425</v>
      </c>
      <c r="L82" s="8">
        <v>557.42999999999995</v>
      </c>
      <c r="M82" s="8">
        <v>557.42999999999995</v>
      </c>
      <c r="N82" s="7"/>
      <c r="O82" s="6" t="s">
        <v>35</v>
      </c>
      <c r="P82" s="6" t="s">
        <v>35</v>
      </c>
      <c r="Q82" s="6" t="s">
        <v>36</v>
      </c>
      <c r="R82" s="6"/>
      <c r="S82" s="6">
        <f t="shared" si="1"/>
        <v>557.42999999999995</v>
      </c>
      <c r="T82" s="6"/>
      <c r="U82" s="6"/>
      <c r="V82" s="6"/>
      <c r="W82" s="6" t="s">
        <v>110</v>
      </c>
      <c r="X82" s="6" t="s">
        <v>110</v>
      </c>
      <c r="Y82" s="8" t="s">
        <v>426</v>
      </c>
      <c r="Z82" s="6" t="s">
        <v>427</v>
      </c>
      <c r="AA82" s="6" t="s">
        <v>40</v>
      </c>
    </row>
    <row r="83" spans="1:27">
      <c r="A83" s="6">
        <v>82</v>
      </c>
      <c r="B83" s="6" t="s">
        <v>225</v>
      </c>
      <c r="C83" s="7">
        <v>46086</v>
      </c>
      <c r="D83" s="6" t="s">
        <v>28</v>
      </c>
      <c r="E83" s="6" t="s">
        <v>29</v>
      </c>
      <c r="F83" s="6" t="s">
        <v>30</v>
      </c>
      <c r="G83" s="6">
        <v>15</v>
      </c>
      <c r="H83" s="8" t="s">
        <v>428</v>
      </c>
      <c r="I83" s="8" t="s">
        <v>429</v>
      </c>
      <c r="J83" s="8" t="s">
        <v>430</v>
      </c>
      <c r="K83" s="8" t="s">
        <v>431</v>
      </c>
      <c r="L83" s="8">
        <v>13069.9</v>
      </c>
      <c r="M83" s="8">
        <v>13069.9</v>
      </c>
      <c r="N83" s="7"/>
      <c r="O83" s="6" t="s">
        <v>35</v>
      </c>
      <c r="P83" s="6" t="s">
        <v>35</v>
      </c>
      <c r="Q83" s="6" t="s">
        <v>36</v>
      </c>
      <c r="R83" s="6"/>
      <c r="S83" s="6">
        <f t="shared" si="1"/>
        <v>13069.9</v>
      </c>
      <c r="T83" s="6"/>
      <c r="U83" s="6"/>
      <c r="V83" s="6"/>
      <c r="W83" s="6" t="s">
        <v>117</v>
      </c>
      <c r="X83" s="6" t="s">
        <v>117</v>
      </c>
      <c r="Y83" s="8" t="s">
        <v>432</v>
      </c>
      <c r="Z83" s="6" t="s">
        <v>433</v>
      </c>
      <c r="AA83" s="6" t="s">
        <v>40</v>
      </c>
    </row>
    <row r="84" spans="1:27">
      <c r="A84" s="6">
        <v>83</v>
      </c>
      <c r="B84" s="6" t="s">
        <v>225</v>
      </c>
      <c r="C84" s="7">
        <v>46084</v>
      </c>
      <c r="D84" s="6" t="s">
        <v>28</v>
      </c>
      <c r="E84" s="6" t="s">
        <v>29</v>
      </c>
      <c r="F84" s="6" t="s">
        <v>30</v>
      </c>
      <c r="G84" s="6">
        <v>14</v>
      </c>
      <c r="H84" s="8" t="s">
        <v>434</v>
      </c>
      <c r="I84" s="8" t="s">
        <v>435</v>
      </c>
      <c r="J84" s="8" t="s">
        <v>436</v>
      </c>
      <c r="K84" s="8" t="s">
        <v>437</v>
      </c>
      <c r="L84" s="8">
        <v>931.32</v>
      </c>
      <c r="M84" s="8">
        <v>931.32</v>
      </c>
      <c r="N84" s="7"/>
      <c r="O84" s="6" t="s">
        <v>35</v>
      </c>
      <c r="P84" s="6" t="s">
        <v>35</v>
      </c>
      <c r="Q84" s="6" t="s">
        <v>36</v>
      </c>
      <c r="R84" s="6"/>
      <c r="S84" s="6">
        <f t="shared" si="1"/>
        <v>931.32</v>
      </c>
      <c r="T84" s="6"/>
      <c r="U84" s="6"/>
      <c r="V84" s="6"/>
      <c r="W84" s="6" t="s">
        <v>110</v>
      </c>
      <c r="X84" s="6" t="s">
        <v>110</v>
      </c>
      <c r="Y84" s="8" t="s">
        <v>438</v>
      </c>
      <c r="Z84" s="6" t="s">
        <v>439</v>
      </c>
      <c r="AA84" s="6" t="s">
        <v>40</v>
      </c>
    </row>
    <row r="85" spans="1:27">
      <c r="A85" s="6">
        <v>84</v>
      </c>
      <c r="B85" s="6" t="s">
        <v>225</v>
      </c>
      <c r="C85" s="7">
        <v>46084</v>
      </c>
      <c r="D85" s="6" t="s">
        <v>28</v>
      </c>
      <c r="E85" s="6" t="s">
        <v>29</v>
      </c>
      <c r="F85" s="6" t="s">
        <v>30</v>
      </c>
      <c r="G85" s="6">
        <v>14</v>
      </c>
      <c r="H85" s="8" t="s">
        <v>440</v>
      </c>
      <c r="I85" s="8" t="s">
        <v>441</v>
      </c>
      <c r="J85" s="8" t="s">
        <v>442</v>
      </c>
      <c r="K85" s="8" t="s">
        <v>443</v>
      </c>
      <c r="L85" s="8">
        <v>1554.78</v>
      </c>
      <c r="M85" s="8">
        <v>1554.78</v>
      </c>
      <c r="N85" s="7"/>
      <c r="O85" s="6" t="s">
        <v>35</v>
      </c>
      <c r="P85" s="6" t="s">
        <v>35</v>
      </c>
      <c r="Q85" s="6" t="s">
        <v>36</v>
      </c>
      <c r="R85" s="6"/>
      <c r="S85" s="6">
        <f t="shared" si="1"/>
        <v>1554.78</v>
      </c>
      <c r="T85" s="6"/>
      <c r="U85" s="6"/>
      <c r="V85" s="6"/>
      <c r="W85" s="6" t="s">
        <v>444</v>
      </c>
      <c r="X85" s="6" t="s">
        <v>444</v>
      </c>
      <c r="Y85" s="8" t="s">
        <v>445</v>
      </c>
      <c r="Z85" s="6" t="s">
        <v>126</v>
      </c>
      <c r="AA85" s="6" t="s">
        <v>40</v>
      </c>
    </row>
    <row r="86" spans="1:27">
      <c r="A86" s="6">
        <v>85</v>
      </c>
      <c r="B86" s="6" t="s">
        <v>225</v>
      </c>
      <c r="C86" s="7">
        <v>46084</v>
      </c>
      <c r="D86" s="6" t="s">
        <v>28</v>
      </c>
      <c r="E86" s="6" t="s">
        <v>29</v>
      </c>
      <c r="F86" s="6" t="s">
        <v>30</v>
      </c>
      <c r="G86" s="6">
        <v>14</v>
      </c>
      <c r="H86" s="8" t="s">
        <v>446</v>
      </c>
      <c r="I86" s="8" t="s">
        <v>447</v>
      </c>
      <c r="J86" s="8" t="s">
        <v>448</v>
      </c>
      <c r="K86" s="8" t="s">
        <v>449</v>
      </c>
      <c r="L86" s="8">
        <v>20326.05</v>
      </c>
      <c r="M86" s="8">
        <v>20326.05</v>
      </c>
      <c r="N86" s="7"/>
      <c r="O86" s="6" t="s">
        <v>35</v>
      </c>
      <c r="P86" s="6" t="s">
        <v>35</v>
      </c>
      <c r="Q86" s="6" t="s">
        <v>36</v>
      </c>
      <c r="R86" s="6"/>
      <c r="S86" s="6">
        <f t="shared" si="1"/>
        <v>20326.05</v>
      </c>
      <c r="T86" s="6"/>
      <c r="U86" s="6"/>
      <c r="V86" s="6"/>
      <c r="W86" s="6" t="s">
        <v>82</v>
      </c>
      <c r="X86" s="6" t="s">
        <v>82</v>
      </c>
      <c r="Y86" s="8" t="s">
        <v>450</v>
      </c>
      <c r="Z86" s="6" t="s">
        <v>451</v>
      </c>
      <c r="AA86" s="6" t="s">
        <v>40</v>
      </c>
    </row>
    <row r="87" spans="1:27">
      <c r="A87" s="6">
        <v>86</v>
      </c>
      <c r="B87" s="6"/>
      <c r="C87" s="7">
        <v>46086</v>
      </c>
      <c r="D87" s="6" t="s">
        <v>28</v>
      </c>
      <c r="E87" s="6" t="s">
        <v>29</v>
      </c>
      <c r="F87" s="6" t="s">
        <v>30</v>
      </c>
      <c r="G87" s="6">
        <v>15</v>
      </c>
      <c r="H87" s="8" t="s">
        <v>452</v>
      </c>
      <c r="I87" s="8" t="s">
        <v>453</v>
      </c>
      <c r="J87" s="8" t="s">
        <v>454</v>
      </c>
      <c r="K87" s="8"/>
      <c r="L87" s="8">
        <v>9434.7800000000007</v>
      </c>
      <c r="M87" s="8">
        <v>9434.7800000000007</v>
      </c>
      <c r="N87" s="7"/>
      <c r="O87" s="6" t="s">
        <v>35</v>
      </c>
      <c r="P87" s="6" t="s">
        <v>35</v>
      </c>
      <c r="Q87" s="6" t="s">
        <v>36</v>
      </c>
      <c r="R87" s="6"/>
      <c r="S87" s="6">
        <f t="shared" si="1"/>
        <v>9434.7800000000007</v>
      </c>
      <c r="T87" s="6"/>
      <c r="U87" s="6"/>
      <c r="V87" s="6"/>
      <c r="W87" s="6" t="s">
        <v>124</v>
      </c>
      <c r="X87" s="6" t="s">
        <v>124</v>
      </c>
      <c r="Y87" s="8" t="s">
        <v>455</v>
      </c>
      <c r="Z87" s="6" t="s">
        <v>215</v>
      </c>
      <c r="AA87" s="6" t="s">
        <v>40</v>
      </c>
    </row>
    <row r="88" spans="1:27">
      <c r="A88" s="6">
        <v>87</v>
      </c>
      <c r="B88" s="6" t="s">
        <v>225</v>
      </c>
      <c r="C88" s="7">
        <v>46086</v>
      </c>
      <c r="D88" s="6" t="s">
        <v>28</v>
      </c>
      <c r="E88" s="6" t="s">
        <v>29</v>
      </c>
      <c r="F88" s="6" t="s">
        <v>30</v>
      </c>
      <c r="G88" s="6">
        <v>15</v>
      </c>
      <c r="H88" s="8" t="s">
        <v>456</v>
      </c>
      <c r="I88" s="8" t="s">
        <v>457</v>
      </c>
      <c r="J88" s="8" t="s">
        <v>458</v>
      </c>
      <c r="K88" s="8" t="s">
        <v>459</v>
      </c>
      <c r="L88" s="8">
        <v>7299.9</v>
      </c>
      <c r="M88" s="8">
        <v>7299.9</v>
      </c>
      <c r="N88" s="7"/>
      <c r="O88" s="6" t="s">
        <v>35</v>
      </c>
      <c r="P88" s="6" t="s">
        <v>35</v>
      </c>
      <c r="Q88" s="6" t="s">
        <v>36</v>
      </c>
      <c r="R88" s="6"/>
      <c r="S88" s="6">
        <f t="shared" si="1"/>
        <v>7299.9</v>
      </c>
      <c r="T88" s="6"/>
      <c r="U88" s="6"/>
      <c r="V88" s="6"/>
      <c r="W88" s="6" t="s">
        <v>460</v>
      </c>
      <c r="X88" s="6" t="s">
        <v>460</v>
      </c>
      <c r="Y88" s="8" t="s">
        <v>461</v>
      </c>
      <c r="Z88" s="6" t="s">
        <v>224</v>
      </c>
      <c r="AA88" s="6" t="s">
        <v>40</v>
      </c>
    </row>
    <row r="89" spans="1:27">
      <c r="A89" s="6">
        <v>88</v>
      </c>
      <c r="B89" s="6"/>
      <c r="C89" s="7">
        <v>46086</v>
      </c>
      <c r="D89" s="6" t="s">
        <v>28</v>
      </c>
      <c r="E89" s="6" t="s">
        <v>29</v>
      </c>
      <c r="F89" s="6" t="s">
        <v>30</v>
      </c>
      <c r="G89" s="6">
        <v>15</v>
      </c>
      <c r="H89" s="8" t="s">
        <v>462</v>
      </c>
      <c r="I89" s="8" t="s">
        <v>463</v>
      </c>
      <c r="J89" s="8" t="s">
        <v>464</v>
      </c>
      <c r="K89" s="8"/>
      <c r="L89" s="8">
        <v>9117.36</v>
      </c>
      <c r="M89" s="8">
        <v>9117.36</v>
      </c>
      <c r="N89" s="7"/>
      <c r="O89" s="6" t="s">
        <v>35</v>
      </c>
      <c r="P89" s="6" t="s">
        <v>35</v>
      </c>
      <c r="Q89" s="6" t="s">
        <v>36</v>
      </c>
      <c r="R89" s="6"/>
      <c r="S89" s="6">
        <f t="shared" si="1"/>
        <v>9117.36</v>
      </c>
      <c r="T89" s="6"/>
      <c r="U89" s="6"/>
      <c r="V89" s="6"/>
      <c r="W89" s="6" t="s">
        <v>110</v>
      </c>
      <c r="X89" s="6" t="s">
        <v>110</v>
      </c>
      <c r="Y89" s="8" t="s">
        <v>465</v>
      </c>
      <c r="Z89" s="6" t="s">
        <v>466</v>
      </c>
      <c r="AA89" s="6" t="s">
        <v>40</v>
      </c>
    </row>
    <row r="90" spans="1:27">
      <c r="A90" s="6">
        <v>89</v>
      </c>
      <c r="B90" s="6" t="s">
        <v>225</v>
      </c>
      <c r="C90" s="7">
        <v>46084</v>
      </c>
      <c r="D90" s="6" t="s">
        <v>28</v>
      </c>
      <c r="E90" s="6" t="s">
        <v>29</v>
      </c>
      <c r="F90" s="6" t="s">
        <v>30</v>
      </c>
      <c r="G90" s="6">
        <v>14</v>
      </c>
      <c r="H90" s="8" t="s">
        <v>467</v>
      </c>
      <c r="I90" s="8" t="s">
        <v>468</v>
      </c>
      <c r="J90" s="8" t="s">
        <v>469</v>
      </c>
      <c r="K90" s="8" t="s">
        <v>470</v>
      </c>
      <c r="L90" s="8">
        <v>7273.39</v>
      </c>
      <c r="M90" s="8">
        <v>7273.39</v>
      </c>
      <c r="N90" s="7"/>
      <c r="O90" s="6" t="s">
        <v>35</v>
      </c>
      <c r="P90" s="6" t="s">
        <v>35</v>
      </c>
      <c r="Q90" s="6" t="s">
        <v>36</v>
      </c>
      <c r="R90" s="6"/>
      <c r="S90" s="6">
        <f t="shared" si="1"/>
        <v>7273.39</v>
      </c>
      <c r="T90" s="6"/>
      <c r="U90" s="6"/>
      <c r="V90" s="6"/>
      <c r="W90" s="6" t="s">
        <v>117</v>
      </c>
      <c r="X90" s="6" t="s">
        <v>117</v>
      </c>
      <c r="Y90" s="8" t="s">
        <v>471</v>
      </c>
      <c r="Z90" s="6" t="s">
        <v>363</v>
      </c>
      <c r="AA90" s="6" t="s">
        <v>40</v>
      </c>
    </row>
    <row r="91" spans="1:27">
      <c r="A91" s="6">
        <v>90</v>
      </c>
      <c r="B91" s="6" t="s">
        <v>225</v>
      </c>
      <c r="C91" s="7">
        <v>46086</v>
      </c>
      <c r="D91" s="6" t="s">
        <v>28</v>
      </c>
      <c r="E91" s="6" t="s">
        <v>29</v>
      </c>
      <c r="F91" s="6" t="s">
        <v>30</v>
      </c>
      <c r="G91" s="6">
        <v>15</v>
      </c>
      <c r="H91" s="8" t="s">
        <v>472</v>
      </c>
      <c r="I91" s="8" t="s">
        <v>473</v>
      </c>
      <c r="J91" s="8" t="s">
        <v>474</v>
      </c>
      <c r="K91" s="8" t="s">
        <v>475</v>
      </c>
      <c r="L91" s="8">
        <v>7226.69</v>
      </c>
      <c r="M91" s="8">
        <v>7226.69</v>
      </c>
      <c r="N91" s="7"/>
      <c r="O91" s="6" t="s">
        <v>35</v>
      </c>
      <c r="P91" s="6" t="s">
        <v>35</v>
      </c>
      <c r="Q91" s="6" t="s">
        <v>36</v>
      </c>
      <c r="R91" s="6"/>
      <c r="S91" s="6">
        <f t="shared" si="1"/>
        <v>7226.69</v>
      </c>
      <c r="T91" s="6"/>
      <c r="U91" s="6"/>
      <c r="V91" s="6"/>
      <c r="W91" s="6" t="s">
        <v>37</v>
      </c>
      <c r="X91" s="6" t="s">
        <v>37</v>
      </c>
      <c r="Y91" s="8" t="s">
        <v>476</v>
      </c>
      <c r="Z91" s="6" t="s">
        <v>119</v>
      </c>
      <c r="AA91" s="6" t="s">
        <v>40</v>
      </c>
    </row>
    <row r="92" spans="1:27">
      <c r="A92" s="6">
        <v>91</v>
      </c>
      <c r="B92" s="6"/>
      <c r="C92" s="7">
        <v>46084</v>
      </c>
      <c r="D92" s="6" t="s">
        <v>28</v>
      </c>
      <c r="E92" s="6" t="s">
        <v>29</v>
      </c>
      <c r="F92" s="6" t="s">
        <v>30</v>
      </c>
      <c r="G92" s="6">
        <v>14</v>
      </c>
      <c r="H92" s="8" t="s">
        <v>477</v>
      </c>
      <c r="I92" s="8" t="s">
        <v>478</v>
      </c>
      <c r="J92" s="8" t="s">
        <v>479</v>
      </c>
      <c r="K92" s="8"/>
      <c r="L92" s="8">
        <v>5199.1499999999996</v>
      </c>
      <c r="M92" s="8">
        <v>5199.1499999999996</v>
      </c>
      <c r="N92" s="7"/>
      <c r="O92" s="6" t="s">
        <v>35</v>
      </c>
      <c r="P92" s="6" t="s">
        <v>35</v>
      </c>
      <c r="Q92" s="6" t="s">
        <v>36</v>
      </c>
      <c r="R92" s="6"/>
      <c r="S92" s="6">
        <f t="shared" si="1"/>
        <v>5199.1499999999996</v>
      </c>
      <c r="T92" s="6"/>
      <c r="U92" s="6"/>
      <c r="V92" s="6"/>
      <c r="W92" s="6" t="s">
        <v>55</v>
      </c>
      <c r="X92" s="6" t="s">
        <v>55</v>
      </c>
      <c r="Y92" s="8" t="s">
        <v>480</v>
      </c>
      <c r="Z92" s="6" t="s">
        <v>215</v>
      </c>
      <c r="AA92" s="6" t="s">
        <v>40</v>
      </c>
    </row>
    <row r="93" spans="1:27">
      <c r="A93" s="6">
        <v>92</v>
      </c>
      <c r="B93" s="6" t="s">
        <v>225</v>
      </c>
      <c r="C93" s="7">
        <v>46086</v>
      </c>
      <c r="D93" s="6" t="s">
        <v>28</v>
      </c>
      <c r="E93" s="6" t="s">
        <v>29</v>
      </c>
      <c r="F93" s="6" t="s">
        <v>30</v>
      </c>
      <c r="G93" s="6">
        <v>15</v>
      </c>
      <c r="H93" s="8" t="s">
        <v>481</v>
      </c>
      <c r="I93" s="8" t="s">
        <v>482</v>
      </c>
      <c r="J93" s="8" t="s">
        <v>483</v>
      </c>
      <c r="K93" s="8" t="s">
        <v>484</v>
      </c>
      <c r="L93" s="8">
        <v>8867.2099999999991</v>
      </c>
      <c r="M93" s="8">
        <v>8867.2099999999991</v>
      </c>
      <c r="N93" s="7"/>
      <c r="O93" s="6" t="s">
        <v>35</v>
      </c>
      <c r="P93" s="6" t="s">
        <v>35</v>
      </c>
      <c r="Q93" s="6" t="s">
        <v>36</v>
      </c>
      <c r="R93" s="6"/>
      <c r="S93" s="6">
        <f t="shared" si="1"/>
        <v>8867.2099999999991</v>
      </c>
      <c r="T93" s="6"/>
      <c r="U93" s="6"/>
      <c r="V93" s="6"/>
      <c r="W93" s="6" t="s">
        <v>89</v>
      </c>
      <c r="X93" s="6" t="s">
        <v>89</v>
      </c>
      <c r="Y93" s="8" t="s">
        <v>485</v>
      </c>
      <c r="Z93" s="6" t="s">
        <v>215</v>
      </c>
      <c r="AA93" s="6" t="s">
        <v>40</v>
      </c>
    </row>
    <row r="94" spans="1:27">
      <c r="A94" s="6">
        <v>93</v>
      </c>
      <c r="B94" s="6"/>
      <c r="C94" s="7">
        <v>46086</v>
      </c>
      <c r="D94" s="6" t="s">
        <v>28</v>
      </c>
      <c r="E94" s="6" t="s">
        <v>29</v>
      </c>
      <c r="F94" s="6" t="s">
        <v>30</v>
      </c>
      <c r="G94" s="6">
        <v>15</v>
      </c>
      <c r="H94" s="8" t="s">
        <v>486</v>
      </c>
      <c r="I94" s="8" t="s">
        <v>487</v>
      </c>
      <c r="J94" s="8" t="s">
        <v>488</v>
      </c>
      <c r="K94" s="8"/>
      <c r="L94" s="8">
        <v>7004.14</v>
      </c>
      <c r="M94" s="8">
        <v>7004.14</v>
      </c>
      <c r="N94" s="7"/>
      <c r="O94" s="6" t="s">
        <v>35</v>
      </c>
      <c r="P94" s="6" t="s">
        <v>35</v>
      </c>
      <c r="Q94" s="6" t="s">
        <v>36</v>
      </c>
      <c r="R94" s="6"/>
      <c r="S94" s="6">
        <f t="shared" si="1"/>
        <v>7004.14</v>
      </c>
      <c r="T94" s="6"/>
      <c r="U94" s="6"/>
      <c r="V94" s="6"/>
      <c r="W94" s="6" t="s">
        <v>69</v>
      </c>
      <c r="X94" s="6" t="s">
        <v>69</v>
      </c>
      <c r="Y94" s="8" t="s">
        <v>489</v>
      </c>
      <c r="Z94" s="6" t="s">
        <v>490</v>
      </c>
      <c r="AA94" s="6" t="s">
        <v>40</v>
      </c>
    </row>
    <row r="95" spans="1:27">
      <c r="A95" s="6">
        <v>94</v>
      </c>
      <c r="B95" s="6" t="s">
        <v>225</v>
      </c>
      <c r="C95" s="7">
        <v>46086</v>
      </c>
      <c r="D95" s="6" t="s">
        <v>28</v>
      </c>
      <c r="E95" s="6" t="s">
        <v>29</v>
      </c>
      <c r="F95" s="6" t="s">
        <v>30</v>
      </c>
      <c r="G95" s="6">
        <v>15</v>
      </c>
      <c r="H95" s="8" t="s">
        <v>491</v>
      </c>
      <c r="I95" s="8" t="s">
        <v>492</v>
      </c>
      <c r="J95" s="8" t="s">
        <v>493</v>
      </c>
      <c r="K95" s="8" t="s">
        <v>494</v>
      </c>
      <c r="L95" s="8">
        <v>7584.31</v>
      </c>
      <c r="M95" s="8">
        <v>7584.31</v>
      </c>
      <c r="N95" s="7"/>
      <c r="O95" s="6" t="s">
        <v>35</v>
      </c>
      <c r="P95" s="6" t="s">
        <v>35</v>
      </c>
      <c r="Q95" s="6" t="s">
        <v>36</v>
      </c>
      <c r="R95" s="6"/>
      <c r="S95" s="6">
        <f t="shared" si="1"/>
        <v>7584.31</v>
      </c>
      <c r="T95" s="6"/>
      <c r="U95" s="6"/>
      <c r="V95" s="6"/>
      <c r="W95" s="6" t="s">
        <v>110</v>
      </c>
      <c r="X95" s="6" t="s">
        <v>110</v>
      </c>
      <c r="Y95" s="8" t="s">
        <v>495</v>
      </c>
      <c r="Z95" s="6" t="s">
        <v>215</v>
      </c>
      <c r="AA95" s="6" t="s">
        <v>40</v>
      </c>
    </row>
    <row r="96" spans="1:27">
      <c r="A96" s="6">
        <v>95</v>
      </c>
      <c r="B96" s="6"/>
      <c r="C96" s="7">
        <v>46084</v>
      </c>
      <c r="D96" s="6" t="s">
        <v>28</v>
      </c>
      <c r="E96" s="6" t="s">
        <v>29</v>
      </c>
      <c r="F96" s="6" t="s">
        <v>30</v>
      </c>
      <c r="G96" s="6">
        <v>14</v>
      </c>
      <c r="H96" s="8" t="s">
        <v>418</v>
      </c>
      <c r="I96" s="8" t="s">
        <v>419</v>
      </c>
      <c r="J96" s="8" t="s">
        <v>496</v>
      </c>
      <c r="K96" s="8"/>
      <c r="L96" s="8">
        <v>9920.44</v>
      </c>
      <c r="M96" s="8">
        <v>9920.44</v>
      </c>
      <c r="N96" s="7"/>
      <c r="O96" s="6" t="s">
        <v>35</v>
      </c>
      <c r="P96" s="6" t="s">
        <v>35</v>
      </c>
      <c r="Q96" s="6" t="s">
        <v>36</v>
      </c>
      <c r="R96" s="6"/>
      <c r="S96" s="6">
        <f t="shared" si="1"/>
        <v>9920.44</v>
      </c>
      <c r="T96" s="6"/>
      <c r="U96" s="6"/>
      <c r="V96" s="6"/>
      <c r="W96" s="6" t="s">
        <v>76</v>
      </c>
      <c r="X96" s="6" t="s">
        <v>76</v>
      </c>
      <c r="Y96" s="8" t="s">
        <v>497</v>
      </c>
      <c r="Z96" s="6" t="s">
        <v>404</v>
      </c>
      <c r="AA96" s="6" t="s">
        <v>40</v>
      </c>
    </row>
    <row r="97" spans="1:27">
      <c r="A97" s="6">
        <v>96</v>
      </c>
      <c r="B97" s="6" t="s">
        <v>225</v>
      </c>
      <c r="C97" s="7">
        <v>46084</v>
      </c>
      <c r="D97" s="6" t="s">
        <v>28</v>
      </c>
      <c r="E97" s="6" t="s">
        <v>29</v>
      </c>
      <c r="F97" s="6" t="s">
        <v>30</v>
      </c>
      <c r="G97" s="6">
        <v>14</v>
      </c>
      <c r="H97" s="8" t="s">
        <v>498</v>
      </c>
      <c r="I97" s="8" t="s">
        <v>499</v>
      </c>
      <c r="J97" s="8" t="s">
        <v>500</v>
      </c>
      <c r="K97" s="8" t="s">
        <v>501</v>
      </c>
      <c r="L97" s="8">
        <v>5558.8</v>
      </c>
      <c r="M97" s="8">
        <v>5558.8</v>
      </c>
      <c r="N97" s="7"/>
      <c r="O97" s="6" t="s">
        <v>35</v>
      </c>
      <c r="P97" s="6" t="s">
        <v>35</v>
      </c>
      <c r="Q97" s="6" t="s">
        <v>36</v>
      </c>
      <c r="R97" s="6"/>
      <c r="S97" s="6">
        <f t="shared" si="1"/>
        <v>5558.8</v>
      </c>
      <c r="T97" s="6"/>
      <c r="U97" s="6"/>
      <c r="V97" s="6"/>
      <c r="W97" s="6" t="s">
        <v>62</v>
      </c>
      <c r="X97" s="6" t="s">
        <v>62</v>
      </c>
      <c r="Y97" s="8" t="s">
        <v>502</v>
      </c>
      <c r="Z97" s="6" t="s">
        <v>352</v>
      </c>
      <c r="AA97" s="6" t="s">
        <v>40</v>
      </c>
    </row>
    <row r="98" spans="1:27">
      <c r="A98" s="6">
        <v>97</v>
      </c>
      <c r="B98" s="6"/>
      <c r="C98" s="7">
        <v>46086</v>
      </c>
      <c r="D98" s="6" t="s">
        <v>28</v>
      </c>
      <c r="E98" s="6" t="s">
        <v>29</v>
      </c>
      <c r="F98" s="6" t="s">
        <v>30</v>
      </c>
      <c r="G98" s="6">
        <v>15</v>
      </c>
      <c r="H98" s="8" t="s">
        <v>503</v>
      </c>
      <c r="I98" s="8" t="s">
        <v>504</v>
      </c>
      <c r="J98" s="8" t="s">
        <v>505</v>
      </c>
      <c r="K98" s="8"/>
      <c r="L98" s="8">
        <v>4246.84</v>
      </c>
      <c r="M98" s="8">
        <v>4246.84</v>
      </c>
      <c r="N98" s="7"/>
      <c r="O98" s="6" t="s">
        <v>35</v>
      </c>
      <c r="P98" s="6" t="s">
        <v>35</v>
      </c>
      <c r="Q98" s="6" t="s">
        <v>36</v>
      </c>
      <c r="R98" s="6"/>
      <c r="S98" s="6">
        <f t="shared" si="1"/>
        <v>4246.84</v>
      </c>
      <c r="T98" s="6"/>
      <c r="U98" s="6"/>
      <c r="V98" s="6"/>
      <c r="W98" s="6" t="s">
        <v>460</v>
      </c>
      <c r="X98" s="6" t="s">
        <v>460</v>
      </c>
      <c r="Y98" s="8" t="s">
        <v>506</v>
      </c>
      <c r="Z98" s="6" t="s">
        <v>507</v>
      </c>
      <c r="AA98" s="6" t="s">
        <v>40</v>
      </c>
    </row>
    <row r="99" spans="1:27">
      <c r="A99" s="6">
        <v>98</v>
      </c>
      <c r="B99" s="6" t="s">
        <v>225</v>
      </c>
      <c r="C99" s="7">
        <v>46084</v>
      </c>
      <c r="D99" s="6" t="s">
        <v>28</v>
      </c>
      <c r="E99" s="6" t="s">
        <v>29</v>
      </c>
      <c r="F99" s="6" t="s">
        <v>30</v>
      </c>
      <c r="G99" s="6">
        <v>14</v>
      </c>
      <c r="H99" s="8" t="s">
        <v>508</v>
      </c>
      <c r="I99" s="8" t="s">
        <v>509</v>
      </c>
      <c r="J99" s="8" t="s">
        <v>510</v>
      </c>
      <c r="K99" s="8" t="s">
        <v>511</v>
      </c>
      <c r="L99" s="8">
        <v>4624.84</v>
      </c>
      <c r="M99" s="8">
        <v>4624.84</v>
      </c>
      <c r="N99" s="7"/>
      <c r="O99" s="6" t="s">
        <v>35</v>
      </c>
      <c r="P99" s="6" t="s">
        <v>35</v>
      </c>
      <c r="Q99" s="6" t="s">
        <v>36</v>
      </c>
      <c r="R99" s="6"/>
      <c r="S99" s="6">
        <f t="shared" si="1"/>
        <v>4624.84</v>
      </c>
      <c r="T99" s="6"/>
      <c r="U99" s="6"/>
      <c r="V99" s="6"/>
      <c r="W99" s="6" t="s">
        <v>69</v>
      </c>
      <c r="X99" s="6" t="s">
        <v>69</v>
      </c>
      <c r="Y99" s="8" t="s">
        <v>512</v>
      </c>
      <c r="Z99" s="6" t="s">
        <v>160</v>
      </c>
      <c r="AA99" s="6" t="s">
        <v>40</v>
      </c>
    </row>
    <row r="100" spans="1:27">
      <c r="A100" s="6">
        <v>99</v>
      </c>
      <c r="B100" s="6" t="s">
        <v>225</v>
      </c>
      <c r="C100" s="7">
        <v>46084</v>
      </c>
      <c r="D100" s="6" t="s">
        <v>28</v>
      </c>
      <c r="E100" s="6" t="s">
        <v>29</v>
      </c>
      <c r="F100" s="6" t="s">
        <v>30</v>
      </c>
      <c r="G100" s="6">
        <v>14</v>
      </c>
      <c r="H100" s="8" t="s">
        <v>513</v>
      </c>
      <c r="I100" s="8" t="s">
        <v>514</v>
      </c>
      <c r="J100" s="8" t="s">
        <v>515</v>
      </c>
      <c r="K100" s="8" t="s">
        <v>516</v>
      </c>
      <c r="L100" s="8">
        <v>3165.67</v>
      </c>
      <c r="M100" s="8">
        <v>3165.67</v>
      </c>
      <c r="N100" s="7"/>
      <c r="O100" s="6" t="s">
        <v>35</v>
      </c>
      <c r="P100" s="6" t="s">
        <v>35</v>
      </c>
      <c r="Q100" s="6" t="s">
        <v>36</v>
      </c>
      <c r="R100" s="6"/>
      <c r="S100" s="6">
        <f t="shared" si="1"/>
        <v>3165.67</v>
      </c>
      <c r="T100" s="6"/>
      <c r="U100" s="6"/>
      <c r="V100" s="6"/>
      <c r="W100" s="6" t="s">
        <v>124</v>
      </c>
      <c r="X100" s="6" t="s">
        <v>124</v>
      </c>
      <c r="Y100" s="8" t="s">
        <v>517</v>
      </c>
      <c r="Z100" s="6" t="s">
        <v>57</v>
      </c>
      <c r="AA100" s="6" t="s">
        <v>40</v>
      </c>
    </row>
    <row r="101" spans="1:27">
      <c r="A101" s="6">
        <v>100</v>
      </c>
      <c r="B101" s="6"/>
      <c r="C101" s="7">
        <v>46084</v>
      </c>
      <c r="D101" s="6" t="s">
        <v>28</v>
      </c>
      <c r="E101" s="6" t="s">
        <v>29</v>
      </c>
      <c r="F101" s="6" t="s">
        <v>30</v>
      </c>
      <c r="G101" s="6">
        <v>14</v>
      </c>
      <c r="H101" s="8" t="s">
        <v>518</v>
      </c>
      <c r="I101" s="8" t="s">
        <v>519</v>
      </c>
      <c r="J101" s="8" t="s">
        <v>520</v>
      </c>
      <c r="K101" s="8"/>
      <c r="L101" s="8">
        <v>4411.76</v>
      </c>
      <c r="M101" s="8">
        <v>4411.76</v>
      </c>
      <c r="N101" s="7"/>
      <c r="O101" s="6" t="s">
        <v>35</v>
      </c>
      <c r="P101" s="6" t="s">
        <v>35</v>
      </c>
      <c r="Q101" s="6" t="s">
        <v>36</v>
      </c>
      <c r="R101" s="6"/>
      <c r="S101" s="6">
        <f t="shared" si="1"/>
        <v>4411.76</v>
      </c>
      <c r="T101" s="6"/>
      <c r="U101" s="6"/>
      <c r="V101" s="6"/>
      <c r="W101" s="6" t="s">
        <v>460</v>
      </c>
      <c r="X101" s="6" t="s">
        <v>460</v>
      </c>
      <c r="Y101" s="8" t="s">
        <v>521</v>
      </c>
      <c r="Z101" s="6" t="s">
        <v>522</v>
      </c>
      <c r="AA101" s="6" t="s">
        <v>40</v>
      </c>
    </row>
    <row r="102" spans="1:27">
      <c r="A102" s="6">
        <v>101</v>
      </c>
      <c r="B102" s="6"/>
      <c r="C102" s="7">
        <v>46086</v>
      </c>
      <c r="D102" s="6" t="s">
        <v>28</v>
      </c>
      <c r="E102" s="6" t="s">
        <v>29</v>
      </c>
      <c r="F102" s="6" t="s">
        <v>30</v>
      </c>
      <c r="G102" s="6">
        <v>15</v>
      </c>
      <c r="H102" s="8" t="s">
        <v>523</v>
      </c>
      <c r="I102" s="8" t="s">
        <v>524</v>
      </c>
      <c r="J102" s="8" t="s">
        <v>525</v>
      </c>
      <c r="K102" s="8"/>
      <c r="L102" s="8">
        <v>4235</v>
      </c>
      <c r="M102" s="8">
        <v>4235</v>
      </c>
      <c r="N102" s="7"/>
      <c r="O102" s="6" t="s">
        <v>35</v>
      </c>
      <c r="P102" s="6" t="s">
        <v>35</v>
      </c>
      <c r="Q102" s="6" t="s">
        <v>36</v>
      </c>
      <c r="R102" s="6"/>
      <c r="S102" s="6">
        <f t="shared" si="1"/>
        <v>4235</v>
      </c>
      <c r="T102" s="6"/>
      <c r="U102" s="6"/>
      <c r="V102" s="6"/>
      <c r="W102" s="6" t="s">
        <v>526</v>
      </c>
      <c r="X102" s="6" t="s">
        <v>526</v>
      </c>
      <c r="Y102" s="8" t="s">
        <v>527</v>
      </c>
      <c r="Z102" s="6" t="s">
        <v>528</v>
      </c>
      <c r="AA102" s="6" t="s">
        <v>40</v>
      </c>
    </row>
    <row r="103" spans="1:27">
      <c r="A103" s="6">
        <v>102</v>
      </c>
      <c r="B103" s="6"/>
      <c r="C103" s="7">
        <v>46086</v>
      </c>
      <c r="D103" s="6" t="s">
        <v>28</v>
      </c>
      <c r="E103" s="6" t="s">
        <v>29</v>
      </c>
      <c r="F103" s="6" t="s">
        <v>30</v>
      </c>
      <c r="G103" s="6">
        <v>15</v>
      </c>
      <c r="H103" s="8" t="s">
        <v>529</v>
      </c>
      <c r="I103" s="8" t="s">
        <v>530</v>
      </c>
      <c r="J103" s="8" t="s">
        <v>531</v>
      </c>
      <c r="K103" s="8"/>
      <c r="L103" s="8">
        <v>5048.45</v>
      </c>
      <c r="M103" s="8">
        <v>5048.45</v>
      </c>
      <c r="N103" s="7"/>
      <c r="O103" s="6" t="s">
        <v>35</v>
      </c>
      <c r="P103" s="6" t="s">
        <v>35</v>
      </c>
      <c r="Q103" s="6" t="s">
        <v>36</v>
      </c>
      <c r="R103" s="6"/>
      <c r="S103" s="6">
        <f t="shared" si="1"/>
        <v>5048.45</v>
      </c>
      <c r="T103" s="6"/>
      <c r="U103" s="6"/>
      <c r="V103" s="6"/>
      <c r="W103" s="6" t="s">
        <v>82</v>
      </c>
      <c r="X103" s="6" t="s">
        <v>82</v>
      </c>
      <c r="Y103" s="8" t="s">
        <v>532</v>
      </c>
      <c r="Z103" s="6" t="s">
        <v>224</v>
      </c>
      <c r="AA103" s="6" t="s">
        <v>40</v>
      </c>
    </row>
    <row r="104" spans="1:27">
      <c r="A104" s="6">
        <v>103</v>
      </c>
      <c r="B104" s="6" t="s">
        <v>225</v>
      </c>
      <c r="C104" s="7">
        <v>46086</v>
      </c>
      <c r="D104" s="6" t="s">
        <v>28</v>
      </c>
      <c r="E104" s="6" t="s">
        <v>29</v>
      </c>
      <c r="F104" s="6" t="s">
        <v>30</v>
      </c>
      <c r="G104" s="6">
        <v>15</v>
      </c>
      <c r="H104" s="8" t="s">
        <v>533</v>
      </c>
      <c r="I104" s="8" t="s">
        <v>534</v>
      </c>
      <c r="J104" s="8" t="s">
        <v>535</v>
      </c>
      <c r="K104" s="8" t="s">
        <v>536</v>
      </c>
      <c r="L104" s="8">
        <v>3590.54</v>
      </c>
      <c r="M104" s="8">
        <v>3590.54</v>
      </c>
      <c r="N104" s="7"/>
      <c r="O104" s="6" t="s">
        <v>35</v>
      </c>
      <c r="P104" s="6" t="s">
        <v>35</v>
      </c>
      <c r="Q104" s="6" t="s">
        <v>36</v>
      </c>
      <c r="R104" s="6"/>
      <c r="S104" s="6">
        <f t="shared" si="1"/>
        <v>3590.54</v>
      </c>
      <c r="T104" s="6"/>
      <c r="U104" s="6"/>
      <c r="V104" s="6"/>
      <c r="W104" s="6" t="s">
        <v>103</v>
      </c>
      <c r="X104" s="6" t="s">
        <v>103</v>
      </c>
      <c r="Y104" s="8" t="s">
        <v>537</v>
      </c>
      <c r="Z104" s="6" t="s">
        <v>538</v>
      </c>
      <c r="AA104" s="6" t="s">
        <v>40</v>
      </c>
    </row>
    <row r="105" spans="1:27">
      <c r="A105" s="6">
        <v>104</v>
      </c>
      <c r="B105" s="6" t="s">
        <v>225</v>
      </c>
      <c r="C105" s="7">
        <v>46084</v>
      </c>
      <c r="D105" s="6" t="s">
        <v>28</v>
      </c>
      <c r="E105" s="6" t="s">
        <v>29</v>
      </c>
      <c r="F105" s="6" t="s">
        <v>30</v>
      </c>
      <c r="G105" s="6">
        <v>14</v>
      </c>
      <c r="H105" s="8" t="s">
        <v>539</v>
      </c>
      <c r="I105" s="8" t="s">
        <v>540</v>
      </c>
      <c r="J105" s="8" t="s">
        <v>541</v>
      </c>
      <c r="K105" s="8" t="s">
        <v>542</v>
      </c>
      <c r="L105" s="8">
        <v>2254.4</v>
      </c>
      <c r="M105" s="8">
        <v>2254.4</v>
      </c>
      <c r="N105" s="7"/>
      <c r="O105" s="6" t="s">
        <v>35</v>
      </c>
      <c r="P105" s="6" t="s">
        <v>35</v>
      </c>
      <c r="Q105" s="6" t="s">
        <v>36</v>
      </c>
      <c r="R105" s="6"/>
      <c r="S105" s="6">
        <f t="shared" si="1"/>
        <v>2254.4</v>
      </c>
      <c r="T105" s="6"/>
      <c r="U105" s="6"/>
      <c r="V105" s="6"/>
      <c r="W105" s="6" t="s">
        <v>444</v>
      </c>
      <c r="X105" s="6" t="s">
        <v>444</v>
      </c>
      <c r="Y105" s="8" t="s">
        <v>543</v>
      </c>
      <c r="Z105" s="6" t="s">
        <v>172</v>
      </c>
      <c r="AA105" s="6" t="s">
        <v>40</v>
      </c>
    </row>
    <row r="106" spans="1:27">
      <c r="A106" s="6">
        <v>105</v>
      </c>
      <c r="B106" s="6" t="s">
        <v>225</v>
      </c>
      <c r="C106" s="7">
        <v>46084</v>
      </c>
      <c r="D106" s="6" t="s">
        <v>28</v>
      </c>
      <c r="E106" s="6" t="s">
        <v>29</v>
      </c>
      <c r="F106" s="6" t="s">
        <v>30</v>
      </c>
      <c r="G106" s="6">
        <v>14</v>
      </c>
      <c r="H106" s="8" t="s">
        <v>544</v>
      </c>
      <c r="I106" s="8" t="s">
        <v>545</v>
      </c>
      <c r="J106" s="8" t="s">
        <v>546</v>
      </c>
      <c r="K106" s="8" t="s">
        <v>547</v>
      </c>
      <c r="L106" s="8">
        <v>1949.98</v>
      </c>
      <c r="M106" s="8">
        <v>1949.98</v>
      </c>
      <c r="N106" s="7"/>
      <c r="O106" s="6" t="s">
        <v>35</v>
      </c>
      <c r="P106" s="6" t="s">
        <v>35</v>
      </c>
      <c r="Q106" s="6" t="s">
        <v>36</v>
      </c>
      <c r="R106" s="6"/>
      <c r="S106" s="6">
        <f t="shared" si="1"/>
        <v>1949.98</v>
      </c>
      <c r="T106" s="6"/>
      <c r="U106" s="6"/>
      <c r="V106" s="6"/>
      <c r="W106" s="6" t="s">
        <v>82</v>
      </c>
      <c r="X106" s="6" t="s">
        <v>82</v>
      </c>
      <c r="Y106" s="8" t="s">
        <v>548</v>
      </c>
      <c r="Z106" s="6" t="s">
        <v>549</v>
      </c>
      <c r="AA106" s="6" t="s">
        <v>40</v>
      </c>
    </row>
    <row r="107" spans="1:27">
      <c r="A107" s="6">
        <v>106</v>
      </c>
      <c r="B107" s="6" t="s">
        <v>225</v>
      </c>
      <c r="C107" s="7">
        <v>46086</v>
      </c>
      <c r="D107" s="6" t="s">
        <v>28</v>
      </c>
      <c r="E107" s="6" t="s">
        <v>29</v>
      </c>
      <c r="F107" s="6" t="s">
        <v>30</v>
      </c>
      <c r="G107" s="6">
        <v>15</v>
      </c>
      <c r="H107" s="8" t="s">
        <v>550</v>
      </c>
      <c r="I107" s="8" t="s">
        <v>551</v>
      </c>
      <c r="J107" s="8" t="s">
        <v>552</v>
      </c>
      <c r="K107" s="8" t="s">
        <v>553</v>
      </c>
      <c r="L107" s="8">
        <v>2171.94</v>
      </c>
      <c r="M107" s="8">
        <v>2171.94</v>
      </c>
      <c r="N107" s="7"/>
      <c r="O107" s="6" t="s">
        <v>35</v>
      </c>
      <c r="P107" s="6" t="s">
        <v>35</v>
      </c>
      <c r="Q107" s="6" t="s">
        <v>36</v>
      </c>
      <c r="R107" s="6"/>
      <c r="S107" s="6">
        <f t="shared" si="1"/>
        <v>2171.94</v>
      </c>
      <c r="T107" s="6"/>
      <c r="U107" s="6"/>
      <c r="V107" s="6"/>
      <c r="W107" s="6" t="s">
        <v>76</v>
      </c>
      <c r="X107" s="6" t="s">
        <v>76</v>
      </c>
      <c r="Y107" s="8" t="s">
        <v>554</v>
      </c>
      <c r="Z107" s="6" t="s">
        <v>555</v>
      </c>
      <c r="AA107" s="6" t="s">
        <v>40</v>
      </c>
    </row>
    <row r="108" spans="1:27">
      <c r="A108" s="6">
        <v>107</v>
      </c>
      <c r="B108" s="6" t="s">
        <v>225</v>
      </c>
      <c r="C108" s="7">
        <v>46086</v>
      </c>
      <c r="D108" s="6" t="s">
        <v>28</v>
      </c>
      <c r="E108" s="6" t="s">
        <v>29</v>
      </c>
      <c r="F108" s="6" t="s">
        <v>30</v>
      </c>
      <c r="G108" s="6">
        <v>15</v>
      </c>
      <c r="H108" s="8" t="s">
        <v>556</v>
      </c>
      <c r="I108" s="8" t="s">
        <v>557</v>
      </c>
      <c r="J108" s="8" t="s">
        <v>558</v>
      </c>
      <c r="K108" s="8" t="s">
        <v>559</v>
      </c>
      <c r="L108" s="8">
        <v>2050.36</v>
      </c>
      <c r="M108" s="8">
        <v>2050.36</v>
      </c>
      <c r="N108" s="7"/>
      <c r="O108" s="6" t="s">
        <v>35</v>
      </c>
      <c r="P108" s="6" t="s">
        <v>35</v>
      </c>
      <c r="Q108" s="6" t="s">
        <v>36</v>
      </c>
      <c r="R108" s="6"/>
      <c r="S108" s="6">
        <f t="shared" si="1"/>
        <v>2050.36</v>
      </c>
      <c r="T108" s="6"/>
      <c r="U108" s="6"/>
      <c r="V108" s="6"/>
      <c r="W108" s="6" t="s">
        <v>124</v>
      </c>
      <c r="X108" s="6" t="s">
        <v>124</v>
      </c>
      <c r="Y108" s="8" t="s">
        <v>560</v>
      </c>
      <c r="Z108" s="6" t="s">
        <v>363</v>
      </c>
      <c r="AA108" s="6" t="s">
        <v>40</v>
      </c>
    </row>
    <row r="109" spans="1:27">
      <c r="A109" s="6">
        <v>108</v>
      </c>
      <c r="B109" s="6"/>
      <c r="C109" s="7">
        <v>46084</v>
      </c>
      <c r="D109" s="6" t="s">
        <v>28</v>
      </c>
      <c r="E109" s="6" t="s">
        <v>29</v>
      </c>
      <c r="F109" s="6" t="s">
        <v>30</v>
      </c>
      <c r="G109" s="6">
        <v>14</v>
      </c>
      <c r="H109" s="8" t="s">
        <v>561</v>
      </c>
      <c r="I109" s="8" t="s">
        <v>562</v>
      </c>
      <c r="J109" s="8" t="s">
        <v>563</v>
      </c>
      <c r="K109" s="8" t="s">
        <v>564</v>
      </c>
      <c r="L109" s="8">
        <v>2076</v>
      </c>
      <c r="M109" s="8">
        <v>2076</v>
      </c>
      <c r="N109" s="7"/>
      <c r="O109" s="6" t="s">
        <v>35</v>
      </c>
      <c r="P109" s="6" t="s">
        <v>35</v>
      </c>
      <c r="Q109" s="6" t="s">
        <v>36</v>
      </c>
      <c r="R109" s="6"/>
      <c r="S109" s="6">
        <f t="shared" si="1"/>
        <v>2076</v>
      </c>
      <c r="T109" s="6"/>
      <c r="U109" s="6"/>
      <c r="V109" s="6"/>
      <c r="W109" s="6" t="s">
        <v>89</v>
      </c>
      <c r="X109" s="6" t="s">
        <v>89</v>
      </c>
      <c r="Y109" s="8" t="s">
        <v>565</v>
      </c>
      <c r="Z109" s="6" t="s">
        <v>522</v>
      </c>
      <c r="AA109" s="6" t="s">
        <v>40</v>
      </c>
    </row>
    <row r="110" spans="1:27">
      <c r="A110" s="6">
        <v>109</v>
      </c>
      <c r="B110" s="6" t="s">
        <v>225</v>
      </c>
      <c r="C110" s="7">
        <v>46084</v>
      </c>
      <c r="D110" s="6" t="s">
        <v>28</v>
      </c>
      <c r="E110" s="6" t="s">
        <v>29</v>
      </c>
      <c r="F110" s="6" t="s">
        <v>30</v>
      </c>
      <c r="G110" s="6">
        <v>14</v>
      </c>
      <c r="H110" s="8" t="s">
        <v>566</v>
      </c>
      <c r="I110" s="8" t="s">
        <v>567</v>
      </c>
      <c r="J110" s="8" t="s">
        <v>568</v>
      </c>
      <c r="K110" s="8" t="s">
        <v>569</v>
      </c>
      <c r="L110" s="8">
        <v>2506.79</v>
      </c>
      <c r="M110" s="8">
        <v>2506.79</v>
      </c>
      <c r="N110" s="7"/>
      <c r="O110" s="6" t="s">
        <v>35</v>
      </c>
      <c r="P110" s="6" t="s">
        <v>35</v>
      </c>
      <c r="Q110" s="6" t="s">
        <v>36</v>
      </c>
      <c r="R110" s="6"/>
      <c r="S110" s="6">
        <f t="shared" si="1"/>
        <v>2506.79</v>
      </c>
      <c r="T110" s="6"/>
      <c r="U110" s="6"/>
      <c r="V110" s="6"/>
      <c r="W110" s="6" t="s">
        <v>526</v>
      </c>
      <c r="X110" s="6" t="s">
        <v>526</v>
      </c>
      <c r="Y110" s="8" t="s">
        <v>570</v>
      </c>
      <c r="Z110" s="6" t="s">
        <v>571</v>
      </c>
      <c r="AA110" s="6" t="s">
        <v>40</v>
      </c>
    </row>
    <row r="111" spans="1:27">
      <c r="A111" s="6">
        <v>110</v>
      </c>
      <c r="B111" s="6" t="s">
        <v>225</v>
      </c>
      <c r="C111" s="7">
        <v>46084</v>
      </c>
      <c r="D111" s="6" t="s">
        <v>28</v>
      </c>
      <c r="E111" s="6" t="s">
        <v>29</v>
      </c>
      <c r="F111" s="6" t="s">
        <v>30</v>
      </c>
      <c r="G111" s="6">
        <v>14</v>
      </c>
      <c r="H111" s="8" t="s">
        <v>572</v>
      </c>
      <c r="I111" s="8" t="s">
        <v>573</v>
      </c>
      <c r="J111" s="8" t="s">
        <v>574</v>
      </c>
      <c r="K111" s="8" t="s">
        <v>575</v>
      </c>
      <c r="L111" s="8">
        <v>1814.63</v>
      </c>
      <c r="M111" s="8">
        <v>1814.63</v>
      </c>
      <c r="N111" s="7"/>
      <c r="O111" s="6" t="s">
        <v>35</v>
      </c>
      <c r="P111" s="6" t="s">
        <v>35</v>
      </c>
      <c r="Q111" s="6" t="s">
        <v>36</v>
      </c>
      <c r="R111" s="6"/>
      <c r="S111" s="6">
        <f t="shared" si="1"/>
        <v>1814.63</v>
      </c>
      <c r="T111" s="6"/>
      <c r="U111" s="6"/>
      <c r="V111" s="6"/>
      <c r="W111" s="6" t="s">
        <v>410</v>
      </c>
      <c r="X111" s="6" t="s">
        <v>410</v>
      </c>
      <c r="Y111" s="8" t="s">
        <v>576</v>
      </c>
      <c r="Z111" s="6" t="s">
        <v>318</v>
      </c>
      <c r="AA111" s="6" t="s">
        <v>40</v>
      </c>
    </row>
    <row r="112" spans="1:27">
      <c r="A112" s="6">
        <v>111</v>
      </c>
      <c r="B112" s="6" t="s">
        <v>225</v>
      </c>
      <c r="C112" s="7">
        <v>46084</v>
      </c>
      <c r="D112" s="6" t="s">
        <v>28</v>
      </c>
      <c r="E112" s="6" t="s">
        <v>29</v>
      </c>
      <c r="F112" s="6" t="s">
        <v>30</v>
      </c>
      <c r="G112" s="6">
        <v>14</v>
      </c>
      <c r="H112" s="8" t="s">
        <v>577</v>
      </c>
      <c r="I112" s="8" t="s">
        <v>578</v>
      </c>
      <c r="J112" s="8" t="s">
        <v>579</v>
      </c>
      <c r="K112" s="8" t="s">
        <v>580</v>
      </c>
      <c r="L112" s="8">
        <v>3539.07</v>
      </c>
      <c r="M112" s="8">
        <v>3539.07</v>
      </c>
      <c r="N112" s="7"/>
      <c r="O112" s="6" t="s">
        <v>35</v>
      </c>
      <c r="P112" s="6" t="s">
        <v>35</v>
      </c>
      <c r="Q112" s="6" t="s">
        <v>36</v>
      </c>
      <c r="R112" s="6"/>
      <c r="S112" s="6">
        <f t="shared" si="1"/>
        <v>3539.07</v>
      </c>
      <c r="T112" s="6"/>
      <c r="U112" s="6"/>
      <c r="V112" s="6"/>
      <c r="W112" s="6" t="s">
        <v>76</v>
      </c>
      <c r="X112" s="6" t="s">
        <v>76</v>
      </c>
      <c r="Y112" s="8" t="s">
        <v>581</v>
      </c>
      <c r="Z112" s="6" t="s">
        <v>582</v>
      </c>
      <c r="AA112" s="6" t="s">
        <v>40</v>
      </c>
    </row>
    <row r="113" spans="1:27">
      <c r="A113" s="6">
        <v>112</v>
      </c>
      <c r="B113" s="6" t="s">
        <v>225</v>
      </c>
      <c r="C113" s="7">
        <v>46086</v>
      </c>
      <c r="D113" s="6" t="s">
        <v>28</v>
      </c>
      <c r="E113" s="6" t="s">
        <v>29</v>
      </c>
      <c r="F113" s="6" t="s">
        <v>30</v>
      </c>
      <c r="G113" s="6">
        <v>15</v>
      </c>
      <c r="H113" s="8" t="s">
        <v>583</v>
      </c>
      <c r="I113" s="8" t="s">
        <v>584</v>
      </c>
      <c r="J113" s="8" t="s">
        <v>585</v>
      </c>
      <c r="K113" s="8" t="s">
        <v>586</v>
      </c>
      <c r="L113" s="8">
        <v>6849.11</v>
      </c>
      <c r="M113" s="8">
        <v>6849.11</v>
      </c>
      <c r="N113" s="7"/>
      <c r="O113" s="6" t="s">
        <v>35</v>
      </c>
      <c r="P113" s="6" t="s">
        <v>35</v>
      </c>
      <c r="Q113" s="6" t="s">
        <v>36</v>
      </c>
      <c r="R113" s="6"/>
      <c r="S113" s="6">
        <f t="shared" si="1"/>
        <v>6849.11</v>
      </c>
      <c r="T113" s="6"/>
      <c r="U113" s="6"/>
      <c r="V113" s="6"/>
      <c r="W113" s="6" t="s">
        <v>460</v>
      </c>
      <c r="X113" s="6" t="s">
        <v>460</v>
      </c>
      <c r="Y113" s="8" t="s">
        <v>587</v>
      </c>
      <c r="Z113" s="6" t="s">
        <v>588</v>
      </c>
      <c r="AA113" s="6" t="s">
        <v>40</v>
      </c>
    </row>
    <row r="114" spans="1:27">
      <c r="A114" s="6">
        <v>113</v>
      </c>
      <c r="B114" s="6" t="s">
        <v>225</v>
      </c>
      <c r="C114" s="7">
        <v>46086</v>
      </c>
      <c r="D114" s="6" t="s">
        <v>28</v>
      </c>
      <c r="E114" s="6" t="s">
        <v>29</v>
      </c>
      <c r="F114" s="6" t="s">
        <v>30</v>
      </c>
      <c r="G114" s="6">
        <v>15</v>
      </c>
      <c r="H114" s="8" t="s">
        <v>589</v>
      </c>
      <c r="I114" s="8" t="s">
        <v>590</v>
      </c>
      <c r="J114" s="8" t="s">
        <v>591</v>
      </c>
      <c r="K114" s="8" t="s">
        <v>592</v>
      </c>
      <c r="L114" s="8">
        <v>1581.3</v>
      </c>
      <c r="M114" s="8">
        <v>1581.3</v>
      </c>
      <c r="N114" s="7"/>
      <c r="O114" s="6" t="s">
        <v>35</v>
      </c>
      <c r="P114" s="6" t="s">
        <v>35</v>
      </c>
      <c r="Q114" s="6" t="s">
        <v>36</v>
      </c>
      <c r="R114" s="6"/>
      <c r="S114" s="6">
        <f t="shared" si="1"/>
        <v>1581.3</v>
      </c>
      <c r="T114" s="6"/>
      <c r="U114" s="6"/>
      <c r="V114" s="6"/>
      <c r="W114" s="6" t="s">
        <v>55</v>
      </c>
      <c r="X114" s="6" t="s">
        <v>55</v>
      </c>
      <c r="Y114" s="8" t="s">
        <v>593</v>
      </c>
      <c r="Z114" s="6" t="s">
        <v>201</v>
      </c>
      <c r="AA114" s="6" t="s">
        <v>40</v>
      </c>
    </row>
    <row r="115" spans="1:27">
      <c r="A115" s="6">
        <v>114</v>
      </c>
      <c r="B115" s="6" t="s">
        <v>225</v>
      </c>
      <c r="C115" s="7">
        <v>46084</v>
      </c>
      <c r="D115" s="6" t="s">
        <v>28</v>
      </c>
      <c r="E115" s="6" t="s">
        <v>29</v>
      </c>
      <c r="F115" s="6" t="s">
        <v>30</v>
      </c>
      <c r="G115" s="6">
        <v>14</v>
      </c>
      <c r="H115" s="8" t="s">
        <v>594</v>
      </c>
      <c r="I115" s="8" t="s">
        <v>595</v>
      </c>
      <c r="J115" s="8" t="s">
        <v>596</v>
      </c>
      <c r="K115" s="8" t="s">
        <v>597</v>
      </c>
      <c r="L115" s="8">
        <v>1751.83</v>
      </c>
      <c r="M115" s="8">
        <v>1751.83</v>
      </c>
      <c r="N115" s="7"/>
      <c r="O115" s="6" t="s">
        <v>35</v>
      </c>
      <c r="P115" s="6" t="s">
        <v>35</v>
      </c>
      <c r="Q115" s="6" t="s">
        <v>36</v>
      </c>
      <c r="R115" s="6"/>
      <c r="S115" s="6">
        <f t="shared" si="1"/>
        <v>1751.83</v>
      </c>
      <c r="T115" s="6"/>
      <c r="U115" s="6"/>
      <c r="V115" s="6"/>
      <c r="W115" s="6" t="s">
        <v>82</v>
      </c>
      <c r="X115" s="6" t="s">
        <v>82</v>
      </c>
      <c r="Y115" s="8" t="s">
        <v>598</v>
      </c>
      <c r="Z115" s="6" t="s">
        <v>599</v>
      </c>
      <c r="AA115" s="6" t="s">
        <v>40</v>
      </c>
    </row>
    <row r="116" spans="1:27">
      <c r="A116" s="6">
        <v>115</v>
      </c>
      <c r="B116" s="6"/>
      <c r="C116" s="7">
        <v>46084</v>
      </c>
      <c r="D116" s="6" t="s">
        <v>28</v>
      </c>
      <c r="E116" s="6" t="s">
        <v>29</v>
      </c>
      <c r="F116" s="6" t="s">
        <v>30</v>
      </c>
      <c r="G116" s="6">
        <v>14</v>
      </c>
      <c r="H116" s="8" t="s">
        <v>600</v>
      </c>
      <c r="I116" s="8" t="s">
        <v>601</v>
      </c>
      <c r="J116" s="8" t="s">
        <v>602</v>
      </c>
      <c r="K116" s="8"/>
      <c r="L116" s="8">
        <v>2260.5</v>
      </c>
      <c r="M116" s="8">
        <v>2260.5</v>
      </c>
      <c r="N116" s="7"/>
      <c r="O116" s="6" t="s">
        <v>35</v>
      </c>
      <c r="P116" s="6" t="s">
        <v>35</v>
      </c>
      <c r="Q116" s="6" t="s">
        <v>36</v>
      </c>
      <c r="R116" s="6"/>
      <c r="S116" s="6">
        <f t="shared" si="1"/>
        <v>2260.5</v>
      </c>
      <c r="T116" s="6"/>
      <c r="U116" s="6"/>
      <c r="V116" s="6"/>
      <c r="W116" s="6" t="s">
        <v>444</v>
      </c>
      <c r="X116" s="6" t="s">
        <v>444</v>
      </c>
      <c r="Y116" s="8" t="s">
        <v>603</v>
      </c>
      <c r="Z116" s="6" t="s">
        <v>604</v>
      </c>
      <c r="AA116" s="6" t="s">
        <v>40</v>
      </c>
    </row>
    <row r="117" spans="1:27">
      <c r="A117" s="6">
        <v>116</v>
      </c>
      <c r="B117" s="6" t="s">
        <v>225</v>
      </c>
      <c r="C117" s="7">
        <v>46086</v>
      </c>
      <c r="D117" s="6" t="s">
        <v>28</v>
      </c>
      <c r="E117" s="6" t="s">
        <v>29</v>
      </c>
      <c r="F117" s="6" t="s">
        <v>30</v>
      </c>
      <c r="G117" s="6">
        <v>15</v>
      </c>
      <c r="H117" s="8" t="s">
        <v>605</v>
      </c>
      <c r="I117" s="8" t="s">
        <v>606</v>
      </c>
      <c r="J117" s="8" t="s">
        <v>607</v>
      </c>
      <c r="K117" s="8" t="s">
        <v>608</v>
      </c>
      <c r="L117" s="8">
        <v>13146.72</v>
      </c>
      <c r="M117" s="8">
        <v>13146.72</v>
      </c>
      <c r="N117" s="7"/>
      <c r="O117" s="6" t="s">
        <v>35</v>
      </c>
      <c r="P117" s="6" t="s">
        <v>35</v>
      </c>
      <c r="Q117" s="6" t="s">
        <v>36</v>
      </c>
      <c r="R117" s="6"/>
      <c r="S117" s="6">
        <f t="shared" si="1"/>
        <v>13146.72</v>
      </c>
      <c r="T117" s="6"/>
      <c r="U117" s="6"/>
      <c r="V117" s="6"/>
      <c r="W117" s="6" t="s">
        <v>76</v>
      </c>
      <c r="X117" s="6" t="s">
        <v>76</v>
      </c>
      <c r="Y117" s="8" t="s">
        <v>609</v>
      </c>
      <c r="Z117" s="6" t="s">
        <v>172</v>
      </c>
      <c r="AA117" s="6" t="s">
        <v>40</v>
      </c>
    </row>
    <row r="118" spans="1:27">
      <c r="A118" s="6">
        <v>117</v>
      </c>
      <c r="B118" s="6" t="s">
        <v>225</v>
      </c>
      <c r="C118" s="7">
        <v>46086</v>
      </c>
      <c r="D118" s="6" t="s">
        <v>28</v>
      </c>
      <c r="E118" s="6" t="s">
        <v>29</v>
      </c>
      <c r="F118" s="6" t="s">
        <v>30</v>
      </c>
      <c r="G118" s="6">
        <v>15</v>
      </c>
      <c r="H118" s="8" t="s">
        <v>610</v>
      </c>
      <c r="I118" s="8">
        <v>7989303978</v>
      </c>
      <c r="J118" s="8" t="s">
        <v>611</v>
      </c>
      <c r="K118" s="8" t="s">
        <v>612</v>
      </c>
      <c r="L118" s="8">
        <v>1380.44</v>
      </c>
      <c r="M118" s="8">
        <v>1380.44</v>
      </c>
      <c r="N118" s="7"/>
      <c r="O118" s="6" t="s">
        <v>35</v>
      </c>
      <c r="P118" s="6" t="s">
        <v>35</v>
      </c>
      <c r="Q118" s="6" t="s">
        <v>36</v>
      </c>
      <c r="R118" s="6"/>
      <c r="S118" s="6">
        <f t="shared" si="1"/>
        <v>1380.44</v>
      </c>
      <c r="T118" s="6"/>
      <c r="U118" s="6"/>
      <c r="V118" s="6"/>
      <c r="W118" s="6" t="s">
        <v>410</v>
      </c>
      <c r="X118" s="6" t="s">
        <v>410</v>
      </c>
      <c r="Y118" s="8" t="s">
        <v>613</v>
      </c>
      <c r="Z118" s="6" t="s">
        <v>172</v>
      </c>
      <c r="AA118" s="6" t="s">
        <v>40</v>
      </c>
    </row>
    <row r="119" spans="1:27">
      <c r="A119" s="6">
        <v>118</v>
      </c>
      <c r="B119" s="6" t="s">
        <v>225</v>
      </c>
      <c r="C119" s="7">
        <v>46086</v>
      </c>
      <c r="D119" s="6" t="s">
        <v>28</v>
      </c>
      <c r="E119" s="6" t="s">
        <v>29</v>
      </c>
      <c r="F119" s="6" t="s">
        <v>30</v>
      </c>
      <c r="G119" s="6">
        <v>15</v>
      </c>
      <c r="H119" s="8" t="s">
        <v>614</v>
      </c>
      <c r="I119" s="8">
        <v>8121911119</v>
      </c>
      <c r="J119" s="8" t="s">
        <v>615</v>
      </c>
      <c r="K119" s="8" t="s">
        <v>616</v>
      </c>
      <c r="L119" s="8">
        <v>18053.98</v>
      </c>
      <c r="M119" s="8">
        <v>18053.98</v>
      </c>
      <c r="N119" s="7"/>
      <c r="O119" s="6" t="s">
        <v>35</v>
      </c>
      <c r="P119" s="6" t="s">
        <v>35</v>
      </c>
      <c r="Q119" s="6" t="s">
        <v>36</v>
      </c>
      <c r="R119" s="6"/>
      <c r="S119" s="6">
        <f t="shared" si="1"/>
        <v>18053.98</v>
      </c>
      <c r="T119" s="6"/>
      <c r="U119" s="6"/>
      <c r="V119" s="6"/>
      <c r="W119" s="6" t="s">
        <v>110</v>
      </c>
      <c r="X119" s="6" t="s">
        <v>110</v>
      </c>
      <c r="Y119" s="8" t="s">
        <v>617</v>
      </c>
      <c r="Z119" s="6" t="s">
        <v>490</v>
      </c>
      <c r="AA119" s="6" t="s">
        <v>40</v>
      </c>
    </row>
    <row r="120" spans="1:27">
      <c r="A120" s="6">
        <v>119</v>
      </c>
      <c r="B120" s="6"/>
      <c r="C120" s="7">
        <v>46084</v>
      </c>
      <c r="D120" s="6" t="s">
        <v>28</v>
      </c>
      <c r="E120" s="6" t="s">
        <v>29</v>
      </c>
      <c r="F120" s="6" t="s">
        <v>30</v>
      </c>
      <c r="G120" s="6">
        <v>14</v>
      </c>
      <c r="H120" s="8" t="s">
        <v>618</v>
      </c>
      <c r="I120" s="8">
        <v>8500982580</v>
      </c>
      <c r="J120" s="8" t="s">
        <v>619</v>
      </c>
      <c r="K120" s="8" t="s">
        <v>620</v>
      </c>
      <c r="L120" s="8">
        <v>1115.6400000000001</v>
      </c>
      <c r="M120" s="8">
        <v>1115.6400000000001</v>
      </c>
      <c r="N120" s="7"/>
      <c r="O120" s="6" t="s">
        <v>35</v>
      </c>
      <c r="P120" s="6" t="s">
        <v>35</v>
      </c>
      <c r="Q120" s="6" t="s">
        <v>36</v>
      </c>
      <c r="R120" s="6"/>
      <c r="S120" s="6">
        <f t="shared" si="1"/>
        <v>1115.6400000000001</v>
      </c>
      <c r="T120" s="6"/>
      <c r="U120" s="6"/>
      <c r="V120" s="6"/>
      <c r="W120" s="6" t="s">
        <v>69</v>
      </c>
      <c r="X120" s="6" t="s">
        <v>69</v>
      </c>
      <c r="Y120" s="8" t="s">
        <v>621</v>
      </c>
      <c r="Z120" s="6" t="s">
        <v>352</v>
      </c>
      <c r="AA120" s="6" t="s">
        <v>40</v>
      </c>
    </row>
    <row r="121" spans="1:27">
      <c r="A121" s="6">
        <v>120</v>
      </c>
      <c r="B121" s="6" t="s">
        <v>225</v>
      </c>
      <c r="C121" s="7">
        <v>46089</v>
      </c>
      <c r="D121" s="6" t="s">
        <v>226</v>
      </c>
      <c r="E121" s="6" t="s">
        <v>29</v>
      </c>
      <c r="F121" s="6" t="s">
        <v>622</v>
      </c>
      <c r="G121" s="6">
        <v>8</v>
      </c>
      <c r="H121" s="6" t="s">
        <v>623</v>
      </c>
      <c r="I121" s="6" t="s">
        <v>624</v>
      </c>
      <c r="J121" s="6" t="s">
        <v>625</v>
      </c>
      <c r="K121" s="6" t="s">
        <v>625</v>
      </c>
      <c r="L121" s="6">
        <v>3970</v>
      </c>
      <c r="M121" s="6">
        <v>3970</v>
      </c>
      <c r="N121" s="7">
        <v>46091</v>
      </c>
      <c r="O121" s="6" t="s">
        <v>626</v>
      </c>
      <c r="P121" s="6" t="s">
        <v>52</v>
      </c>
      <c r="Q121" s="6" t="s">
        <v>626</v>
      </c>
      <c r="R121" s="6"/>
      <c r="S121" s="6">
        <f t="shared" si="1"/>
        <v>3970</v>
      </c>
      <c r="T121" s="6"/>
      <c r="U121" s="6"/>
      <c r="V121" s="6"/>
      <c r="W121" s="6" t="s">
        <v>626</v>
      </c>
      <c r="X121" s="8" t="s">
        <v>627</v>
      </c>
      <c r="Y121" s="8" t="s">
        <v>628</v>
      </c>
      <c r="Z121" s="8" t="s">
        <v>629</v>
      </c>
      <c r="AA121" s="6" t="s">
        <v>405</v>
      </c>
    </row>
    <row r="122" spans="1:27">
      <c r="A122" s="6">
        <v>121</v>
      </c>
      <c r="B122" s="6" t="s">
        <v>225</v>
      </c>
      <c r="C122" s="7">
        <v>46089</v>
      </c>
      <c r="D122" s="6" t="s">
        <v>226</v>
      </c>
      <c r="E122" s="6" t="s">
        <v>29</v>
      </c>
      <c r="F122" s="6" t="s">
        <v>622</v>
      </c>
      <c r="G122" s="6">
        <v>8</v>
      </c>
      <c r="H122" s="6" t="s">
        <v>630</v>
      </c>
      <c r="I122" s="6" t="s">
        <v>631</v>
      </c>
      <c r="J122" s="6" t="s">
        <v>632</v>
      </c>
      <c r="K122" s="6" t="s">
        <v>632</v>
      </c>
      <c r="L122" s="6">
        <v>1350</v>
      </c>
      <c r="M122" s="6">
        <v>1350</v>
      </c>
      <c r="N122" s="7">
        <v>46091</v>
      </c>
      <c r="O122" s="6" t="s">
        <v>626</v>
      </c>
      <c r="P122" s="6" t="s">
        <v>52</v>
      </c>
      <c r="Q122" s="6" t="s">
        <v>626</v>
      </c>
      <c r="R122" s="6">
        <v>1350</v>
      </c>
      <c r="S122" s="6">
        <f t="shared" si="1"/>
        <v>0</v>
      </c>
      <c r="T122" s="7">
        <v>46112</v>
      </c>
      <c r="U122" s="6" t="s">
        <v>633</v>
      </c>
      <c r="V122" s="6" t="s">
        <v>54</v>
      </c>
      <c r="W122" s="6" t="s">
        <v>626</v>
      </c>
      <c r="X122" s="8" t="s">
        <v>634</v>
      </c>
      <c r="Y122" s="8" t="s">
        <v>635</v>
      </c>
      <c r="Z122" s="8" t="s">
        <v>528</v>
      </c>
      <c r="AA122" s="6" t="s">
        <v>405</v>
      </c>
    </row>
    <row r="123" spans="1:27">
      <c r="A123" s="6">
        <v>122</v>
      </c>
      <c r="B123" s="6" t="s">
        <v>225</v>
      </c>
      <c r="C123" s="7">
        <v>46089</v>
      </c>
      <c r="D123" s="6" t="s">
        <v>226</v>
      </c>
      <c r="E123" s="6" t="s">
        <v>29</v>
      </c>
      <c r="F123" s="6" t="s">
        <v>622</v>
      </c>
      <c r="G123" s="6">
        <v>8</v>
      </c>
      <c r="H123" s="6" t="s">
        <v>636</v>
      </c>
      <c r="I123" s="6" t="s">
        <v>637</v>
      </c>
      <c r="J123" s="6" t="s">
        <v>638</v>
      </c>
      <c r="K123" s="6" t="s">
        <v>638</v>
      </c>
      <c r="L123" s="6">
        <v>8550</v>
      </c>
      <c r="M123" s="6">
        <v>8550</v>
      </c>
      <c r="N123" s="7">
        <v>46093</v>
      </c>
      <c r="O123" s="6" t="s">
        <v>626</v>
      </c>
      <c r="P123" s="6" t="s">
        <v>52</v>
      </c>
      <c r="Q123" s="6" t="s">
        <v>626</v>
      </c>
      <c r="R123" s="6"/>
      <c r="S123" s="6">
        <f t="shared" si="1"/>
        <v>8550</v>
      </c>
      <c r="T123" s="6"/>
      <c r="U123" s="6"/>
      <c r="V123" s="6"/>
      <c r="W123" s="6" t="s">
        <v>626</v>
      </c>
      <c r="X123" s="8" t="s">
        <v>639</v>
      </c>
      <c r="Y123" s="8" t="s">
        <v>640</v>
      </c>
      <c r="Z123" s="8" t="s">
        <v>160</v>
      </c>
      <c r="AA123" s="6" t="s">
        <v>405</v>
      </c>
    </row>
    <row r="124" spans="1:27">
      <c r="A124" s="6">
        <v>123</v>
      </c>
      <c r="B124" s="6" t="s">
        <v>225</v>
      </c>
      <c r="C124" s="7">
        <v>46089</v>
      </c>
      <c r="D124" s="6" t="s">
        <v>226</v>
      </c>
      <c r="E124" s="6" t="s">
        <v>29</v>
      </c>
      <c r="F124" s="6" t="s">
        <v>310</v>
      </c>
      <c r="G124" s="6">
        <v>8</v>
      </c>
      <c r="H124" s="6" t="s">
        <v>641</v>
      </c>
      <c r="I124" s="6">
        <v>9652999099</v>
      </c>
      <c r="J124" s="10" t="s">
        <v>642</v>
      </c>
      <c r="K124" s="10" t="s">
        <v>642</v>
      </c>
      <c r="L124" s="6">
        <v>652</v>
      </c>
      <c r="M124" s="6">
        <v>652</v>
      </c>
      <c r="N124" s="7" t="s">
        <v>239</v>
      </c>
      <c r="O124" s="6" t="s">
        <v>239</v>
      </c>
      <c r="P124" s="6" t="s">
        <v>239</v>
      </c>
      <c r="Q124" s="6" t="s">
        <v>314</v>
      </c>
      <c r="R124" s="6"/>
      <c r="S124" s="6">
        <f t="shared" si="1"/>
        <v>652</v>
      </c>
      <c r="T124" s="6"/>
      <c r="U124" s="6"/>
      <c r="V124" s="6"/>
      <c r="W124" s="12" t="s">
        <v>643</v>
      </c>
      <c r="X124" s="12" t="s">
        <v>644</v>
      </c>
      <c r="Y124" s="12" t="s">
        <v>645</v>
      </c>
      <c r="Z124" s="12" t="s">
        <v>84</v>
      </c>
      <c r="AA124" s="6" t="s">
        <v>40</v>
      </c>
    </row>
    <row r="125" spans="1:27">
      <c r="A125" s="6">
        <v>124</v>
      </c>
      <c r="B125" s="6" t="s">
        <v>225</v>
      </c>
      <c r="C125" s="7">
        <v>46089</v>
      </c>
      <c r="D125" s="6" t="s">
        <v>226</v>
      </c>
      <c r="E125" s="6" t="s">
        <v>29</v>
      </c>
      <c r="F125" s="6" t="s">
        <v>310</v>
      </c>
      <c r="G125" s="6">
        <v>8</v>
      </c>
      <c r="H125" s="12" t="s">
        <v>646</v>
      </c>
      <c r="I125" s="12" t="s">
        <v>647</v>
      </c>
      <c r="J125" s="10" t="s">
        <v>648</v>
      </c>
      <c r="K125" s="10" t="s">
        <v>648</v>
      </c>
      <c r="L125" s="13">
        <v>11150</v>
      </c>
      <c r="M125" s="6">
        <v>6150</v>
      </c>
      <c r="N125" s="7">
        <v>46090</v>
      </c>
      <c r="O125" s="6" t="s">
        <v>643</v>
      </c>
      <c r="P125" s="6" t="s">
        <v>52</v>
      </c>
      <c r="Q125" s="6" t="s">
        <v>314</v>
      </c>
      <c r="R125" s="6">
        <f>5000-2640</f>
        <v>2360</v>
      </c>
      <c r="S125" s="6">
        <f t="shared" si="1"/>
        <v>3790</v>
      </c>
      <c r="T125" s="7">
        <v>46127</v>
      </c>
      <c r="U125" s="6" t="s">
        <v>649</v>
      </c>
      <c r="V125" s="6"/>
      <c r="W125" s="12" t="s">
        <v>643</v>
      </c>
      <c r="X125" s="12" t="s">
        <v>650</v>
      </c>
      <c r="Y125" s="12" t="s">
        <v>651</v>
      </c>
      <c r="Z125" s="6" t="s">
        <v>652</v>
      </c>
      <c r="AA125" s="6" t="s">
        <v>40</v>
      </c>
    </row>
    <row r="126" spans="1:27">
      <c r="A126" s="6">
        <v>125</v>
      </c>
      <c r="B126" s="6" t="s">
        <v>225</v>
      </c>
      <c r="C126" s="7">
        <v>46089</v>
      </c>
      <c r="D126" s="6" t="s">
        <v>226</v>
      </c>
      <c r="E126" s="6" t="s">
        <v>29</v>
      </c>
      <c r="F126" s="6" t="s">
        <v>310</v>
      </c>
      <c r="G126" s="6">
        <v>8</v>
      </c>
      <c r="H126" s="12" t="s">
        <v>653</v>
      </c>
      <c r="I126" s="12" t="s">
        <v>654</v>
      </c>
      <c r="J126" s="10" t="s">
        <v>655</v>
      </c>
      <c r="K126" s="10" t="s">
        <v>655</v>
      </c>
      <c r="L126" s="13">
        <v>19930</v>
      </c>
      <c r="M126" s="13">
        <v>19930</v>
      </c>
      <c r="N126" s="7" t="s">
        <v>239</v>
      </c>
      <c r="O126" s="6" t="s">
        <v>239</v>
      </c>
      <c r="P126" s="6" t="s">
        <v>239</v>
      </c>
      <c r="Q126" s="6" t="s">
        <v>314</v>
      </c>
      <c r="R126" s="6"/>
      <c r="S126" s="6">
        <f t="shared" si="1"/>
        <v>19930</v>
      </c>
      <c r="T126" s="6"/>
      <c r="U126" s="6"/>
      <c r="V126" s="6"/>
      <c r="W126" s="12" t="s">
        <v>315</v>
      </c>
      <c r="X126" s="12" t="s">
        <v>316</v>
      </c>
      <c r="Y126" s="12" t="s">
        <v>656</v>
      </c>
      <c r="Z126" s="6" t="s">
        <v>318</v>
      </c>
      <c r="AA126" s="6" t="s">
        <v>40</v>
      </c>
    </row>
    <row r="127" spans="1:27">
      <c r="A127" s="6">
        <v>126</v>
      </c>
      <c r="B127" s="6" t="s">
        <v>225</v>
      </c>
      <c r="C127" s="7">
        <v>46089</v>
      </c>
      <c r="D127" s="6" t="s">
        <v>226</v>
      </c>
      <c r="E127" s="6" t="s">
        <v>29</v>
      </c>
      <c r="F127" s="6" t="s">
        <v>310</v>
      </c>
      <c r="G127" s="6">
        <v>8</v>
      </c>
      <c r="H127" s="12" t="s">
        <v>657</v>
      </c>
      <c r="I127" s="12" t="s">
        <v>658</v>
      </c>
      <c r="J127" s="10" t="s">
        <v>659</v>
      </c>
      <c r="K127" s="10" t="s">
        <v>659</v>
      </c>
      <c r="L127" s="13">
        <v>15790</v>
      </c>
      <c r="M127" s="13">
        <v>15790</v>
      </c>
      <c r="N127" s="7" t="s">
        <v>239</v>
      </c>
      <c r="O127" s="6" t="s">
        <v>239</v>
      </c>
      <c r="P127" s="6" t="s">
        <v>239</v>
      </c>
      <c r="Q127" s="6" t="s">
        <v>314</v>
      </c>
      <c r="R127" s="6"/>
      <c r="S127" s="6">
        <f t="shared" si="1"/>
        <v>15790</v>
      </c>
      <c r="T127" s="6"/>
      <c r="U127" s="6"/>
      <c r="V127" s="6"/>
      <c r="W127" s="12" t="s">
        <v>328</v>
      </c>
      <c r="X127" s="12" t="s">
        <v>660</v>
      </c>
      <c r="Y127" s="12" t="s">
        <v>661</v>
      </c>
      <c r="Z127" s="6" t="s">
        <v>224</v>
      </c>
      <c r="AA127" s="6" t="s">
        <v>40</v>
      </c>
    </row>
    <row r="128" spans="1:27">
      <c r="A128" s="6">
        <v>127</v>
      </c>
      <c r="B128" s="6" t="s">
        <v>298</v>
      </c>
      <c r="C128" s="7">
        <v>46089</v>
      </c>
      <c r="D128" s="6" t="s">
        <v>226</v>
      </c>
      <c r="E128" s="6" t="s">
        <v>29</v>
      </c>
      <c r="F128" s="6" t="s">
        <v>364</v>
      </c>
      <c r="G128" s="6">
        <v>8</v>
      </c>
      <c r="H128" s="8" t="s">
        <v>662</v>
      </c>
      <c r="I128" s="8" t="s">
        <v>663</v>
      </c>
      <c r="J128" s="8" t="s">
        <v>664</v>
      </c>
      <c r="K128" s="8" t="s">
        <v>664</v>
      </c>
      <c r="L128" s="16">
        <v>29650</v>
      </c>
      <c r="M128" s="16">
        <v>11470</v>
      </c>
      <c r="N128" s="7" t="s">
        <v>239</v>
      </c>
      <c r="O128" s="6" t="s">
        <v>239</v>
      </c>
      <c r="P128" s="6" t="s">
        <v>239</v>
      </c>
      <c r="Q128" s="6" t="s">
        <v>665</v>
      </c>
      <c r="R128" s="6"/>
      <c r="S128" s="6">
        <f t="shared" si="1"/>
        <v>11470</v>
      </c>
      <c r="T128" s="6"/>
      <c r="U128" s="6"/>
      <c r="V128" s="6"/>
      <c r="W128" s="6" t="s">
        <v>666</v>
      </c>
      <c r="X128" s="8" t="s">
        <v>667</v>
      </c>
      <c r="Y128" s="8" t="s">
        <v>668</v>
      </c>
      <c r="Z128" s="6" t="s">
        <v>669</v>
      </c>
      <c r="AA128" s="6" t="s">
        <v>373</v>
      </c>
    </row>
    <row r="129" spans="1:27">
      <c r="A129" s="6">
        <v>128</v>
      </c>
      <c r="B129" s="6" t="s">
        <v>225</v>
      </c>
      <c r="C129" s="7">
        <v>46089</v>
      </c>
      <c r="D129" s="6" t="s">
        <v>226</v>
      </c>
      <c r="E129" s="6" t="s">
        <v>29</v>
      </c>
      <c r="F129" s="6" t="s">
        <v>240</v>
      </c>
      <c r="G129" s="6">
        <v>8</v>
      </c>
      <c r="H129" s="6" t="s">
        <v>670</v>
      </c>
      <c r="I129" s="6">
        <v>9940969030</v>
      </c>
      <c r="J129" s="10" t="s">
        <v>671</v>
      </c>
      <c r="K129" s="10" t="s">
        <v>671</v>
      </c>
      <c r="L129" s="6">
        <v>2820</v>
      </c>
      <c r="M129" s="6">
        <v>2820</v>
      </c>
      <c r="N129" s="7" t="s">
        <v>239</v>
      </c>
      <c r="O129" s="6" t="s">
        <v>239</v>
      </c>
      <c r="P129" s="6" t="s">
        <v>239</v>
      </c>
      <c r="Q129" s="6" t="s">
        <v>236</v>
      </c>
      <c r="R129" s="6"/>
      <c r="S129" s="6">
        <f t="shared" si="1"/>
        <v>2820</v>
      </c>
      <c r="T129" s="6"/>
      <c r="U129" s="6"/>
      <c r="V129" s="6"/>
      <c r="W129" s="6" t="s">
        <v>236</v>
      </c>
      <c r="X129" s="6" t="s">
        <v>236</v>
      </c>
      <c r="Y129" s="6" t="s">
        <v>236</v>
      </c>
      <c r="Z129" s="6" t="s">
        <v>236</v>
      </c>
      <c r="AA129" s="6" t="s">
        <v>236</v>
      </c>
    </row>
    <row r="130" spans="1:27">
      <c r="A130" s="6">
        <v>129</v>
      </c>
      <c r="B130" s="6" t="s">
        <v>298</v>
      </c>
      <c r="C130" s="7">
        <v>46089</v>
      </c>
      <c r="D130" s="6" t="s">
        <v>226</v>
      </c>
      <c r="E130" s="6" t="s">
        <v>29</v>
      </c>
      <c r="F130" s="6" t="s">
        <v>240</v>
      </c>
      <c r="G130" s="6">
        <v>8</v>
      </c>
      <c r="H130" s="6" t="s">
        <v>672</v>
      </c>
      <c r="I130" s="6">
        <v>9884186586</v>
      </c>
      <c r="J130" s="10" t="s">
        <v>673</v>
      </c>
      <c r="K130" s="10" t="s">
        <v>673</v>
      </c>
      <c r="L130" s="6">
        <v>2760</v>
      </c>
      <c r="M130" s="6">
        <v>2760</v>
      </c>
      <c r="N130" s="7" t="s">
        <v>239</v>
      </c>
      <c r="O130" s="6" t="s">
        <v>239</v>
      </c>
      <c r="P130" s="6" t="s">
        <v>239</v>
      </c>
      <c r="Q130" s="6" t="s">
        <v>236</v>
      </c>
      <c r="R130" s="6"/>
      <c r="S130" s="6">
        <f t="shared" si="1"/>
        <v>2760</v>
      </c>
      <c r="T130" s="6"/>
      <c r="U130" s="6"/>
      <c r="V130" s="6"/>
      <c r="W130" s="6" t="s">
        <v>236</v>
      </c>
      <c r="X130" s="6" t="s">
        <v>236</v>
      </c>
      <c r="Y130" s="6" t="s">
        <v>236</v>
      </c>
      <c r="Z130" s="6" t="s">
        <v>236</v>
      </c>
      <c r="AA130" s="6" t="s">
        <v>236</v>
      </c>
    </row>
    <row r="131" spans="1:27">
      <c r="A131" s="6">
        <v>130</v>
      </c>
      <c r="B131" s="6" t="s">
        <v>298</v>
      </c>
      <c r="C131" s="7">
        <v>46089</v>
      </c>
      <c r="D131" s="6" t="s">
        <v>226</v>
      </c>
      <c r="E131" s="6" t="s">
        <v>29</v>
      </c>
      <c r="F131" s="6" t="s">
        <v>240</v>
      </c>
      <c r="G131" s="6">
        <v>8</v>
      </c>
      <c r="H131" s="6" t="s">
        <v>674</v>
      </c>
      <c r="I131" s="6">
        <v>7550105558</v>
      </c>
      <c r="J131" s="10" t="s">
        <v>675</v>
      </c>
      <c r="K131" s="10" t="s">
        <v>675</v>
      </c>
      <c r="L131" s="6">
        <v>700</v>
      </c>
      <c r="M131" s="6">
        <v>700</v>
      </c>
      <c r="N131" s="7" t="s">
        <v>239</v>
      </c>
      <c r="O131" s="6" t="s">
        <v>239</v>
      </c>
      <c r="P131" s="6" t="s">
        <v>239</v>
      </c>
      <c r="Q131" s="6" t="s">
        <v>236</v>
      </c>
      <c r="R131" s="6"/>
      <c r="S131" s="6">
        <f t="shared" ref="S131:S194" si="2">M131-R131</f>
        <v>700</v>
      </c>
      <c r="T131" s="6"/>
      <c r="U131" s="6"/>
      <c r="V131" s="6"/>
      <c r="W131" s="6" t="s">
        <v>236</v>
      </c>
      <c r="X131" s="6" t="s">
        <v>236</v>
      </c>
      <c r="Y131" s="6" t="s">
        <v>236</v>
      </c>
      <c r="Z131" s="6" t="s">
        <v>236</v>
      </c>
      <c r="AA131" s="6" t="s">
        <v>236</v>
      </c>
    </row>
    <row r="132" spans="1:27">
      <c r="A132" s="6">
        <v>131</v>
      </c>
      <c r="B132" s="6" t="s">
        <v>225</v>
      </c>
      <c r="C132" s="7">
        <v>46089</v>
      </c>
      <c r="D132" s="6" t="s">
        <v>226</v>
      </c>
      <c r="E132" s="6" t="s">
        <v>29</v>
      </c>
      <c r="F132" s="6" t="s">
        <v>240</v>
      </c>
      <c r="G132" s="6">
        <v>8</v>
      </c>
      <c r="H132" s="6" t="s">
        <v>676</v>
      </c>
      <c r="I132" s="6">
        <v>9494793605</v>
      </c>
      <c r="J132" s="10" t="s">
        <v>677</v>
      </c>
      <c r="K132" s="10" t="s">
        <v>677</v>
      </c>
      <c r="L132" s="6">
        <v>565</v>
      </c>
      <c r="M132" s="6">
        <v>565</v>
      </c>
      <c r="N132" s="7" t="s">
        <v>239</v>
      </c>
      <c r="O132" s="6" t="s">
        <v>239</v>
      </c>
      <c r="P132" s="6" t="s">
        <v>239</v>
      </c>
      <c r="Q132" s="6" t="s">
        <v>236</v>
      </c>
      <c r="R132" s="6"/>
      <c r="S132" s="6">
        <f t="shared" si="2"/>
        <v>565</v>
      </c>
      <c r="T132" s="6"/>
      <c r="U132" s="6"/>
      <c r="V132" s="6"/>
      <c r="W132" s="6" t="s">
        <v>236</v>
      </c>
      <c r="X132" s="6" t="s">
        <v>236</v>
      </c>
      <c r="Y132" s="6" t="s">
        <v>236</v>
      </c>
      <c r="Z132" s="6" t="s">
        <v>236</v>
      </c>
      <c r="AA132" s="6" t="s">
        <v>236</v>
      </c>
    </row>
    <row r="133" spans="1:27">
      <c r="A133" s="6">
        <v>132</v>
      </c>
      <c r="B133" s="6" t="s">
        <v>225</v>
      </c>
      <c r="C133" s="7">
        <v>46089</v>
      </c>
      <c r="D133" s="6" t="s">
        <v>226</v>
      </c>
      <c r="E133" s="6" t="s">
        <v>29</v>
      </c>
      <c r="F133" s="6" t="s">
        <v>240</v>
      </c>
      <c r="G133" s="6">
        <v>8</v>
      </c>
      <c r="H133" s="6" t="s">
        <v>678</v>
      </c>
      <c r="I133" s="6">
        <v>9492515800</v>
      </c>
      <c r="J133" s="10" t="s">
        <v>679</v>
      </c>
      <c r="K133" s="10" t="s">
        <v>679</v>
      </c>
      <c r="L133" s="6">
        <v>680</v>
      </c>
      <c r="M133" s="6">
        <v>680</v>
      </c>
      <c r="N133" s="7" t="s">
        <v>239</v>
      </c>
      <c r="O133" s="6" t="s">
        <v>239</v>
      </c>
      <c r="P133" s="6" t="s">
        <v>239</v>
      </c>
      <c r="Q133" s="6" t="s">
        <v>236</v>
      </c>
      <c r="R133" s="6"/>
      <c r="S133" s="6">
        <f t="shared" si="2"/>
        <v>680</v>
      </c>
      <c r="T133" s="6"/>
      <c r="U133" s="6"/>
      <c r="V133" s="6"/>
      <c r="W133" s="6" t="s">
        <v>236</v>
      </c>
      <c r="X133" s="6" t="s">
        <v>236</v>
      </c>
      <c r="Y133" s="6" t="s">
        <v>236</v>
      </c>
      <c r="Z133" s="6" t="s">
        <v>236</v>
      </c>
      <c r="AA133" s="6" t="s">
        <v>236</v>
      </c>
    </row>
    <row r="134" spans="1:27">
      <c r="A134" s="6">
        <v>133</v>
      </c>
      <c r="B134" s="6" t="s">
        <v>225</v>
      </c>
      <c r="C134" s="7">
        <v>46089</v>
      </c>
      <c r="D134" s="6" t="s">
        <v>226</v>
      </c>
      <c r="E134" s="6" t="s">
        <v>29</v>
      </c>
      <c r="F134" s="6" t="s">
        <v>240</v>
      </c>
      <c r="G134" s="6">
        <v>8</v>
      </c>
      <c r="H134" s="6" t="s">
        <v>680</v>
      </c>
      <c r="I134" s="6">
        <v>7569466075</v>
      </c>
      <c r="J134" s="10" t="s">
        <v>681</v>
      </c>
      <c r="K134" s="10" t="s">
        <v>681</v>
      </c>
      <c r="L134" s="6">
        <v>650</v>
      </c>
      <c r="M134" s="6">
        <v>650</v>
      </c>
      <c r="N134" s="7" t="s">
        <v>239</v>
      </c>
      <c r="O134" s="6" t="s">
        <v>239</v>
      </c>
      <c r="P134" s="6" t="s">
        <v>239</v>
      </c>
      <c r="Q134" s="6" t="s">
        <v>236</v>
      </c>
      <c r="R134" s="6"/>
      <c r="S134" s="6">
        <f t="shared" si="2"/>
        <v>650</v>
      </c>
      <c r="T134" s="6"/>
      <c r="U134" s="6"/>
      <c r="V134" s="6"/>
      <c r="W134" s="6" t="s">
        <v>236</v>
      </c>
      <c r="X134" s="6" t="s">
        <v>236</v>
      </c>
      <c r="Y134" s="6" t="s">
        <v>236</v>
      </c>
      <c r="Z134" s="6" t="s">
        <v>236</v>
      </c>
      <c r="AA134" s="6" t="s">
        <v>236</v>
      </c>
    </row>
    <row r="135" spans="1:27">
      <c r="A135" s="6">
        <v>134</v>
      </c>
      <c r="B135" s="6" t="s">
        <v>225</v>
      </c>
      <c r="C135" s="7">
        <v>46089</v>
      </c>
      <c r="D135" s="6" t="s">
        <v>226</v>
      </c>
      <c r="E135" s="6" t="s">
        <v>29</v>
      </c>
      <c r="F135" s="6" t="s">
        <v>240</v>
      </c>
      <c r="G135" s="6">
        <v>8</v>
      </c>
      <c r="H135" s="6" t="s">
        <v>682</v>
      </c>
      <c r="I135" s="6">
        <v>9710394354</v>
      </c>
      <c r="J135" s="10" t="s">
        <v>683</v>
      </c>
      <c r="K135" s="10" t="s">
        <v>683</v>
      </c>
      <c r="L135" s="6">
        <v>820</v>
      </c>
      <c r="M135" s="6">
        <v>820</v>
      </c>
      <c r="N135" s="7" t="s">
        <v>239</v>
      </c>
      <c r="O135" s="6" t="s">
        <v>239</v>
      </c>
      <c r="P135" s="6" t="s">
        <v>239</v>
      </c>
      <c r="Q135" s="6" t="s">
        <v>236</v>
      </c>
      <c r="R135" s="6"/>
      <c r="S135" s="6">
        <f t="shared" si="2"/>
        <v>820</v>
      </c>
      <c r="T135" s="6"/>
      <c r="U135" s="6"/>
      <c r="V135" s="6"/>
      <c r="W135" s="6" t="s">
        <v>236</v>
      </c>
      <c r="X135" s="6" t="s">
        <v>236</v>
      </c>
      <c r="Y135" s="6" t="s">
        <v>236</v>
      </c>
      <c r="Z135" s="6" t="s">
        <v>236</v>
      </c>
      <c r="AA135" s="6" t="s">
        <v>236</v>
      </c>
    </row>
    <row r="136" spans="1:27">
      <c r="A136" s="6">
        <v>135</v>
      </c>
      <c r="B136" s="6" t="s">
        <v>225</v>
      </c>
      <c r="C136" s="7">
        <v>46089</v>
      </c>
      <c r="D136" s="6" t="s">
        <v>226</v>
      </c>
      <c r="E136" s="6" t="s">
        <v>29</v>
      </c>
      <c r="F136" s="6" t="s">
        <v>227</v>
      </c>
      <c r="G136" s="6">
        <v>8</v>
      </c>
      <c r="H136" s="6" t="s">
        <v>684</v>
      </c>
      <c r="I136" s="6">
        <v>9885130505</v>
      </c>
      <c r="J136" s="10" t="s">
        <v>685</v>
      </c>
      <c r="K136" s="10" t="s">
        <v>685</v>
      </c>
      <c r="L136" s="6">
        <v>32400</v>
      </c>
      <c r="M136" s="6">
        <v>32400</v>
      </c>
      <c r="N136" s="7">
        <v>46093</v>
      </c>
      <c r="O136" s="6" t="s">
        <v>232</v>
      </c>
      <c r="P136" s="6" t="s">
        <v>52</v>
      </c>
      <c r="Q136" s="6" t="s">
        <v>230</v>
      </c>
      <c r="R136" s="6">
        <v>32400</v>
      </c>
      <c r="S136" s="6">
        <f t="shared" si="2"/>
        <v>0</v>
      </c>
      <c r="T136" s="7">
        <v>46091</v>
      </c>
      <c r="U136" s="6" t="s">
        <v>686</v>
      </c>
      <c r="V136" s="6" t="s">
        <v>54</v>
      </c>
      <c r="W136" s="6" t="s">
        <v>230</v>
      </c>
      <c r="X136" s="6" t="s">
        <v>230</v>
      </c>
      <c r="Y136" s="6" t="s">
        <v>687</v>
      </c>
      <c r="Z136" s="6" t="s">
        <v>688</v>
      </c>
      <c r="AA136" s="6" t="s">
        <v>235</v>
      </c>
    </row>
    <row r="137" spans="1:27">
      <c r="A137" s="6">
        <v>136</v>
      </c>
      <c r="B137" s="6" t="s">
        <v>225</v>
      </c>
      <c r="C137" s="7">
        <v>46089</v>
      </c>
      <c r="D137" s="6" t="s">
        <v>226</v>
      </c>
      <c r="E137" s="6" t="s">
        <v>29</v>
      </c>
      <c r="F137" s="6" t="s">
        <v>227</v>
      </c>
      <c r="G137" s="6">
        <v>8</v>
      </c>
      <c r="H137" s="6" t="s">
        <v>689</v>
      </c>
      <c r="I137" s="6">
        <v>8838453949</v>
      </c>
      <c r="J137" s="10" t="s">
        <v>690</v>
      </c>
      <c r="K137" s="10" t="s">
        <v>690</v>
      </c>
      <c r="L137" s="6">
        <v>8200</v>
      </c>
      <c r="M137" s="6">
        <v>8200</v>
      </c>
      <c r="N137" s="7">
        <v>46093</v>
      </c>
      <c r="O137" s="6" t="s">
        <v>232</v>
      </c>
      <c r="P137" s="6" t="s">
        <v>52</v>
      </c>
      <c r="Q137" s="6" t="s">
        <v>230</v>
      </c>
      <c r="R137" s="6"/>
      <c r="S137" s="6">
        <f t="shared" si="2"/>
        <v>8200</v>
      </c>
      <c r="T137" s="6"/>
      <c r="U137" s="6"/>
      <c r="V137" s="6"/>
      <c r="W137" s="6" t="s">
        <v>230</v>
      </c>
      <c r="X137" s="6" t="s">
        <v>230</v>
      </c>
      <c r="Y137" s="6" t="s">
        <v>691</v>
      </c>
      <c r="Z137" s="6" t="s">
        <v>692</v>
      </c>
      <c r="AA137" s="6" t="s">
        <v>235</v>
      </c>
    </row>
    <row r="138" spans="1:27">
      <c r="A138" s="6">
        <v>137</v>
      </c>
      <c r="B138" s="6" t="s">
        <v>225</v>
      </c>
      <c r="C138" s="7">
        <v>46089</v>
      </c>
      <c r="D138" s="6" t="s">
        <v>226</v>
      </c>
      <c r="E138" s="6" t="s">
        <v>29</v>
      </c>
      <c r="F138" s="6" t="s">
        <v>336</v>
      </c>
      <c r="G138" s="6">
        <v>8</v>
      </c>
      <c r="H138" s="6" t="s">
        <v>693</v>
      </c>
      <c r="I138" s="6">
        <v>7382983295</v>
      </c>
      <c r="J138" s="10" t="s">
        <v>694</v>
      </c>
      <c r="K138" s="10" t="s">
        <v>694</v>
      </c>
      <c r="L138" s="6">
        <v>1720</v>
      </c>
      <c r="M138" s="6">
        <v>1720</v>
      </c>
      <c r="N138" s="7" t="s">
        <v>239</v>
      </c>
      <c r="O138" s="6" t="s">
        <v>239</v>
      </c>
      <c r="P138" s="6" t="s">
        <v>239</v>
      </c>
      <c r="Q138" s="6" t="s">
        <v>340</v>
      </c>
      <c r="R138" s="6"/>
      <c r="S138" s="6">
        <f t="shared" si="2"/>
        <v>1720</v>
      </c>
      <c r="T138" s="6"/>
      <c r="U138" s="6"/>
      <c r="V138" s="6"/>
      <c r="W138" s="6" t="s">
        <v>388</v>
      </c>
      <c r="X138" s="6" t="s">
        <v>343</v>
      </c>
      <c r="Y138" s="6" t="s">
        <v>695</v>
      </c>
      <c r="Z138" s="6" t="s">
        <v>64</v>
      </c>
      <c r="AA138" s="6" t="s">
        <v>235</v>
      </c>
    </row>
    <row r="139" spans="1:27">
      <c r="A139" s="6">
        <v>138</v>
      </c>
      <c r="B139" s="6" t="s">
        <v>225</v>
      </c>
      <c r="C139" s="7">
        <v>46089</v>
      </c>
      <c r="D139" s="6" t="s">
        <v>226</v>
      </c>
      <c r="E139" s="6" t="s">
        <v>29</v>
      </c>
      <c r="F139" s="6" t="s">
        <v>336</v>
      </c>
      <c r="G139" s="6">
        <v>8</v>
      </c>
      <c r="H139" s="6" t="s">
        <v>696</v>
      </c>
      <c r="I139" s="6">
        <v>9985744844</v>
      </c>
      <c r="J139" s="10" t="s">
        <v>697</v>
      </c>
      <c r="K139" s="10" t="s">
        <v>697</v>
      </c>
      <c r="L139" s="6">
        <v>6490</v>
      </c>
      <c r="M139" s="6">
        <v>1501</v>
      </c>
      <c r="N139" s="7">
        <v>46090</v>
      </c>
      <c r="O139" s="6" t="s">
        <v>698</v>
      </c>
      <c r="P139" s="6" t="s">
        <v>52</v>
      </c>
      <c r="Q139" s="6" t="s">
        <v>340</v>
      </c>
      <c r="R139" s="6">
        <v>1500</v>
      </c>
      <c r="S139" s="6">
        <f t="shared" si="2"/>
        <v>1</v>
      </c>
      <c r="T139" s="7">
        <v>46096</v>
      </c>
      <c r="U139" s="6" t="s">
        <v>699</v>
      </c>
      <c r="V139" s="6" t="s">
        <v>54</v>
      </c>
      <c r="W139" s="6" t="s">
        <v>342</v>
      </c>
      <c r="X139" s="6" t="s">
        <v>343</v>
      </c>
      <c r="Y139" s="6" t="s">
        <v>700</v>
      </c>
      <c r="Z139" s="6" t="s">
        <v>701</v>
      </c>
      <c r="AA139" s="6" t="s">
        <v>235</v>
      </c>
    </row>
    <row r="140" spans="1:27">
      <c r="A140" s="6">
        <v>139</v>
      </c>
      <c r="B140" s="6" t="s">
        <v>225</v>
      </c>
      <c r="C140" s="7">
        <v>46092</v>
      </c>
      <c r="D140" s="6" t="s">
        <v>226</v>
      </c>
      <c r="E140" s="6" t="s">
        <v>29</v>
      </c>
      <c r="F140" s="6" t="s">
        <v>336</v>
      </c>
      <c r="G140" s="6">
        <v>11</v>
      </c>
      <c r="H140" s="6" t="s">
        <v>702</v>
      </c>
      <c r="I140" s="6">
        <v>9032609611</v>
      </c>
      <c r="J140" s="17" t="s">
        <v>703</v>
      </c>
      <c r="K140" s="17" t="s">
        <v>703</v>
      </c>
      <c r="L140" s="14">
        <v>31200</v>
      </c>
      <c r="M140" s="14">
        <v>20000</v>
      </c>
      <c r="N140" s="7">
        <v>46106</v>
      </c>
      <c r="O140" s="6" t="s">
        <v>370</v>
      </c>
      <c r="P140" s="6" t="s">
        <v>52</v>
      </c>
      <c r="Q140" s="6" t="s">
        <v>340</v>
      </c>
      <c r="R140" s="6">
        <f>5000+6000+4000</f>
        <v>15000</v>
      </c>
      <c r="S140" s="6">
        <f t="shared" si="2"/>
        <v>5000</v>
      </c>
      <c r="T140" s="7">
        <v>46127</v>
      </c>
      <c r="U140" s="6" t="s">
        <v>704</v>
      </c>
      <c r="V140" s="6"/>
      <c r="W140" s="6" t="s">
        <v>342</v>
      </c>
      <c r="X140" s="6" t="s">
        <v>370</v>
      </c>
      <c r="Y140" s="6" t="s">
        <v>705</v>
      </c>
      <c r="Z140" s="6" t="s">
        <v>71</v>
      </c>
      <c r="AA140" s="6" t="s">
        <v>235</v>
      </c>
    </row>
    <row r="141" spans="1:27">
      <c r="A141" s="6">
        <v>140</v>
      </c>
      <c r="B141" s="6" t="s">
        <v>225</v>
      </c>
      <c r="C141" s="7">
        <v>46092</v>
      </c>
      <c r="D141" s="6" t="s">
        <v>226</v>
      </c>
      <c r="E141" s="6" t="s">
        <v>29</v>
      </c>
      <c r="F141" s="6" t="s">
        <v>336</v>
      </c>
      <c r="G141" s="6">
        <v>11</v>
      </c>
      <c r="H141" s="6" t="s">
        <v>706</v>
      </c>
      <c r="I141" s="6">
        <v>9502381265</v>
      </c>
      <c r="J141" s="17" t="s">
        <v>707</v>
      </c>
      <c r="K141" s="17" t="s">
        <v>707</v>
      </c>
      <c r="L141" s="14">
        <v>23240</v>
      </c>
      <c r="M141" s="14">
        <v>14240</v>
      </c>
      <c r="N141" s="7">
        <v>46107</v>
      </c>
      <c r="O141" s="6" t="s">
        <v>315</v>
      </c>
      <c r="P141" s="6" t="s">
        <v>52</v>
      </c>
      <c r="Q141" s="6" t="s">
        <v>340</v>
      </c>
      <c r="R141" s="6">
        <f>5000+5000+4200</f>
        <v>14200</v>
      </c>
      <c r="S141" s="6">
        <f t="shared" si="2"/>
        <v>40</v>
      </c>
      <c r="T141" s="7">
        <v>46108</v>
      </c>
      <c r="U141" s="6" t="s">
        <v>708</v>
      </c>
      <c r="V141" s="6" t="s">
        <v>54</v>
      </c>
      <c r="W141" s="6" t="s">
        <v>388</v>
      </c>
      <c r="X141" s="6" t="s">
        <v>315</v>
      </c>
      <c r="Y141" s="6" t="s">
        <v>709</v>
      </c>
      <c r="Z141" s="6" t="s">
        <v>710</v>
      </c>
      <c r="AA141" s="6" t="s">
        <v>235</v>
      </c>
    </row>
    <row r="142" spans="1:27">
      <c r="A142" s="6">
        <v>141</v>
      </c>
      <c r="B142" s="6" t="s">
        <v>225</v>
      </c>
      <c r="C142" s="7">
        <v>46092</v>
      </c>
      <c r="D142" s="6" t="s">
        <v>226</v>
      </c>
      <c r="E142" s="6" t="s">
        <v>29</v>
      </c>
      <c r="F142" s="6" t="s">
        <v>336</v>
      </c>
      <c r="G142" s="6">
        <v>11</v>
      </c>
      <c r="H142" s="6" t="s">
        <v>711</v>
      </c>
      <c r="I142" s="6">
        <v>7842298983</v>
      </c>
      <c r="J142" s="17" t="s">
        <v>712</v>
      </c>
      <c r="K142" s="17" t="s">
        <v>712</v>
      </c>
      <c r="L142" s="14">
        <v>12120</v>
      </c>
      <c r="M142" s="14">
        <v>12120</v>
      </c>
      <c r="N142" s="7" t="s">
        <v>239</v>
      </c>
      <c r="O142" s="6" t="s">
        <v>239</v>
      </c>
      <c r="P142" s="6" t="s">
        <v>239</v>
      </c>
      <c r="Q142" s="6" t="s">
        <v>340</v>
      </c>
      <c r="R142" s="6"/>
      <c r="S142" s="6">
        <f t="shared" si="2"/>
        <v>12120</v>
      </c>
      <c r="T142" s="6"/>
      <c r="U142" s="6" t="s">
        <v>713</v>
      </c>
      <c r="V142" s="6"/>
      <c r="W142" s="6" t="s">
        <v>342</v>
      </c>
      <c r="X142" s="6" t="s">
        <v>315</v>
      </c>
      <c r="Y142" s="6" t="s">
        <v>714</v>
      </c>
      <c r="Z142" s="6" t="s">
        <v>715</v>
      </c>
      <c r="AA142" s="6" t="s">
        <v>235</v>
      </c>
    </row>
    <row r="143" spans="1:27">
      <c r="A143" s="6">
        <v>142</v>
      </c>
      <c r="B143" s="6" t="s">
        <v>225</v>
      </c>
      <c r="C143" s="7">
        <v>46092</v>
      </c>
      <c r="D143" s="6" t="s">
        <v>226</v>
      </c>
      <c r="E143" s="6" t="s">
        <v>29</v>
      </c>
      <c r="F143" s="6" t="s">
        <v>336</v>
      </c>
      <c r="G143" s="6">
        <v>11</v>
      </c>
      <c r="H143" s="6" t="s">
        <v>716</v>
      </c>
      <c r="I143" s="6">
        <v>9121355130</v>
      </c>
      <c r="J143" s="17" t="s">
        <v>717</v>
      </c>
      <c r="K143" s="17" t="s">
        <v>717</v>
      </c>
      <c r="L143" s="14">
        <v>5870</v>
      </c>
      <c r="M143" s="14">
        <v>5870</v>
      </c>
      <c r="N143" s="7" t="s">
        <v>239</v>
      </c>
      <c r="O143" s="6" t="s">
        <v>239</v>
      </c>
      <c r="P143" s="6" t="s">
        <v>239</v>
      </c>
      <c r="Q143" s="6" t="s">
        <v>340</v>
      </c>
      <c r="R143" s="6"/>
      <c r="S143" s="6">
        <f t="shared" si="2"/>
        <v>5870</v>
      </c>
      <c r="T143" s="6"/>
      <c r="U143" s="6"/>
      <c r="V143" s="6"/>
      <c r="W143" s="6" t="s">
        <v>388</v>
      </c>
      <c r="X143" s="6" t="s">
        <v>315</v>
      </c>
      <c r="Y143" s="6" t="s">
        <v>718</v>
      </c>
      <c r="Z143" s="6" t="s">
        <v>710</v>
      </c>
      <c r="AA143" s="6" t="s">
        <v>235</v>
      </c>
    </row>
    <row r="144" spans="1:27">
      <c r="A144" s="6">
        <v>143</v>
      </c>
      <c r="B144" s="6" t="s">
        <v>225</v>
      </c>
      <c r="C144" s="7">
        <v>46092</v>
      </c>
      <c r="D144" s="6" t="s">
        <v>226</v>
      </c>
      <c r="E144" s="6" t="s">
        <v>29</v>
      </c>
      <c r="F144" s="6" t="s">
        <v>336</v>
      </c>
      <c r="G144" s="6">
        <v>11</v>
      </c>
      <c r="H144" s="6" t="s">
        <v>719</v>
      </c>
      <c r="I144" s="6">
        <v>9849547040</v>
      </c>
      <c r="J144" s="17" t="s">
        <v>720</v>
      </c>
      <c r="K144" s="17" t="s">
        <v>720</v>
      </c>
      <c r="L144" s="14">
        <v>1820</v>
      </c>
      <c r="M144" s="14">
        <v>1820</v>
      </c>
      <c r="N144" s="7" t="s">
        <v>239</v>
      </c>
      <c r="O144" s="6" t="s">
        <v>239</v>
      </c>
      <c r="P144" s="6" t="s">
        <v>239</v>
      </c>
      <c r="Q144" s="6" t="s">
        <v>340</v>
      </c>
      <c r="R144" s="6"/>
      <c r="S144" s="6">
        <f t="shared" si="2"/>
        <v>1820</v>
      </c>
      <c r="T144" s="6"/>
      <c r="U144" s="6"/>
      <c r="V144" s="6"/>
      <c r="W144" s="6" t="s">
        <v>342</v>
      </c>
      <c r="X144" s="6" t="s">
        <v>315</v>
      </c>
      <c r="Y144" s="6" t="s">
        <v>721</v>
      </c>
      <c r="Z144" s="6" t="s">
        <v>722</v>
      </c>
      <c r="AA144" s="6" t="s">
        <v>235</v>
      </c>
    </row>
    <row r="145" spans="1:27">
      <c r="A145" s="6">
        <v>144</v>
      </c>
      <c r="B145" s="6" t="s">
        <v>225</v>
      </c>
      <c r="C145" s="7">
        <v>46092</v>
      </c>
      <c r="D145" s="6" t="s">
        <v>226</v>
      </c>
      <c r="E145" s="6" t="s">
        <v>29</v>
      </c>
      <c r="F145" s="6" t="s">
        <v>336</v>
      </c>
      <c r="G145" s="6">
        <v>11</v>
      </c>
      <c r="H145" s="6" t="s">
        <v>723</v>
      </c>
      <c r="I145" s="6">
        <v>9989883401</v>
      </c>
      <c r="J145" s="17" t="s">
        <v>724</v>
      </c>
      <c r="K145" s="17" t="s">
        <v>724</v>
      </c>
      <c r="L145" s="14">
        <v>7720</v>
      </c>
      <c r="M145" s="14">
        <v>7720</v>
      </c>
      <c r="N145" s="7">
        <v>46122</v>
      </c>
      <c r="O145" s="6" t="s">
        <v>370</v>
      </c>
      <c r="P145" s="6" t="s">
        <v>52</v>
      </c>
      <c r="Q145" s="6" t="s">
        <v>340</v>
      </c>
      <c r="R145" s="6">
        <v>7720</v>
      </c>
      <c r="S145" s="6">
        <f t="shared" si="2"/>
        <v>0</v>
      </c>
      <c r="T145" s="7">
        <v>46122</v>
      </c>
      <c r="U145" s="6" t="s">
        <v>725</v>
      </c>
      <c r="V145" s="6" t="s">
        <v>54</v>
      </c>
      <c r="W145" s="6" t="s">
        <v>388</v>
      </c>
      <c r="X145" s="6" t="s">
        <v>370</v>
      </c>
      <c r="Y145" s="6" t="s">
        <v>726</v>
      </c>
      <c r="Z145" s="6" t="s">
        <v>211</v>
      </c>
      <c r="AA145" s="6" t="s">
        <v>235</v>
      </c>
    </row>
    <row r="146" spans="1:27">
      <c r="A146" s="6">
        <v>145</v>
      </c>
      <c r="B146" s="6" t="s">
        <v>225</v>
      </c>
      <c r="C146" s="7">
        <v>46092</v>
      </c>
      <c r="D146" s="6" t="s">
        <v>226</v>
      </c>
      <c r="E146" s="6" t="s">
        <v>29</v>
      </c>
      <c r="F146" s="6" t="s">
        <v>227</v>
      </c>
      <c r="G146" s="6">
        <v>11</v>
      </c>
      <c r="H146" s="6" t="s">
        <v>727</v>
      </c>
      <c r="I146" s="6" t="s">
        <v>728</v>
      </c>
      <c r="J146" s="6" t="s">
        <v>729</v>
      </c>
      <c r="K146" s="6" t="s">
        <v>729</v>
      </c>
      <c r="L146" s="6">
        <v>13092</v>
      </c>
      <c r="M146" s="6">
        <v>13092</v>
      </c>
      <c r="N146" s="7">
        <v>46096</v>
      </c>
      <c r="O146" s="6" t="s">
        <v>232</v>
      </c>
      <c r="P146" s="6" t="s">
        <v>52</v>
      </c>
      <c r="Q146" s="6" t="s">
        <v>230</v>
      </c>
      <c r="R146" s="6">
        <v>13092</v>
      </c>
      <c r="S146" s="6">
        <f t="shared" si="2"/>
        <v>0</v>
      </c>
      <c r="T146" s="7">
        <v>46104</v>
      </c>
      <c r="U146" s="6" t="s">
        <v>730</v>
      </c>
      <c r="V146" s="6" t="s">
        <v>54</v>
      </c>
      <c r="W146" s="6" t="s">
        <v>731</v>
      </c>
      <c r="X146" s="6" t="s">
        <v>732</v>
      </c>
      <c r="Y146" s="6" t="s">
        <v>733</v>
      </c>
      <c r="Z146" s="6" t="s">
        <v>178</v>
      </c>
      <c r="AA146" s="6" t="s">
        <v>235</v>
      </c>
    </row>
    <row r="147" spans="1:27">
      <c r="A147" s="6">
        <v>146</v>
      </c>
      <c r="B147" s="6" t="s">
        <v>225</v>
      </c>
      <c r="C147" s="7">
        <v>46092</v>
      </c>
      <c r="D147" s="6" t="s">
        <v>226</v>
      </c>
      <c r="E147" s="6" t="s">
        <v>29</v>
      </c>
      <c r="F147" s="6" t="s">
        <v>267</v>
      </c>
      <c r="G147" s="6">
        <v>11</v>
      </c>
      <c r="H147" s="11" t="s">
        <v>734</v>
      </c>
      <c r="I147" s="6">
        <v>9791682575</v>
      </c>
      <c r="J147" s="10" t="s">
        <v>735</v>
      </c>
      <c r="K147" s="10" t="s">
        <v>735</v>
      </c>
      <c r="L147" s="6">
        <v>5680</v>
      </c>
      <c r="M147" s="6">
        <v>5680</v>
      </c>
      <c r="N147" s="7" t="s">
        <v>239</v>
      </c>
      <c r="O147" s="6" t="s">
        <v>239</v>
      </c>
      <c r="P147" s="6" t="s">
        <v>239</v>
      </c>
      <c r="Q147" s="6" t="s">
        <v>236</v>
      </c>
      <c r="R147" s="6"/>
      <c r="S147" s="6">
        <f t="shared" si="2"/>
        <v>5680</v>
      </c>
      <c r="T147" s="6"/>
      <c r="U147" s="6"/>
      <c r="V147" s="6"/>
      <c r="W147" s="6" t="s">
        <v>236</v>
      </c>
      <c r="X147" s="6" t="s">
        <v>236</v>
      </c>
      <c r="Y147" s="6" t="s">
        <v>236</v>
      </c>
      <c r="Z147" s="6" t="s">
        <v>236</v>
      </c>
      <c r="AA147" s="6" t="s">
        <v>236</v>
      </c>
    </row>
    <row r="148" spans="1:27">
      <c r="A148" s="6">
        <v>147</v>
      </c>
      <c r="B148" s="6" t="s">
        <v>225</v>
      </c>
      <c r="C148" s="7">
        <v>46092</v>
      </c>
      <c r="D148" s="6" t="s">
        <v>226</v>
      </c>
      <c r="E148" s="6" t="s">
        <v>29</v>
      </c>
      <c r="F148" s="6" t="s">
        <v>267</v>
      </c>
      <c r="G148" s="6">
        <v>11</v>
      </c>
      <c r="H148" s="11" t="s">
        <v>736</v>
      </c>
      <c r="I148" s="18">
        <v>9061234969</v>
      </c>
      <c r="J148" s="10" t="s">
        <v>737</v>
      </c>
      <c r="K148" s="10" t="s">
        <v>737</v>
      </c>
      <c r="L148" s="6">
        <v>4400</v>
      </c>
      <c r="M148" s="6">
        <v>4400</v>
      </c>
      <c r="N148" s="7" t="s">
        <v>239</v>
      </c>
      <c r="O148" s="6" t="s">
        <v>239</v>
      </c>
      <c r="P148" s="6" t="s">
        <v>239</v>
      </c>
      <c r="Q148" s="6" t="s">
        <v>236</v>
      </c>
      <c r="R148" s="6"/>
      <c r="S148" s="6">
        <f t="shared" si="2"/>
        <v>4400</v>
      </c>
      <c r="T148" s="6"/>
      <c r="U148" s="6"/>
      <c r="V148" s="6"/>
      <c r="W148" s="6" t="s">
        <v>236</v>
      </c>
      <c r="X148" s="6" t="s">
        <v>236</v>
      </c>
      <c r="Y148" s="6" t="s">
        <v>236</v>
      </c>
      <c r="Z148" s="6" t="s">
        <v>236</v>
      </c>
      <c r="AA148" s="6" t="s">
        <v>236</v>
      </c>
    </row>
    <row r="149" spans="1:27">
      <c r="A149" s="6">
        <v>148</v>
      </c>
      <c r="B149" s="6" t="s">
        <v>225</v>
      </c>
      <c r="C149" s="7">
        <v>46092</v>
      </c>
      <c r="D149" s="6" t="s">
        <v>226</v>
      </c>
      <c r="E149" s="6" t="s">
        <v>29</v>
      </c>
      <c r="F149" s="6" t="s">
        <v>267</v>
      </c>
      <c r="G149" s="6">
        <v>11</v>
      </c>
      <c r="H149" s="18" t="s">
        <v>738</v>
      </c>
      <c r="I149" s="18">
        <v>9677505940</v>
      </c>
      <c r="J149" s="10" t="s">
        <v>739</v>
      </c>
      <c r="K149" s="10" t="s">
        <v>739</v>
      </c>
      <c r="L149" s="6">
        <v>1885</v>
      </c>
      <c r="M149" s="6">
        <v>1885</v>
      </c>
      <c r="N149" s="7" t="s">
        <v>239</v>
      </c>
      <c r="O149" s="6" t="s">
        <v>239</v>
      </c>
      <c r="P149" s="6" t="s">
        <v>239</v>
      </c>
      <c r="Q149" s="6" t="s">
        <v>236</v>
      </c>
      <c r="R149" s="6"/>
      <c r="S149" s="6">
        <f t="shared" si="2"/>
        <v>1885</v>
      </c>
      <c r="T149" s="6"/>
      <c r="U149" s="6"/>
      <c r="V149" s="6"/>
      <c r="W149" s="6" t="s">
        <v>236</v>
      </c>
      <c r="X149" s="6" t="s">
        <v>236</v>
      </c>
      <c r="Y149" s="6" t="s">
        <v>236</v>
      </c>
      <c r="Z149" s="6" t="s">
        <v>236</v>
      </c>
      <c r="AA149" s="6" t="s">
        <v>236</v>
      </c>
    </row>
    <row r="150" spans="1:27">
      <c r="A150" s="6">
        <v>149</v>
      </c>
      <c r="B150" s="6" t="s">
        <v>225</v>
      </c>
      <c r="C150" s="7">
        <v>46092</v>
      </c>
      <c r="D150" s="6" t="s">
        <v>226</v>
      </c>
      <c r="E150" s="6" t="s">
        <v>29</v>
      </c>
      <c r="F150" s="6" t="s">
        <v>267</v>
      </c>
      <c r="G150" s="6">
        <v>11</v>
      </c>
      <c r="H150" s="18" t="s">
        <v>740</v>
      </c>
      <c r="I150" s="18">
        <v>9014504790</v>
      </c>
      <c r="J150" s="10" t="s">
        <v>741</v>
      </c>
      <c r="K150" s="10" t="s">
        <v>741</v>
      </c>
      <c r="L150" s="6">
        <v>1580</v>
      </c>
      <c r="M150" s="6">
        <v>1580</v>
      </c>
      <c r="N150" s="7" t="s">
        <v>239</v>
      </c>
      <c r="O150" s="6" t="s">
        <v>239</v>
      </c>
      <c r="P150" s="6" t="s">
        <v>239</v>
      </c>
      <c r="Q150" s="6" t="s">
        <v>236</v>
      </c>
      <c r="R150" s="6"/>
      <c r="S150" s="6">
        <f t="shared" si="2"/>
        <v>1580</v>
      </c>
      <c r="T150" s="6"/>
      <c r="U150" s="6"/>
      <c r="V150" s="6"/>
      <c r="W150" s="6" t="s">
        <v>236</v>
      </c>
      <c r="X150" s="6" t="s">
        <v>236</v>
      </c>
      <c r="Y150" s="6" t="s">
        <v>236</v>
      </c>
      <c r="Z150" s="6" t="s">
        <v>236</v>
      </c>
      <c r="AA150" s="6" t="s">
        <v>236</v>
      </c>
    </row>
    <row r="151" spans="1:27">
      <c r="A151" s="6">
        <v>150</v>
      </c>
      <c r="B151" s="6" t="s">
        <v>225</v>
      </c>
      <c r="C151" s="7">
        <v>46092</v>
      </c>
      <c r="D151" s="6" t="s">
        <v>226</v>
      </c>
      <c r="E151" s="6" t="s">
        <v>29</v>
      </c>
      <c r="F151" s="6" t="s">
        <v>267</v>
      </c>
      <c r="G151" s="6">
        <v>11</v>
      </c>
      <c r="H151" s="11" t="s">
        <v>742</v>
      </c>
      <c r="I151" s="18">
        <v>9550308814</v>
      </c>
      <c r="J151" s="10" t="s">
        <v>743</v>
      </c>
      <c r="K151" s="10" t="s">
        <v>743</v>
      </c>
      <c r="L151" s="6">
        <v>600</v>
      </c>
      <c r="M151" s="6">
        <v>600</v>
      </c>
      <c r="N151" s="7" t="s">
        <v>239</v>
      </c>
      <c r="O151" s="6" t="s">
        <v>239</v>
      </c>
      <c r="P151" s="6" t="s">
        <v>239</v>
      </c>
      <c r="Q151" s="6" t="s">
        <v>236</v>
      </c>
      <c r="R151" s="6"/>
      <c r="S151" s="6">
        <f t="shared" si="2"/>
        <v>600</v>
      </c>
      <c r="T151" s="6"/>
      <c r="U151" s="6"/>
      <c r="V151" s="6"/>
      <c r="W151" s="6" t="s">
        <v>236</v>
      </c>
      <c r="X151" s="6" t="s">
        <v>236</v>
      </c>
      <c r="Y151" s="6" t="s">
        <v>236</v>
      </c>
      <c r="Z151" s="6" t="s">
        <v>236</v>
      </c>
      <c r="AA151" s="6" t="s">
        <v>236</v>
      </c>
    </row>
    <row r="152" spans="1:27">
      <c r="A152" s="6">
        <v>151</v>
      </c>
      <c r="B152" s="6" t="s">
        <v>298</v>
      </c>
      <c r="C152" s="7">
        <v>46092</v>
      </c>
      <c r="D152" s="6" t="s">
        <v>226</v>
      </c>
      <c r="E152" s="6" t="s">
        <v>29</v>
      </c>
      <c r="F152" s="6" t="s">
        <v>267</v>
      </c>
      <c r="G152" s="6">
        <v>11</v>
      </c>
      <c r="H152" s="11" t="s">
        <v>744</v>
      </c>
      <c r="I152" s="6">
        <v>9108872615</v>
      </c>
      <c r="J152" s="10" t="s">
        <v>745</v>
      </c>
      <c r="K152" s="10" t="s">
        <v>745</v>
      </c>
      <c r="L152" s="6">
        <v>40</v>
      </c>
      <c r="M152" s="6">
        <v>40</v>
      </c>
      <c r="N152" s="7" t="s">
        <v>239</v>
      </c>
      <c r="O152" s="6" t="s">
        <v>239</v>
      </c>
      <c r="P152" s="6" t="s">
        <v>239</v>
      </c>
      <c r="Q152" s="6" t="s">
        <v>236</v>
      </c>
      <c r="R152" s="6"/>
      <c r="S152" s="6">
        <f t="shared" si="2"/>
        <v>40</v>
      </c>
      <c r="T152" s="6"/>
      <c r="U152" s="6"/>
      <c r="V152" s="6"/>
      <c r="W152" s="6" t="s">
        <v>236</v>
      </c>
      <c r="X152" s="6" t="s">
        <v>236</v>
      </c>
      <c r="Y152" s="6" t="s">
        <v>236</v>
      </c>
      <c r="Z152" s="6" t="s">
        <v>236</v>
      </c>
      <c r="AA152" s="6" t="s">
        <v>236</v>
      </c>
    </row>
    <row r="153" spans="1:27">
      <c r="A153" s="6">
        <v>152</v>
      </c>
      <c r="B153" s="6" t="s">
        <v>225</v>
      </c>
      <c r="C153" s="7">
        <v>46092</v>
      </c>
      <c r="D153" s="6" t="s">
        <v>226</v>
      </c>
      <c r="E153" s="6" t="s">
        <v>29</v>
      </c>
      <c r="F153" s="6" t="s">
        <v>746</v>
      </c>
      <c r="G153" s="6">
        <v>11</v>
      </c>
      <c r="H153" s="11" t="s">
        <v>747</v>
      </c>
      <c r="I153" s="11">
        <v>9884018930</v>
      </c>
      <c r="J153" s="10" t="s">
        <v>748</v>
      </c>
      <c r="K153" s="10" t="s">
        <v>748</v>
      </c>
      <c r="L153" s="6">
        <v>7300</v>
      </c>
      <c r="M153" s="6">
        <v>7300</v>
      </c>
      <c r="N153" s="7" t="s">
        <v>239</v>
      </c>
      <c r="O153" s="6" t="s">
        <v>239</v>
      </c>
      <c r="P153" s="6" t="s">
        <v>239</v>
      </c>
      <c r="Q153" s="6" t="s">
        <v>236</v>
      </c>
      <c r="R153" s="6"/>
      <c r="S153" s="6">
        <f t="shared" si="2"/>
        <v>7300</v>
      </c>
      <c r="T153" s="6"/>
      <c r="U153" s="6"/>
      <c r="V153" s="6"/>
      <c r="W153" s="6" t="s">
        <v>236</v>
      </c>
      <c r="X153" s="6" t="s">
        <v>236</v>
      </c>
      <c r="Y153" s="6" t="s">
        <v>236</v>
      </c>
      <c r="Z153" s="6" t="s">
        <v>236</v>
      </c>
      <c r="AA153" s="6" t="s">
        <v>236</v>
      </c>
    </row>
    <row r="154" spans="1:27">
      <c r="A154" s="6">
        <v>153</v>
      </c>
      <c r="B154" s="6" t="s">
        <v>225</v>
      </c>
      <c r="C154" s="7">
        <v>46092</v>
      </c>
      <c r="D154" s="6" t="s">
        <v>226</v>
      </c>
      <c r="E154" s="6" t="s">
        <v>29</v>
      </c>
      <c r="F154" s="6" t="s">
        <v>746</v>
      </c>
      <c r="G154" s="6">
        <v>11</v>
      </c>
      <c r="H154" s="11" t="s">
        <v>749</v>
      </c>
      <c r="I154" s="11">
        <v>9346706260</v>
      </c>
      <c r="J154" s="10" t="s">
        <v>750</v>
      </c>
      <c r="K154" s="10" t="s">
        <v>750</v>
      </c>
      <c r="L154" s="6">
        <v>3880</v>
      </c>
      <c r="M154" s="6">
        <v>3880</v>
      </c>
      <c r="N154" s="7" t="s">
        <v>239</v>
      </c>
      <c r="O154" s="6" t="s">
        <v>239</v>
      </c>
      <c r="P154" s="6" t="s">
        <v>239</v>
      </c>
      <c r="Q154" s="6" t="s">
        <v>236</v>
      </c>
      <c r="R154" s="6"/>
      <c r="S154" s="6">
        <f t="shared" si="2"/>
        <v>3880</v>
      </c>
      <c r="T154" s="6"/>
      <c r="U154" s="6"/>
      <c r="V154" s="6"/>
      <c r="W154" s="6" t="s">
        <v>236</v>
      </c>
      <c r="X154" s="6" t="s">
        <v>236</v>
      </c>
      <c r="Y154" s="6" t="s">
        <v>236</v>
      </c>
      <c r="Z154" s="6" t="s">
        <v>236</v>
      </c>
      <c r="AA154" s="6" t="s">
        <v>236</v>
      </c>
    </row>
    <row r="155" spans="1:27">
      <c r="A155" s="6">
        <v>154</v>
      </c>
      <c r="B155" s="6" t="s">
        <v>225</v>
      </c>
      <c r="C155" s="7">
        <v>46092</v>
      </c>
      <c r="D155" s="6" t="s">
        <v>226</v>
      </c>
      <c r="E155" s="6" t="s">
        <v>29</v>
      </c>
      <c r="F155" s="6" t="s">
        <v>746</v>
      </c>
      <c r="G155" s="6">
        <v>11</v>
      </c>
      <c r="H155" s="11" t="s">
        <v>751</v>
      </c>
      <c r="I155" s="11">
        <v>9122725004</v>
      </c>
      <c r="J155" s="10" t="s">
        <v>752</v>
      </c>
      <c r="K155" s="10" t="s">
        <v>752</v>
      </c>
      <c r="L155" s="6">
        <v>2260</v>
      </c>
      <c r="M155" s="6">
        <v>2260</v>
      </c>
      <c r="N155" s="7" t="s">
        <v>239</v>
      </c>
      <c r="O155" s="6" t="s">
        <v>239</v>
      </c>
      <c r="P155" s="6" t="s">
        <v>239</v>
      </c>
      <c r="Q155" s="6" t="s">
        <v>236</v>
      </c>
      <c r="R155" s="6"/>
      <c r="S155" s="6">
        <f t="shared" si="2"/>
        <v>2260</v>
      </c>
      <c r="T155" s="6"/>
      <c r="U155" s="6"/>
      <c r="V155" s="6"/>
      <c r="W155" s="6" t="s">
        <v>236</v>
      </c>
      <c r="X155" s="6" t="s">
        <v>236</v>
      </c>
      <c r="Y155" s="6" t="s">
        <v>236</v>
      </c>
      <c r="Z155" s="6" t="s">
        <v>236</v>
      </c>
      <c r="AA155" s="6" t="s">
        <v>236</v>
      </c>
    </row>
    <row r="156" spans="1:27">
      <c r="A156" s="6">
        <v>155</v>
      </c>
      <c r="B156" s="6" t="s">
        <v>225</v>
      </c>
      <c r="C156" s="7">
        <v>46092</v>
      </c>
      <c r="D156" s="6" t="s">
        <v>226</v>
      </c>
      <c r="E156" s="6" t="s">
        <v>29</v>
      </c>
      <c r="F156" s="6" t="s">
        <v>746</v>
      </c>
      <c r="G156" s="6">
        <v>11</v>
      </c>
      <c r="H156" s="11" t="s">
        <v>753</v>
      </c>
      <c r="I156" s="11">
        <v>9666274735</v>
      </c>
      <c r="J156" s="10" t="s">
        <v>754</v>
      </c>
      <c r="K156" s="10" t="s">
        <v>754</v>
      </c>
      <c r="L156" s="6">
        <v>1420</v>
      </c>
      <c r="M156" s="6">
        <v>1420</v>
      </c>
      <c r="N156" s="7" t="s">
        <v>239</v>
      </c>
      <c r="O156" s="6" t="s">
        <v>239</v>
      </c>
      <c r="P156" s="6" t="s">
        <v>239</v>
      </c>
      <c r="Q156" s="6" t="s">
        <v>236</v>
      </c>
      <c r="R156" s="6"/>
      <c r="S156" s="6">
        <f t="shared" si="2"/>
        <v>1420</v>
      </c>
      <c r="T156" s="6"/>
      <c r="U156" s="6"/>
      <c r="V156" s="6"/>
      <c r="W156" s="6" t="s">
        <v>236</v>
      </c>
      <c r="X156" s="6" t="s">
        <v>236</v>
      </c>
      <c r="Y156" s="6" t="s">
        <v>236</v>
      </c>
      <c r="Z156" s="6" t="s">
        <v>236</v>
      </c>
      <c r="AA156" s="6" t="s">
        <v>236</v>
      </c>
    </row>
    <row r="157" spans="1:27">
      <c r="A157" s="6">
        <v>156</v>
      </c>
      <c r="B157" s="6" t="s">
        <v>225</v>
      </c>
      <c r="C157" s="7">
        <v>46092</v>
      </c>
      <c r="D157" s="6" t="s">
        <v>226</v>
      </c>
      <c r="E157" s="6" t="s">
        <v>29</v>
      </c>
      <c r="F157" s="6" t="s">
        <v>746</v>
      </c>
      <c r="G157" s="6">
        <v>11</v>
      </c>
      <c r="H157" s="11" t="s">
        <v>755</v>
      </c>
      <c r="I157" s="11">
        <v>9333444183</v>
      </c>
      <c r="J157" s="10" t="s">
        <v>756</v>
      </c>
      <c r="K157" s="10" t="s">
        <v>756</v>
      </c>
      <c r="L157" s="6">
        <v>1760</v>
      </c>
      <c r="M157" s="6">
        <v>1760</v>
      </c>
      <c r="N157" s="7" t="s">
        <v>239</v>
      </c>
      <c r="O157" s="6" t="s">
        <v>239</v>
      </c>
      <c r="P157" s="6" t="s">
        <v>239</v>
      </c>
      <c r="Q157" s="6" t="s">
        <v>236</v>
      </c>
      <c r="R157" s="6"/>
      <c r="S157" s="6">
        <f t="shared" si="2"/>
        <v>1760</v>
      </c>
      <c r="T157" s="6"/>
      <c r="U157" s="6"/>
      <c r="V157" s="6"/>
      <c r="W157" s="6" t="s">
        <v>236</v>
      </c>
      <c r="X157" s="6" t="s">
        <v>236</v>
      </c>
      <c r="Y157" s="6" t="s">
        <v>236</v>
      </c>
      <c r="Z157" s="6" t="s">
        <v>236</v>
      </c>
      <c r="AA157" s="6" t="s">
        <v>236</v>
      </c>
    </row>
    <row r="158" spans="1:27">
      <c r="A158" s="6">
        <v>157</v>
      </c>
      <c r="B158" s="6" t="s">
        <v>298</v>
      </c>
      <c r="C158" s="7">
        <v>46092</v>
      </c>
      <c r="D158" s="6" t="s">
        <v>226</v>
      </c>
      <c r="E158" s="6" t="s">
        <v>29</v>
      </c>
      <c r="F158" s="6" t="s">
        <v>746</v>
      </c>
      <c r="G158" s="6">
        <v>11</v>
      </c>
      <c r="H158" s="11" t="s">
        <v>757</v>
      </c>
      <c r="I158" s="11">
        <v>8971537739</v>
      </c>
      <c r="J158" s="10" t="s">
        <v>758</v>
      </c>
      <c r="K158" s="10" t="s">
        <v>758</v>
      </c>
      <c r="L158" s="6">
        <v>640</v>
      </c>
      <c r="M158" s="6">
        <v>640</v>
      </c>
      <c r="N158" s="7" t="s">
        <v>239</v>
      </c>
      <c r="O158" s="6" t="s">
        <v>239</v>
      </c>
      <c r="P158" s="6" t="s">
        <v>239</v>
      </c>
      <c r="Q158" s="6" t="s">
        <v>236</v>
      </c>
      <c r="R158" s="6"/>
      <c r="S158" s="6">
        <f t="shared" si="2"/>
        <v>640</v>
      </c>
      <c r="T158" s="6"/>
      <c r="U158" s="6"/>
      <c r="V158" s="6"/>
      <c r="W158" s="6" t="s">
        <v>236</v>
      </c>
      <c r="X158" s="6" t="s">
        <v>236</v>
      </c>
      <c r="Y158" s="6" t="s">
        <v>236</v>
      </c>
      <c r="Z158" s="6" t="s">
        <v>236</v>
      </c>
      <c r="AA158" s="6" t="s">
        <v>236</v>
      </c>
    </row>
    <row r="159" spans="1:27">
      <c r="A159" s="6">
        <v>158</v>
      </c>
      <c r="B159" s="6" t="s">
        <v>225</v>
      </c>
      <c r="C159" s="7">
        <v>46092</v>
      </c>
      <c r="D159" s="6" t="s">
        <v>226</v>
      </c>
      <c r="E159" s="6" t="s">
        <v>29</v>
      </c>
      <c r="F159" s="6" t="s">
        <v>746</v>
      </c>
      <c r="G159" s="6">
        <v>11</v>
      </c>
      <c r="H159" s="11" t="s">
        <v>759</v>
      </c>
      <c r="I159" s="11">
        <v>9003187077</v>
      </c>
      <c r="J159" s="10" t="s">
        <v>760</v>
      </c>
      <c r="K159" s="10" t="s">
        <v>760</v>
      </c>
      <c r="L159" s="6">
        <v>1980</v>
      </c>
      <c r="M159" s="6">
        <v>1980</v>
      </c>
      <c r="N159" s="7" t="s">
        <v>239</v>
      </c>
      <c r="O159" s="6" t="s">
        <v>239</v>
      </c>
      <c r="P159" s="6" t="s">
        <v>239</v>
      </c>
      <c r="Q159" s="6" t="s">
        <v>236</v>
      </c>
      <c r="R159" s="6"/>
      <c r="S159" s="6">
        <f t="shared" si="2"/>
        <v>1980</v>
      </c>
      <c r="T159" s="6"/>
      <c r="U159" s="6"/>
      <c r="V159" s="6"/>
      <c r="W159" s="6" t="s">
        <v>236</v>
      </c>
      <c r="X159" s="6" t="s">
        <v>236</v>
      </c>
      <c r="Y159" s="6" t="s">
        <v>236</v>
      </c>
      <c r="Z159" s="6" t="s">
        <v>236</v>
      </c>
      <c r="AA159" s="6" t="s">
        <v>236</v>
      </c>
    </row>
    <row r="160" spans="1:27">
      <c r="A160" s="6">
        <v>159</v>
      </c>
      <c r="B160" s="6" t="s">
        <v>298</v>
      </c>
      <c r="C160" s="7">
        <v>46092</v>
      </c>
      <c r="D160" s="6" t="s">
        <v>226</v>
      </c>
      <c r="E160" s="6" t="s">
        <v>29</v>
      </c>
      <c r="F160" s="6" t="s">
        <v>746</v>
      </c>
      <c r="G160" s="6">
        <v>11</v>
      </c>
      <c r="H160" s="11" t="s">
        <v>761</v>
      </c>
      <c r="I160" s="11">
        <v>6302349039</v>
      </c>
      <c r="J160" s="10" t="s">
        <v>762</v>
      </c>
      <c r="K160" s="10" t="s">
        <v>762</v>
      </c>
      <c r="L160" s="6">
        <v>70</v>
      </c>
      <c r="M160" s="6">
        <v>70</v>
      </c>
      <c r="N160" s="7" t="s">
        <v>239</v>
      </c>
      <c r="O160" s="6" t="s">
        <v>239</v>
      </c>
      <c r="P160" s="6" t="s">
        <v>239</v>
      </c>
      <c r="Q160" s="6" t="s">
        <v>236</v>
      </c>
      <c r="R160" s="6"/>
      <c r="S160" s="6">
        <f t="shared" si="2"/>
        <v>70</v>
      </c>
      <c r="T160" s="6"/>
      <c r="U160" s="6"/>
      <c r="V160" s="6"/>
      <c r="W160" s="6" t="s">
        <v>236</v>
      </c>
      <c r="X160" s="6" t="s">
        <v>236</v>
      </c>
      <c r="Y160" s="6" t="s">
        <v>236</v>
      </c>
      <c r="Z160" s="6" t="s">
        <v>236</v>
      </c>
      <c r="AA160" s="6" t="s">
        <v>236</v>
      </c>
    </row>
    <row r="161" spans="1:27">
      <c r="A161" s="6">
        <v>160</v>
      </c>
      <c r="B161" s="6" t="s">
        <v>225</v>
      </c>
      <c r="C161" s="7">
        <v>46092</v>
      </c>
      <c r="D161" s="6" t="s">
        <v>226</v>
      </c>
      <c r="E161" s="6" t="s">
        <v>29</v>
      </c>
      <c r="F161" s="6" t="s">
        <v>746</v>
      </c>
      <c r="G161" s="6">
        <v>11</v>
      </c>
      <c r="H161" s="11" t="s">
        <v>763</v>
      </c>
      <c r="I161" s="11">
        <v>9822306453</v>
      </c>
      <c r="J161" s="10" t="s">
        <v>764</v>
      </c>
      <c r="K161" s="10" t="s">
        <v>764</v>
      </c>
      <c r="L161" s="6">
        <v>610</v>
      </c>
      <c r="M161" s="6">
        <v>610</v>
      </c>
      <c r="N161" s="7" t="s">
        <v>239</v>
      </c>
      <c r="O161" s="6" t="s">
        <v>239</v>
      </c>
      <c r="P161" s="6" t="s">
        <v>239</v>
      </c>
      <c r="Q161" s="6" t="s">
        <v>236</v>
      </c>
      <c r="R161" s="6"/>
      <c r="S161" s="6">
        <f t="shared" si="2"/>
        <v>610</v>
      </c>
      <c r="T161" s="6"/>
      <c r="U161" s="6"/>
      <c r="V161" s="6"/>
      <c r="W161" s="6" t="s">
        <v>236</v>
      </c>
      <c r="X161" s="6" t="s">
        <v>236</v>
      </c>
      <c r="Y161" s="6" t="s">
        <v>236</v>
      </c>
      <c r="Z161" s="6" t="s">
        <v>236</v>
      </c>
      <c r="AA161" s="6" t="s">
        <v>236</v>
      </c>
    </row>
    <row r="162" spans="1:27">
      <c r="A162" s="6">
        <v>161</v>
      </c>
      <c r="B162" s="6" t="s">
        <v>225</v>
      </c>
      <c r="C162" s="7">
        <v>46092</v>
      </c>
      <c r="D162" s="6" t="s">
        <v>226</v>
      </c>
      <c r="E162" s="6" t="s">
        <v>29</v>
      </c>
      <c r="F162" s="6" t="s">
        <v>746</v>
      </c>
      <c r="G162" s="6">
        <v>11</v>
      </c>
      <c r="H162" s="11" t="s">
        <v>765</v>
      </c>
      <c r="I162" s="11">
        <v>9391489944</v>
      </c>
      <c r="J162" s="10" t="s">
        <v>766</v>
      </c>
      <c r="K162" s="10" t="s">
        <v>766</v>
      </c>
      <c r="L162" s="6">
        <v>900</v>
      </c>
      <c r="M162" s="6">
        <v>900</v>
      </c>
      <c r="N162" s="7" t="s">
        <v>239</v>
      </c>
      <c r="O162" s="6" t="s">
        <v>239</v>
      </c>
      <c r="P162" s="6" t="s">
        <v>239</v>
      </c>
      <c r="Q162" s="6" t="s">
        <v>236</v>
      </c>
      <c r="R162" s="6"/>
      <c r="S162" s="6">
        <f t="shared" si="2"/>
        <v>900</v>
      </c>
      <c r="T162" s="6"/>
      <c r="U162" s="6"/>
      <c r="V162" s="6"/>
      <c r="W162" s="6" t="s">
        <v>236</v>
      </c>
      <c r="X162" s="6" t="s">
        <v>236</v>
      </c>
      <c r="Y162" s="6" t="s">
        <v>236</v>
      </c>
      <c r="Z162" s="6" t="s">
        <v>236</v>
      </c>
      <c r="AA162" s="6" t="s">
        <v>236</v>
      </c>
    </row>
    <row r="163" spans="1:27">
      <c r="A163" s="6">
        <v>162</v>
      </c>
      <c r="B163" s="6" t="s">
        <v>298</v>
      </c>
      <c r="C163" s="7">
        <v>46092</v>
      </c>
      <c r="D163" s="6" t="s">
        <v>226</v>
      </c>
      <c r="E163" s="6" t="s">
        <v>29</v>
      </c>
      <c r="F163" s="6" t="s">
        <v>767</v>
      </c>
      <c r="G163" s="6">
        <v>11</v>
      </c>
      <c r="H163" s="12" t="s">
        <v>768</v>
      </c>
      <c r="I163" s="12" t="s">
        <v>769</v>
      </c>
      <c r="J163" s="12" t="s">
        <v>770</v>
      </c>
      <c r="K163" s="12" t="s">
        <v>770</v>
      </c>
      <c r="L163" s="12">
        <v>78060</v>
      </c>
      <c r="M163" s="12">
        <v>78060</v>
      </c>
      <c r="N163" s="7"/>
      <c r="O163" s="6" t="s">
        <v>771</v>
      </c>
      <c r="P163" s="6" t="s">
        <v>52</v>
      </c>
      <c r="Q163" s="6" t="s">
        <v>772</v>
      </c>
      <c r="R163" s="6">
        <v>40000</v>
      </c>
      <c r="S163" s="6">
        <f t="shared" si="2"/>
        <v>38060</v>
      </c>
      <c r="T163" s="7">
        <v>46160</v>
      </c>
      <c r="U163" s="6" t="s">
        <v>773</v>
      </c>
      <c r="V163" s="6"/>
      <c r="W163" s="12" t="s">
        <v>774</v>
      </c>
      <c r="X163" s="12" t="s">
        <v>775</v>
      </c>
      <c r="Y163" s="12" t="s">
        <v>776</v>
      </c>
      <c r="Z163" s="12" t="s">
        <v>178</v>
      </c>
      <c r="AA163" s="6" t="s">
        <v>235</v>
      </c>
    </row>
    <row r="164" spans="1:27">
      <c r="A164" s="6">
        <v>163</v>
      </c>
      <c r="B164" s="6" t="s">
        <v>225</v>
      </c>
      <c r="C164" s="7">
        <v>46092</v>
      </c>
      <c r="D164" s="6" t="s">
        <v>226</v>
      </c>
      <c r="E164" s="6" t="s">
        <v>29</v>
      </c>
      <c r="F164" s="6" t="s">
        <v>767</v>
      </c>
      <c r="G164" s="6">
        <v>11</v>
      </c>
      <c r="H164" s="12" t="s">
        <v>777</v>
      </c>
      <c r="I164" s="12" t="s">
        <v>778</v>
      </c>
      <c r="J164" s="12" t="s">
        <v>779</v>
      </c>
      <c r="K164" s="12" t="s">
        <v>779</v>
      </c>
      <c r="L164" s="12">
        <v>29078.3</v>
      </c>
      <c r="M164" s="12">
        <v>19100</v>
      </c>
      <c r="N164" s="7"/>
      <c r="O164" s="6" t="s">
        <v>780</v>
      </c>
      <c r="P164" s="6" t="s">
        <v>52</v>
      </c>
      <c r="Q164" s="6" t="s">
        <v>772</v>
      </c>
      <c r="R164" s="6">
        <v>9000</v>
      </c>
      <c r="S164" s="6">
        <f t="shared" si="2"/>
        <v>10100</v>
      </c>
      <c r="T164" s="7">
        <v>46117</v>
      </c>
      <c r="U164" s="6" t="s">
        <v>781</v>
      </c>
      <c r="V164" s="6"/>
      <c r="W164" s="12" t="s">
        <v>774</v>
      </c>
      <c r="X164" s="12" t="s">
        <v>782</v>
      </c>
      <c r="Y164" s="12" t="s">
        <v>783</v>
      </c>
      <c r="Z164" s="12" t="s">
        <v>160</v>
      </c>
      <c r="AA164" s="6" t="s">
        <v>235</v>
      </c>
    </row>
    <row r="165" spans="1:27">
      <c r="A165" s="6">
        <v>164</v>
      </c>
      <c r="B165" s="6" t="s">
        <v>225</v>
      </c>
      <c r="C165" s="7">
        <v>46092</v>
      </c>
      <c r="D165" s="6" t="s">
        <v>226</v>
      </c>
      <c r="E165" s="6" t="s">
        <v>29</v>
      </c>
      <c r="F165" s="6" t="s">
        <v>767</v>
      </c>
      <c r="G165" s="6">
        <v>11</v>
      </c>
      <c r="H165" s="12" t="s">
        <v>784</v>
      </c>
      <c r="I165" s="12">
        <v>9959299590</v>
      </c>
      <c r="J165" s="12" t="s">
        <v>785</v>
      </c>
      <c r="K165" s="12" t="s">
        <v>785</v>
      </c>
      <c r="L165" s="12">
        <v>6250</v>
      </c>
      <c r="M165" s="12">
        <v>6250</v>
      </c>
      <c r="N165" s="7" t="s">
        <v>239</v>
      </c>
      <c r="O165" s="6" t="s">
        <v>239</v>
      </c>
      <c r="P165" s="6" t="s">
        <v>239</v>
      </c>
      <c r="Q165" s="6" t="s">
        <v>772</v>
      </c>
      <c r="R165" s="6"/>
      <c r="S165" s="6">
        <f t="shared" si="2"/>
        <v>6250</v>
      </c>
      <c r="T165" s="6"/>
      <c r="U165" s="6"/>
      <c r="V165" s="6"/>
      <c r="W165" s="12" t="s">
        <v>643</v>
      </c>
      <c r="X165" s="12" t="s">
        <v>644</v>
      </c>
      <c r="Y165" s="12" t="s">
        <v>786</v>
      </c>
      <c r="Z165" s="12" t="s">
        <v>215</v>
      </c>
      <c r="AA165" s="6" t="s">
        <v>235</v>
      </c>
    </row>
    <row r="166" spans="1:27">
      <c r="A166" s="6">
        <v>165</v>
      </c>
      <c r="B166" s="6" t="s">
        <v>225</v>
      </c>
      <c r="C166" s="7">
        <v>46092</v>
      </c>
      <c r="D166" s="6" t="s">
        <v>226</v>
      </c>
      <c r="E166" s="6" t="s">
        <v>29</v>
      </c>
      <c r="F166" s="6" t="s">
        <v>767</v>
      </c>
      <c r="G166" s="6">
        <v>11</v>
      </c>
      <c r="H166" s="12" t="s">
        <v>787</v>
      </c>
      <c r="I166" s="12" t="s">
        <v>788</v>
      </c>
      <c r="J166" s="12" t="s">
        <v>789</v>
      </c>
      <c r="K166" s="12" t="s">
        <v>789</v>
      </c>
      <c r="L166" s="12">
        <v>3970</v>
      </c>
      <c r="M166" s="12">
        <v>3970</v>
      </c>
      <c r="N166" s="7" t="s">
        <v>239</v>
      </c>
      <c r="O166" s="6" t="s">
        <v>239</v>
      </c>
      <c r="P166" s="6" t="s">
        <v>239</v>
      </c>
      <c r="Q166" s="6" t="s">
        <v>772</v>
      </c>
      <c r="R166" s="6"/>
      <c r="S166" s="6">
        <f t="shared" si="2"/>
        <v>3970</v>
      </c>
      <c r="T166" s="6"/>
      <c r="U166" s="6"/>
      <c r="V166" s="6"/>
      <c r="W166" s="12" t="s">
        <v>790</v>
      </c>
      <c r="X166" s="12" t="s">
        <v>394</v>
      </c>
      <c r="Y166" s="12" t="s">
        <v>791</v>
      </c>
      <c r="Z166" s="12" t="s">
        <v>792</v>
      </c>
      <c r="AA166" s="6" t="s">
        <v>235</v>
      </c>
    </row>
    <row r="167" spans="1:27">
      <c r="A167" s="6">
        <v>166</v>
      </c>
      <c r="B167" s="6" t="s">
        <v>225</v>
      </c>
      <c r="C167" s="7">
        <v>46092</v>
      </c>
      <c r="D167" s="6" t="s">
        <v>226</v>
      </c>
      <c r="E167" s="6" t="s">
        <v>29</v>
      </c>
      <c r="F167" s="6" t="s">
        <v>767</v>
      </c>
      <c r="G167" s="6">
        <v>11</v>
      </c>
      <c r="H167" s="12" t="s">
        <v>793</v>
      </c>
      <c r="I167" s="12" t="s">
        <v>794</v>
      </c>
      <c r="J167" s="12" t="s">
        <v>795</v>
      </c>
      <c r="K167" s="12" t="s">
        <v>795</v>
      </c>
      <c r="L167" s="12">
        <v>3900</v>
      </c>
      <c r="M167" s="12">
        <v>3900</v>
      </c>
      <c r="N167" s="7" t="s">
        <v>239</v>
      </c>
      <c r="O167" s="6" t="s">
        <v>239</v>
      </c>
      <c r="P167" s="6" t="s">
        <v>239</v>
      </c>
      <c r="Q167" s="6" t="s">
        <v>772</v>
      </c>
      <c r="R167" s="6"/>
      <c r="S167" s="6">
        <f t="shared" si="2"/>
        <v>3900</v>
      </c>
      <c r="T167" s="6"/>
      <c r="U167" s="6"/>
      <c r="V167" s="6"/>
      <c r="W167" s="12" t="s">
        <v>790</v>
      </c>
      <c r="X167" s="12" t="s">
        <v>796</v>
      </c>
      <c r="Y167" s="12" t="s">
        <v>797</v>
      </c>
      <c r="Z167" s="12" t="s">
        <v>309</v>
      </c>
      <c r="AA167" s="6" t="s">
        <v>235</v>
      </c>
    </row>
    <row r="168" spans="1:27">
      <c r="A168" s="6">
        <v>167</v>
      </c>
      <c r="B168" s="6" t="s">
        <v>225</v>
      </c>
      <c r="C168" s="7">
        <v>46092</v>
      </c>
      <c r="D168" s="6" t="s">
        <v>226</v>
      </c>
      <c r="E168" s="6" t="s">
        <v>29</v>
      </c>
      <c r="F168" s="6" t="s">
        <v>767</v>
      </c>
      <c r="G168" s="6">
        <v>11</v>
      </c>
      <c r="H168" s="12" t="s">
        <v>798</v>
      </c>
      <c r="I168" s="12" t="s">
        <v>799</v>
      </c>
      <c r="J168" s="12" t="s">
        <v>800</v>
      </c>
      <c r="K168" s="12" t="s">
        <v>800</v>
      </c>
      <c r="L168" s="12">
        <v>2346.9899999999998</v>
      </c>
      <c r="M168" s="12">
        <v>2346.9899999999998</v>
      </c>
      <c r="N168" s="7" t="s">
        <v>239</v>
      </c>
      <c r="O168" s="6" t="s">
        <v>239</v>
      </c>
      <c r="P168" s="6" t="s">
        <v>239</v>
      </c>
      <c r="Q168" s="6" t="s">
        <v>772</v>
      </c>
      <c r="R168" s="6"/>
      <c r="S168" s="6">
        <f t="shared" si="2"/>
        <v>2346.9899999999998</v>
      </c>
      <c r="T168" s="6"/>
      <c r="U168" s="6"/>
      <c r="V168" s="6"/>
      <c r="W168" s="12" t="s">
        <v>643</v>
      </c>
      <c r="X168" s="12" t="s">
        <v>801</v>
      </c>
      <c r="Y168" s="12" t="s">
        <v>802</v>
      </c>
      <c r="Z168" s="12" t="s">
        <v>84</v>
      </c>
      <c r="AA168" s="6" t="s">
        <v>235</v>
      </c>
    </row>
    <row r="169" spans="1:27">
      <c r="A169" s="6">
        <v>168</v>
      </c>
      <c r="B169" s="6" t="s">
        <v>225</v>
      </c>
      <c r="C169" s="7">
        <v>46092</v>
      </c>
      <c r="D169" s="6" t="s">
        <v>226</v>
      </c>
      <c r="E169" s="6" t="s">
        <v>29</v>
      </c>
      <c r="F169" s="6" t="s">
        <v>364</v>
      </c>
      <c r="G169" s="6">
        <v>12</v>
      </c>
      <c r="H169" s="6" t="s">
        <v>803</v>
      </c>
      <c r="I169" s="6" t="s">
        <v>804</v>
      </c>
      <c r="J169" s="10" t="s">
        <v>805</v>
      </c>
      <c r="K169" s="10" t="s">
        <v>805</v>
      </c>
      <c r="L169" s="6">
        <v>10301</v>
      </c>
      <c r="M169" s="6">
        <v>10301</v>
      </c>
      <c r="N169" s="7">
        <v>46093</v>
      </c>
      <c r="O169" s="6" t="s">
        <v>232</v>
      </c>
      <c r="P169" s="6" t="s">
        <v>52</v>
      </c>
      <c r="Q169" s="6" t="s">
        <v>230</v>
      </c>
      <c r="R169" s="6">
        <v>10301</v>
      </c>
      <c r="S169" s="6">
        <f t="shared" si="2"/>
        <v>0</v>
      </c>
      <c r="T169" s="7">
        <v>46093</v>
      </c>
      <c r="U169" s="6" t="s">
        <v>806</v>
      </c>
      <c r="V169" s="6" t="s">
        <v>54</v>
      </c>
      <c r="W169" s="6" t="s">
        <v>731</v>
      </c>
      <c r="X169" s="6" t="s">
        <v>807</v>
      </c>
      <c r="Y169" s="6" t="s">
        <v>808</v>
      </c>
      <c r="Z169" s="6" t="s">
        <v>809</v>
      </c>
      <c r="AA169" s="6" t="s">
        <v>235</v>
      </c>
    </row>
    <row r="170" spans="1:27">
      <c r="A170" s="6">
        <v>169</v>
      </c>
      <c r="B170" s="6" t="s">
        <v>225</v>
      </c>
      <c r="C170" s="7">
        <v>46093</v>
      </c>
      <c r="D170" s="6" t="s">
        <v>226</v>
      </c>
      <c r="E170" s="6" t="s">
        <v>29</v>
      </c>
      <c r="F170" s="6" t="s">
        <v>294</v>
      </c>
      <c r="G170" s="6">
        <v>12</v>
      </c>
      <c r="H170" s="19" t="s">
        <v>810</v>
      </c>
      <c r="I170" s="19" t="s">
        <v>811</v>
      </c>
      <c r="J170" s="19" t="s">
        <v>812</v>
      </c>
      <c r="K170" s="19" t="s">
        <v>812</v>
      </c>
      <c r="L170" s="20">
        <v>29200</v>
      </c>
      <c r="M170" s="20">
        <v>29200</v>
      </c>
      <c r="N170" s="7">
        <v>46123</v>
      </c>
      <c r="O170" s="6" t="s">
        <v>813</v>
      </c>
      <c r="P170" s="6" t="s">
        <v>52</v>
      </c>
      <c r="Q170" s="6" t="s">
        <v>298</v>
      </c>
      <c r="R170" s="6">
        <f>5000+9500+5000+9700</f>
        <v>29200</v>
      </c>
      <c r="S170" s="6">
        <f t="shared" si="2"/>
        <v>0</v>
      </c>
      <c r="T170" s="7">
        <v>46123</v>
      </c>
      <c r="U170" s="6" t="s">
        <v>814</v>
      </c>
      <c r="V170" s="6" t="s">
        <v>54</v>
      </c>
      <c r="W170" s="19" t="s">
        <v>298</v>
      </c>
      <c r="X170" s="19" t="s">
        <v>796</v>
      </c>
      <c r="Y170" s="19" t="s">
        <v>815</v>
      </c>
      <c r="Z170" s="6" t="s">
        <v>309</v>
      </c>
      <c r="AA170" s="6" t="s">
        <v>235</v>
      </c>
    </row>
    <row r="171" spans="1:27">
      <c r="A171" s="6">
        <v>170</v>
      </c>
      <c r="B171" s="6" t="s">
        <v>225</v>
      </c>
      <c r="C171" s="7">
        <v>46093</v>
      </c>
      <c r="D171" s="6" t="s">
        <v>226</v>
      </c>
      <c r="E171" s="6" t="s">
        <v>29</v>
      </c>
      <c r="F171" s="6" t="s">
        <v>294</v>
      </c>
      <c r="G171" s="6">
        <v>12</v>
      </c>
      <c r="H171" s="19" t="s">
        <v>816</v>
      </c>
      <c r="I171" s="19">
        <v>9742748989</v>
      </c>
      <c r="J171" s="21" t="s">
        <v>817</v>
      </c>
      <c r="K171" s="21" t="s">
        <v>817</v>
      </c>
      <c r="L171" s="20">
        <v>6621</v>
      </c>
      <c r="M171" s="20">
        <v>6621</v>
      </c>
      <c r="N171" s="7">
        <v>46119</v>
      </c>
      <c r="O171" s="12" t="s">
        <v>818</v>
      </c>
      <c r="P171" s="6" t="s">
        <v>52</v>
      </c>
      <c r="Q171" s="6" t="s">
        <v>298</v>
      </c>
      <c r="R171" s="6">
        <v>6000</v>
      </c>
      <c r="S171" s="6">
        <f t="shared" si="2"/>
        <v>621</v>
      </c>
      <c r="T171" s="7">
        <v>46119</v>
      </c>
      <c r="U171" s="6" t="s">
        <v>819</v>
      </c>
      <c r="V171" s="6"/>
      <c r="W171" s="19" t="s">
        <v>298</v>
      </c>
      <c r="X171" s="19" t="s">
        <v>782</v>
      </c>
      <c r="Y171" s="19" t="s">
        <v>820</v>
      </c>
      <c r="Z171" s="19" t="s">
        <v>821</v>
      </c>
      <c r="AA171" s="6" t="s">
        <v>235</v>
      </c>
    </row>
    <row r="172" spans="1:27">
      <c r="A172" s="6">
        <v>171</v>
      </c>
      <c r="B172" s="6" t="s">
        <v>225</v>
      </c>
      <c r="C172" s="7">
        <v>46093</v>
      </c>
      <c r="D172" s="6" t="s">
        <v>226</v>
      </c>
      <c r="E172" s="6" t="s">
        <v>29</v>
      </c>
      <c r="F172" s="6" t="s">
        <v>310</v>
      </c>
      <c r="G172" s="6">
        <v>12</v>
      </c>
      <c r="H172" s="12" t="s">
        <v>822</v>
      </c>
      <c r="I172" s="12" t="s">
        <v>823</v>
      </c>
      <c r="J172" s="12" t="s">
        <v>824</v>
      </c>
      <c r="K172" s="12" t="s">
        <v>824</v>
      </c>
      <c r="L172" s="13">
        <v>39150</v>
      </c>
      <c r="M172" s="13">
        <v>9150</v>
      </c>
      <c r="N172" s="7">
        <v>46096</v>
      </c>
      <c r="O172" s="8" t="s">
        <v>825</v>
      </c>
      <c r="P172" s="6" t="s">
        <v>52</v>
      </c>
      <c r="Q172" s="6" t="s">
        <v>314</v>
      </c>
      <c r="R172" s="6">
        <v>9150</v>
      </c>
      <c r="S172" s="6">
        <f t="shared" si="2"/>
        <v>0</v>
      </c>
      <c r="T172" s="7">
        <v>46115</v>
      </c>
      <c r="U172" s="6" t="s">
        <v>826</v>
      </c>
      <c r="V172" s="6" t="s">
        <v>54</v>
      </c>
      <c r="W172" s="8" t="s">
        <v>643</v>
      </c>
      <c r="X172" s="12" t="s">
        <v>827</v>
      </c>
      <c r="Y172" s="12" t="s">
        <v>828</v>
      </c>
      <c r="Z172" s="12" t="s">
        <v>178</v>
      </c>
      <c r="AA172" s="6" t="s">
        <v>40</v>
      </c>
    </row>
    <row r="173" spans="1:27">
      <c r="A173" s="6">
        <v>172</v>
      </c>
      <c r="B173" s="6" t="s">
        <v>225</v>
      </c>
      <c r="C173" s="7">
        <v>46093</v>
      </c>
      <c r="D173" s="6" t="s">
        <v>226</v>
      </c>
      <c r="E173" s="6" t="s">
        <v>29</v>
      </c>
      <c r="F173" s="6" t="s">
        <v>310</v>
      </c>
      <c r="G173" s="6">
        <v>12</v>
      </c>
      <c r="H173" s="12" t="s">
        <v>829</v>
      </c>
      <c r="I173" s="12" t="s">
        <v>830</v>
      </c>
      <c r="J173" s="12" t="s">
        <v>831</v>
      </c>
      <c r="K173" s="12" t="s">
        <v>831</v>
      </c>
      <c r="L173" s="13">
        <v>41920</v>
      </c>
      <c r="M173" s="13">
        <v>16920</v>
      </c>
      <c r="N173" s="7">
        <v>46096</v>
      </c>
      <c r="O173" s="8" t="s">
        <v>315</v>
      </c>
      <c r="P173" s="6" t="s">
        <v>52</v>
      </c>
      <c r="Q173" s="6" t="s">
        <v>314</v>
      </c>
      <c r="R173" s="6"/>
      <c r="S173" s="6">
        <f t="shared" si="2"/>
        <v>16920</v>
      </c>
      <c r="T173" s="6"/>
      <c r="U173" s="6"/>
      <c r="V173" s="6"/>
      <c r="W173" s="8" t="s">
        <v>315</v>
      </c>
      <c r="X173" s="12" t="s">
        <v>832</v>
      </c>
      <c r="Y173" s="12" t="s">
        <v>833</v>
      </c>
      <c r="Z173" s="12" t="s">
        <v>834</v>
      </c>
      <c r="AA173" s="6" t="s">
        <v>40</v>
      </c>
    </row>
    <row r="174" spans="1:27">
      <c r="A174" s="6">
        <v>173</v>
      </c>
      <c r="B174" s="6" t="s">
        <v>225</v>
      </c>
      <c r="C174" s="7">
        <v>46093</v>
      </c>
      <c r="D174" s="6" t="s">
        <v>226</v>
      </c>
      <c r="E174" s="6" t="s">
        <v>29</v>
      </c>
      <c r="F174" s="6" t="s">
        <v>310</v>
      </c>
      <c r="G174" s="6">
        <v>12</v>
      </c>
      <c r="H174" s="12" t="s">
        <v>835</v>
      </c>
      <c r="I174" s="12" t="s">
        <v>836</v>
      </c>
      <c r="J174" s="12" t="s">
        <v>837</v>
      </c>
      <c r="K174" s="12" t="s">
        <v>837</v>
      </c>
      <c r="L174" s="13">
        <v>34680</v>
      </c>
      <c r="M174" s="13">
        <v>7680</v>
      </c>
      <c r="N174" s="22">
        <v>45729</v>
      </c>
      <c r="O174" s="8" t="s">
        <v>838</v>
      </c>
      <c r="P174" s="6" t="s">
        <v>52</v>
      </c>
      <c r="Q174" s="6" t="s">
        <v>314</v>
      </c>
      <c r="R174" s="6">
        <v>7500</v>
      </c>
      <c r="S174" s="6">
        <f t="shared" si="2"/>
        <v>180</v>
      </c>
      <c r="T174" s="7">
        <v>46106</v>
      </c>
      <c r="U174" s="6" t="s">
        <v>839</v>
      </c>
      <c r="V174" s="6" t="s">
        <v>54</v>
      </c>
      <c r="W174" s="8" t="s">
        <v>315</v>
      </c>
      <c r="X174" s="12" t="s">
        <v>307</v>
      </c>
      <c r="Y174" s="12" t="s">
        <v>840</v>
      </c>
      <c r="Z174" s="12" t="s">
        <v>841</v>
      </c>
      <c r="AA174" s="6" t="s">
        <v>40</v>
      </c>
    </row>
    <row r="175" spans="1:27">
      <c r="A175" s="6">
        <v>174</v>
      </c>
      <c r="B175" s="6" t="s">
        <v>225</v>
      </c>
      <c r="C175" s="7">
        <v>46093</v>
      </c>
      <c r="D175" s="6" t="s">
        <v>226</v>
      </c>
      <c r="E175" s="6" t="s">
        <v>29</v>
      </c>
      <c r="F175" s="6" t="s">
        <v>310</v>
      </c>
      <c r="G175" s="6">
        <v>12</v>
      </c>
      <c r="H175" s="12" t="s">
        <v>842</v>
      </c>
      <c r="I175" s="12" t="s">
        <v>843</v>
      </c>
      <c r="J175" s="12" t="s">
        <v>844</v>
      </c>
      <c r="K175" s="12" t="s">
        <v>844</v>
      </c>
      <c r="L175" s="13">
        <v>13170</v>
      </c>
      <c r="M175" s="13">
        <v>870</v>
      </c>
      <c r="N175" s="7" t="s">
        <v>239</v>
      </c>
      <c r="O175" s="6" t="s">
        <v>239</v>
      </c>
      <c r="P175" s="6" t="s">
        <v>239</v>
      </c>
      <c r="Q175" s="6" t="s">
        <v>314</v>
      </c>
      <c r="R175" s="6"/>
      <c r="S175" s="6">
        <f t="shared" si="2"/>
        <v>870</v>
      </c>
      <c r="T175" s="6"/>
      <c r="U175" s="6"/>
      <c r="V175" s="6"/>
      <c r="W175" s="8" t="s">
        <v>315</v>
      </c>
      <c r="X175" s="12" t="s">
        <v>845</v>
      </c>
      <c r="Y175" s="12" t="s">
        <v>846</v>
      </c>
      <c r="Z175" s="12" t="s">
        <v>792</v>
      </c>
      <c r="AA175" s="6" t="s">
        <v>40</v>
      </c>
    </row>
    <row r="176" spans="1:27">
      <c r="A176" s="6">
        <v>175</v>
      </c>
      <c r="B176" s="6" t="s">
        <v>225</v>
      </c>
      <c r="C176" s="7">
        <v>46093</v>
      </c>
      <c r="D176" s="6" t="s">
        <v>226</v>
      </c>
      <c r="E176" s="6" t="s">
        <v>29</v>
      </c>
      <c r="F176" s="6" t="s">
        <v>310</v>
      </c>
      <c r="G176" s="6">
        <v>12</v>
      </c>
      <c r="H176" s="12" t="s">
        <v>847</v>
      </c>
      <c r="I176" s="12" t="s">
        <v>848</v>
      </c>
      <c r="J176" s="12" t="s">
        <v>849</v>
      </c>
      <c r="K176" s="12" t="s">
        <v>849</v>
      </c>
      <c r="L176" s="13">
        <v>12228.21</v>
      </c>
      <c r="M176" s="13">
        <v>1498.2099999999991</v>
      </c>
      <c r="N176" s="22">
        <v>45729</v>
      </c>
      <c r="O176" s="8" t="s">
        <v>37</v>
      </c>
      <c r="P176" s="6" t="s">
        <v>52</v>
      </c>
      <c r="Q176" s="6" t="s">
        <v>314</v>
      </c>
      <c r="R176" s="6"/>
      <c r="S176" s="6">
        <f t="shared" si="2"/>
        <v>1498.2099999999991</v>
      </c>
      <c r="T176" s="6"/>
      <c r="U176" s="6"/>
      <c r="V176" s="6"/>
      <c r="W176" s="8" t="s">
        <v>315</v>
      </c>
      <c r="X176" s="8" t="s">
        <v>37</v>
      </c>
      <c r="Y176" s="12" t="s">
        <v>850</v>
      </c>
      <c r="Z176" s="12" t="s">
        <v>851</v>
      </c>
      <c r="AA176" s="6" t="s">
        <v>40</v>
      </c>
    </row>
    <row r="177" spans="1:27">
      <c r="A177" s="6">
        <v>176</v>
      </c>
      <c r="B177" s="6" t="s">
        <v>225</v>
      </c>
      <c r="C177" s="7">
        <v>46093</v>
      </c>
      <c r="D177" s="6" t="s">
        <v>226</v>
      </c>
      <c r="E177" s="6" t="s">
        <v>29</v>
      </c>
      <c r="F177" s="6" t="s">
        <v>310</v>
      </c>
      <c r="G177" s="6">
        <v>12</v>
      </c>
      <c r="H177" s="12" t="s">
        <v>852</v>
      </c>
      <c r="I177" s="12" t="s">
        <v>853</v>
      </c>
      <c r="J177" s="12" t="s">
        <v>854</v>
      </c>
      <c r="K177" s="12" t="s">
        <v>854</v>
      </c>
      <c r="L177" s="13">
        <v>3190</v>
      </c>
      <c r="M177" s="13">
        <v>1190</v>
      </c>
      <c r="N177" s="22">
        <v>45729</v>
      </c>
      <c r="O177" s="8" t="s">
        <v>315</v>
      </c>
      <c r="P177" s="6" t="s">
        <v>52</v>
      </c>
      <c r="Q177" s="6" t="s">
        <v>314</v>
      </c>
      <c r="R177" s="6"/>
      <c r="S177" s="6">
        <f t="shared" si="2"/>
        <v>1190</v>
      </c>
      <c r="T177" s="6"/>
      <c r="U177" s="6"/>
      <c r="V177" s="6"/>
      <c r="W177" s="8" t="s">
        <v>315</v>
      </c>
      <c r="X177" s="8" t="s">
        <v>855</v>
      </c>
      <c r="Y177" s="12" t="s">
        <v>856</v>
      </c>
      <c r="Z177" s="12" t="s">
        <v>857</v>
      </c>
      <c r="AA177" s="6" t="s">
        <v>40</v>
      </c>
    </row>
    <row r="178" spans="1:27">
      <c r="A178" s="6">
        <v>177</v>
      </c>
      <c r="B178" s="6" t="s">
        <v>225</v>
      </c>
      <c r="C178" s="7">
        <v>46093</v>
      </c>
      <c r="D178" s="6" t="s">
        <v>226</v>
      </c>
      <c r="E178" s="6" t="s">
        <v>29</v>
      </c>
      <c r="F178" s="6" t="s">
        <v>364</v>
      </c>
      <c r="G178" s="6">
        <v>12</v>
      </c>
      <c r="H178" s="6" t="s">
        <v>858</v>
      </c>
      <c r="I178" s="6">
        <v>6281558660</v>
      </c>
      <c r="J178" s="10" t="s">
        <v>859</v>
      </c>
      <c r="K178" s="10" t="s">
        <v>859</v>
      </c>
      <c r="L178" s="6">
        <v>31753</v>
      </c>
      <c r="M178" s="6">
        <v>31753</v>
      </c>
      <c r="N178" s="7">
        <v>46096</v>
      </c>
      <c r="O178" s="6" t="s">
        <v>860</v>
      </c>
      <c r="P178" s="22" t="s">
        <v>52</v>
      </c>
      <c r="Q178" s="6" t="s">
        <v>665</v>
      </c>
      <c r="R178" s="6">
        <f>10000+15000+6753</f>
        <v>31753</v>
      </c>
      <c r="S178" s="6">
        <f t="shared" si="2"/>
        <v>0</v>
      </c>
      <c r="T178" s="7">
        <v>46097</v>
      </c>
      <c r="U178" s="6" t="s">
        <v>861</v>
      </c>
      <c r="V178" s="6" t="s">
        <v>54</v>
      </c>
      <c r="W178" s="6" t="s">
        <v>862</v>
      </c>
      <c r="X178" s="6" t="s">
        <v>860</v>
      </c>
      <c r="Y178" s="6" t="s">
        <v>863</v>
      </c>
      <c r="Z178" s="6" t="s">
        <v>864</v>
      </c>
      <c r="AA178" s="6" t="s">
        <v>373</v>
      </c>
    </row>
    <row r="179" spans="1:27">
      <c r="A179" s="6">
        <v>178</v>
      </c>
      <c r="B179" s="6" t="s">
        <v>225</v>
      </c>
      <c r="C179" s="7">
        <v>46093</v>
      </c>
      <c r="D179" s="6" t="s">
        <v>226</v>
      </c>
      <c r="E179" s="6" t="s">
        <v>29</v>
      </c>
      <c r="F179" s="6" t="s">
        <v>364</v>
      </c>
      <c r="G179" s="6">
        <v>12</v>
      </c>
      <c r="H179" s="6" t="s">
        <v>865</v>
      </c>
      <c r="I179" s="6">
        <v>9866376175</v>
      </c>
      <c r="J179" s="10" t="s">
        <v>866</v>
      </c>
      <c r="K179" s="10" t="s">
        <v>866</v>
      </c>
      <c r="L179" s="6">
        <v>28770</v>
      </c>
      <c r="M179" s="6">
        <v>18770</v>
      </c>
      <c r="N179" s="7">
        <v>46116</v>
      </c>
      <c r="O179" s="6" t="s">
        <v>860</v>
      </c>
      <c r="P179" s="6" t="s">
        <v>52</v>
      </c>
      <c r="Q179" s="6" t="s">
        <v>665</v>
      </c>
      <c r="R179" s="6">
        <f>8770+10000</f>
        <v>18770</v>
      </c>
      <c r="S179" s="6">
        <f t="shared" si="2"/>
        <v>0</v>
      </c>
      <c r="T179" s="7">
        <v>46116</v>
      </c>
      <c r="U179" s="6" t="s">
        <v>867</v>
      </c>
      <c r="V179" s="6" t="s">
        <v>54</v>
      </c>
      <c r="W179" s="6" t="s">
        <v>862</v>
      </c>
      <c r="X179" s="6" t="s">
        <v>860</v>
      </c>
      <c r="Y179" s="6" t="s">
        <v>868</v>
      </c>
      <c r="Z179" s="6" t="s">
        <v>869</v>
      </c>
      <c r="AA179" s="6" t="s">
        <v>373</v>
      </c>
    </row>
    <row r="180" spans="1:27">
      <c r="A180" s="6">
        <v>179</v>
      </c>
      <c r="B180" s="6" t="s">
        <v>225</v>
      </c>
      <c r="C180" s="7">
        <v>46093</v>
      </c>
      <c r="D180" s="6" t="s">
        <v>226</v>
      </c>
      <c r="E180" s="6" t="s">
        <v>29</v>
      </c>
      <c r="F180" s="6" t="s">
        <v>336</v>
      </c>
      <c r="G180" s="6">
        <v>12</v>
      </c>
      <c r="H180" s="6" t="s">
        <v>870</v>
      </c>
      <c r="I180" s="6">
        <v>9618121114</v>
      </c>
      <c r="J180" s="10" t="s">
        <v>871</v>
      </c>
      <c r="K180" s="10" t="s">
        <v>871</v>
      </c>
      <c r="L180" s="14">
        <v>35530</v>
      </c>
      <c r="M180" s="6">
        <v>35530</v>
      </c>
      <c r="N180" s="7">
        <v>46123</v>
      </c>
      <c r="O180" s="6" t="s">
        <v>340</v>
      </c>
      <c r="P180" s="6" t="s">
        <v>52</v>
      </c>
      <c r="Q180" s="6" t="s">
        <v>340</v>
      </c>
      <c r="R180" s="6">
        <v>35530</v>
      </c>
      <c r="S180" s="6">
        <f t="shared" si="2"/>
        <v>0</v>
      </c>
      <c r="T180" s="7">
        <v>45758</v>
      </c>
      <c r="U180" s="6" t="s">
        <v>872</v>
      </c>
      <c r="V180" s="6" t="s">
        <v>54</v>
      </c>
      <c r="W180" s="6" t="s">
        <v>388</v>
      </c>
      <c r="X180" s="6" t="s">
        <v>343</v>
      </c>
      <c r="Y180" s="6" t="s">
        <v>873</v>
      </c>
      <c r="Z180" s="6" t="s">
        <v>345</v>
      </c>
      <c r="AA180" s="6" t="s">
        <v>235</v>
      </c>
    </row>
    <row r="181" spans="1:27">
      <c r="A181" s="6">
        <v>180</v>
      </c>
      <c r="B181" s="6" t="s">
        <v>225</v>
      </c>
      <c r="C181" s="7">
        <v>46093</v>
      </c>
      <c r="D181" s="6" t="s">
        <v>226</v>
      </c>
      <c r="E181" s="6" t="s">
        <v>29</v>
      </c>
      <c r="F181" s="6" t="s">
        <v>336</v>
      </c>
      <c r="G181" s="6">
        <v>12</v>
      </c>
      <c r="H181" s="6" t="s">
        <v>874</v>
      </c>
      <c r="I181" s="6">
        <v>9591844474</v>
      </c>
      <c r="J181" s="10" t="s">
        <v>875</v>
      </c>
      <c r="K181" s="10" t="s">
        <v>875</v>
      </c>
      <c r="L181" s="14">
        <v>23621</v>
      </c>
      <c r="M181" s="6">
        <v>23621</v>
      </c>
      <c r="N181" s="7">
        <v>46114</v>
      </c>
      <c r="O181" s="6" t="s">
        <v>388</v>
      </c>
      <c r="P181" s="6" t="s">
        <v>52</v>
      </c>
      <c r="Q181" s="6" t="s">
        <v>340</v>
      </c>
      <c r="R181" s="6">
        <f>10000+13621</f>
        <v>23621</v>
      </c>
      <c r="S181" s="6">
        <f t="shared" si="2"/>
        <v>0</v>
      </c>
      <c r="T181" s="7">
        <v>46134</v>
      </c>
      <c r="U181" s="6" t="s">
        <v>876</v>
      </c>
      <c r="V181" s="6" t="s">
        <v>54</v>
      </c>
      <c r="W181" s="6" t="s">
        <v>388</v>
      </c>
      <c r="X181" s="6" t="s">
        <v>315</v>
      </c>
      <c r="Y181" s="6" t="s">
        <v>877</v>
      </c>
      <c r="Z181" s="6" t="s">
        <v>878</v>
      </c>
      <c r="AA181" s="6" t="s">
        <v>235</v>
      </c>
    </row>
    <row r="182" spans="1:27">
      <c r="A182" s="6">
        <v>181</v>
      </c>
      <c r="B182" s="6" t="s">
        <v>225</v>
      </c>
      <c r="C182" s="7">
        <v>46093</v>
      </c>
      <c r="D182" s="6" t="s">
        <v>226</v>
      </c>
      <c r="E182" s="6" t="s">
        <v>29</v>
      </c>
      <c r="F182" s="6" t="s">
        <v>336</v>
      </c>
      <c r="G182" s="6">
        <v>12</v>
      </c>
      <c r="H182" s="6" t="s">
        <v>879</v>
      </c>
      <c r="I182" s="6">
        <v>9866397647</v>
      </c>
      <c r="J182" s="10" t="s">
        <v>880</v>
      </c>
      <c r="K182" s="10" t="s">
        <v>880</v>
      </c>
      <c r="L182" s="14">
        <v>22020</v>
      </c>
      <c r="M182" s="6">
        <v>22020</v>
      </c>
      <c r="N182" s="7">
        <v>46095</v>
      </c>
      <c r="O182" s="6" t="s">
        <v>340</v>
      </c>
      <c r="P182" s="6" t="s">
        <v>52</v>
      </c>
      <c r="Q182" s="6" t="s">
        <v>340</v>
      </c>
      <c r="R182" s="6">
        <f>5000+5000+5000</f>
        <v>15000</v>
      </c>
      <c r="S182" s="6">
        <f t="shared" si="2"/>
        <v>7020</v>
      </c>
      <c r="T182" s="7">
        <v>46129</v>
      </c>
      <c r="U182" s="6" t="s">
        <v>881</v>
      </c>
      <c r="V182" s="6"/>
      <c r="W182" s="6" t="s">
        <v>388</v>
      </c>
      <c r="X182" s="6" t="s">
        <v>343</v>
      </c>
      <c r="Y182" s="6" t="s">
        <v>882</v>
      </c>
      <c r="Z182" s="6" t="s">
        <v>883</v>
      </c>
      <c r="AA182" s="6" t="s">
        <v>235</v>
      </c>
    </row>
    <row r="183" spans="1:27">
      <c r="A183" s="6">
        <v>182</v>
      </c>
      <c r="B183" s="6" t="s">
        <v>225</v>
      </c>
      <c r="C183" s="7">
        <v>46093</v>
      </c>
      <c r="D183" s="6" t="s">
        <v>226</v>
      </c>
      <c r="E183" s="6" t="s">
        <v>29</v>
      </c>
      <c r="F183" s="6" t="s">
        <v>336</v>
      </c>
      <c r="G183" s="6">
        <v>12</v>
      </c>
      <c r="H183" s="6" t="s">
        <v>884</v>
      </c>
      <c r="I183" s="6">
        <v>8099715161</v>
      </c>
      <c r="J183" s="10" t="s">
        <v>885</v>
      </c>
      <c r="K183" s="10" t="s">
        <v>885</v>
      </c>
      <c r="L183" s="14">
        <v>9490</v>
      </c>
      <c r="M183" s="6">
        <v>9490</v>
      </c>
      <c r="N183" s="7"/>
      <c r="O183" s="6" t="s">
        <v>340</v>
      </c>
      <c r="P183" s="6" t="s">
        <v>52</v>
      </c>
      <c r="Q183" s="6" t="s">
        <v>340</v>
      </c>
      <c r="R183" s="6"/>
      <c r="S183" s="6">
        <f t="shared" si="2"/>
        <v>9490</v>
      </c>
      <c r="T183" s="6"/>
      <c r="U183" s="6"/>
      <c r="V183" s="6"/>
      <c r="W183" s="6" t="s">
        <v>388</v>
      </c>
      <c r="X183" s="6" t="s">
        <v>343</v>
      </c>
      <c r="Y183" s="6" t="s">
        <v>886</v>
      </c>
      <c r="Z183" s="6" t="s">
        <v>887</v>
      </c>
      <c r="AA183" s="6" t="s">
        <v>235</v>
      </c>
    </row>
    <row r="184" spans="1:27">
      <c r="A184" s="6">
        <v>183</v>
      </c>
      <c r="B184" s="6" t="s">
        <v>225</v>
      </c>
      <c r="C184" s="7">
        <v>46093</v>
      </c>
      <c r="D184" s="6" t="s">
        <v>226</v>
      </c>
      <c r="E184" s="6" t="s">
        <v>29</v>
      </c>
      <c r="F184" s="6" t="s">
        <v>336</v>
      </c>
      <c r="G184" s="6">
        <v>12</v>
      </c>
      <c r="H184" s="6" t="s">
        <v>888</v>
      </c>
      <c r="I184" s="6">
        <v>9966617888</v>
      </c>
      <c r="J184" s="10" t="s">
        <v>889</v>
      </c>
      <c r="K184" s="10" t="s">
        <v>889</v>
      </c>
      <c r="L184" s="14">
        <v>11879</v>
      </c>
      <c r="M184" s="6">
        <v>379</v>
      </c>
      <c r="N184" s="7"/>
      <c r="O184" s="6" t="s">
        <v>370</v>
      </c>
      <c r="P184" s="6" t="s">
        <v>52</v>
      </c>
      <c r="Q184" s="6" t="s">
        <v>340</v>
      </c>
      <c r="R184" s="6"/>
      <c r="S184" s="6">
        <f t="shared" si="2"/>
        <v>379</v>
      </c>
      <c r="T184" s="6"/>
      <c r="U184" s="6"/>
      <c r="V184" s="6"/>
      <c r="W184" s="6" t="s">
        <v>342</v>
      </c>
      <c r="X184" s="6" t="s">
        <v>370</v>
      </c>
      <c r="Y184" s="6" t="s">
        <v>890</v>
      </c>
      <c r="Z184" s="6" t="s">
        <v>891</v>
      </c>
      <c r="AA184" s="6" t="s">
        <v>235</v>
      </c>
    </row>
    <row r="185" spans="1:27">
      <c r="A185" s="6">
        <v>184</v>
      </c>
      <c r="B185" s="6" t="s">
        <v>225</v>
      </c>
      <c r="C185" s="7">
        <v>46093</v>
      </c>
      <c r="D185" s="6" t="s">
        <v>226</v>
      </c>
      <c r="E185" s="6" t="s">
        <v>29</v>
      </c>
      <c r="F185" s="6" t="s">
        <v>336</v>
      </c>
      <c r="G185" s="6">
        <v>12</v>
      </c>
      <c r="H185" s="6" t="s">
        <v>892</v>
      </c>
      <c r="I185" s="6">
        <v>7350989327</v>
      </c>
      <c r="J185" s="10" t="s">
        <v>893</v>
      </c>
      <c r="K185" s="10" t="s">
        <v>893</v>
      </c>
      <c r="L185" s="6">
        <v>6030</v>
      </c>
      <c r="M185" s="6">
        <v>3030</v>
      </c>
      <c r="N185" s="7">
        <v>46117</v>
      </c>
      <c r="O185" s="6" t="s">
        <v>370</v>
      </c>
      <c r="P185" s="6" t="s">
        <v>52</v>
      </c>
      <c r="Q185" s="6" t="s">
        <v>340</v>
      </c>
      <c r="R185" s="6"/>
      <c r="S185" s="6">
        <f t="shared" si="2"/>
        <v>3030</v>
      </c>
      <c r="T185" s="6"/>
      <c r="U185" s="6"/>
      <c r="V185" s="6"/>
      <c r="W185" s="6" t="s">
        <v>388</v>
      </c>
      <c r="X185" s="6" t="s">
        <v>370</v>
      </c>
      <c r="Y185" s="6" t="s">
        <v>894</v>
      </c>
      <c r="Z185" s="6" t="s">
        <v>895</v>
      </c>
      <c r="AA185" s="6" t="s">
        <v>235</v>
      </c>
    </row>
    <row r="186" spans="1:27">
      <c r="A186" s="6">
        <v>185</v>
      </c>
      <c r="B186" s="6" t="s">
        <v>225</v>
      </c>
      <c r="C186" s="7">
        <v>46093</v>
      </c>
      <c r="D186" s="6" t="s">
        <v>226</v>
      </c>
      <c r="E186" s="6" t="s">
        <v>29</v>
      </c>
      <c r="F186" s="6" t="s">
        <v>240</v>
      </c>
      <c r="G186" s="6">
        <v>12</v>
      </c>
      <c r="H186" s="11" t="s">
        <v>896</v>
      </c>
      <c r="I186" s="11">
        <v>9495938292</v>
      </c>
      <c r="J186" s="10" t="s">
        <v>897</v>
      </c>
      <c r="K186" s="10" t="s">
        <v>897</v>
      </c>
      <c r="L186" s="6">
        <v>4400</v>
      </c>
      <c r="M186" s="6">
        <v>4400</v>
      </c>
      <c r="N186" s="7" t="s">
        <v>239</v>
      </c>
      <c r="O186" s="6" t="s">
        <v>239</v>
      </c>
      <c r="P186" s="6" t="s">
        <v>239</v>
      </c>
      <c r="Q186" s="6" t="s">
        <v>236</v>
      </c>
      <c r="R186" s="6"/>
      <c r="S186" s="6">
        <f t="shared" si="2"/>
        <v>4400</v>
      </c>
      <c r="T186" s="6"/>
      <c r="U186" s="6"/>
      <c r="V186" s="6"/>
      <c r="W186" s="6" t="s">
        <v>236</v>
      </c>
      <c r="X186" s="6" t="s">
        <v>236</v>
      </c>
      <c r="Y186" s="6" t="s">
        <v>236</v>
      </c>
      <c r="Z186" s="6" t="s">
        <v>236</v>
      </c>
      <c r="AA186" s="6" t="s">
        <v>236</v>
      </c>
    </row>
    <row r="187" spans="1:27">
      <c r="A187" s="6">
        <v>186</v>
      </c>
      <c r="B187" s="6" t="s">
        <v>225</v>
      </c>
      <c r="C187" s="7">
        <v>46093</v>
      </c>
      <c r="D187" s="6" t="s">
        <v>226</v>
      </c>
      <c r="E187" s="6" t="s">
        <v>29</v>
      </c>
      <c r="F187" s="6" t="s">
        <v>240</v>
      </c>
      <c r="G187" s="6">
        <v>12</v>
      </c>
      <c r="H187" s="11" t="s">
        <v>898</v>
      </c>
      <c r="I187" s="11">
        <v>8121918356</v>
      </c>
      <c r="J187" s="10" t="s">
        <v>899</v>
      </c>
      <c r="K187" s="10" t="s">
        <v>899</v>
      </c>
      <c r="L187" s="6">
        <v>4230</v>
      </c>
      <c r="M187" s="6">
        <v>4230</v>
      </c>
      <c r="N187" s="7" t="s">
        <v>239</v>
      </c>
      <c r="O187" s="6" t="s">
        <v>239</v>
      </c>
      <c r="P187" s="6" t="s">
        <v>239</v>
      </c>
      <c r="Q187" s="6" t="s">
        <v>236</v>
      </c>
      <c r="R187" s="6"/>
      <c r="S187" s="6">
        <f t="shared" si="2"/>
        <v>4230</v>
      </c>
      <c r="T187" s="6"/>
      <c r="U187" s="6"/>
      <c r="V187" s="6"/>
      <c r="W187" s="6" t="s">
        <v>236</v>
      </c>
      <c r="X187" s="6" t="s">
        <v>236</v>
      </c>
      <c r="Y187" s="6" t="s">
        <v>236</v>
      </c>
      <c r="Z187" s="6" t="s">
        <v>236</v>
      </c>
      <c r="AA187" s="6" t="s">
        <v>236</v>
      </c>
    </row>
    <row r="188" spans="1:27">
      <c r="A188" s="6">
        <v>187</v>
      </c>
      <c r="B188" s="6" t="s">
        <v>225</v>
      </c>
      <c r="C188" s="7">
        <v>46093</v>
      </c>
      <c r="D188" s="6" t="s">
        <v>226</v>
      </c>
      <c r="E188" s="6" t="s">
        <v>29</v>
      </c>
      <c r="F188" s="6" t="s">
        <v>240</v>
      </c>
      <c r="G188" s="6">
        <v>12</v>
      </c>
      <c r="H188" s="11" t="s">
        <v>900</v>
      </c>
      <c r="I188" s="11">
        <v>7907809741</v>
      </c>
      <c r="J188" s="10" t="s">
        <v>901</v>
      </c>
      <c r="K188" s="10" t="s">
        <v>901</v>
      </c>
      <c r="L188" s="6">
        <v>4900</v>
      </c>
      <c r="M188" s="6">
        <v>4900</v>
      </c>
      <c r="N188" s="7" t="s">
        <v>239</v>
      </c>
      <c r="O188" s="6" t="s">
        <v>239</v>
      </c>
      <c r="P188" s="6" t="s">
        <v>239</v>
      </c>
      <c r="Q188" s="6" t="s">
        <v>236</v>
      </c>
      <c r="R188" s="6"/>
      <c r="S188" s="6">
        <f t="shared" si="2"/>
        <v>4900</v>
      </c>
      <c r="T188" s="6"/>
      <c r="U188" s="6"/>
      <c r="V188" s="6"/>
      <c r="W188" s="6" t="s">
        <v>236</v>
      </c>
      <c r="X188" s="6" t="s">
        <v>236</v>
      </c>
      <c r="Y188" s="6" t="s">
        <v>236</v>
      </c>
      <c r="Z188" s="6" t="s">
        <v>236</v>
      </c>
      <c r="AA188" s="6" t="s">
        <v>236</v>
      </c>
    </row>
    <row r="189" spans="1:27">
      <c r="A189" s="6">
        <v>188</v>
      </c>
      <c r="B189" s="6" t="s">
        <v>225</v>
      </c>
      <c r="C189" s="7">
        <v>46093</v>
      </c>
      <c r="D189" s="6" t="s">
        <v>226</v>
      </c>
      <c r="E189" s="6" t="s">
        <v>29</v>
      </c>
      <c r="F189" s="6" t="s">
        <v>240</v>
      </c>
      <c r="G189" s="6">
        <v>12</v>
      </c>
      <c r="H189" s="11" t="s">
        <v>902</v>
      </c>
      <c r="I189" s="11">
        <v>8675324675</v>
      </c>
      <c r="J189" s="10" t="s">
        <v>903</v>
      </c>
      <c r="K189" s="10" t="s">
        <v>903</v>
      </c>
      <c r="L189" s="6">
        <v>940</v>
      </c>
      <c r="M189" s="6">
        <v>940</v>
      </c>
      <c r="N189" s="7" t="s">
        <v>239</v>
      </c>
      <c r="O189" s="6" t="s">
        <v>239</v>
      </c>
      <c r="P189" s="6" t="s">
        <v>239</v>
      </c>
      <c r="Q189" s="6" t="s">
        <v>236</v>
      </c>
      <c r="R189" s="6"/>
      <c r="S189" s="6">
        <f t="shared" si="2"/>
        <v>940</v>
      </c>
      <c r="T189" s="6"/>
      <c r="U189" s="6"/>
      <c r="V189" s="6"/>
      <c r="W189" s="6" t="s">
        <v>236</v>
      </c>
      <c r="X189" s="6" t="s">
        <v>236</v>
      </c>
      <c r="Y189" s="6" t="s">
        <v>236</v>
      </c>
      <c r="Z189" s="6" t="s">
        <v>236</v>
      </c>
      <c r="AA189" s="6" t="s">
        <v>236</v>
      </c>
    </row>
    <row r="190" spans="1:27">
      <c r="A190" s="6">
        <v>189</v>
      </c>
      <c r="B190" s="6" t="s">
        <v>225</v>
      </c>
      <c r="C190" s="7">
        <v>46093</v>
      </c>
      <c r="D190" s="6" t="s">
        <v>226</v>
      </c>
      <c r="E190" s="6" t="s">
        <v>29</v>
      </c>
      <c r="F190" s="6" t="s">
        <v>240</v>
      </c>
      <c r="G190" s="6">
        <v>12</v>
      </c>
      <c r="H190" s="11" t="s">
        <v>904</v>
      </c>
      <c r="I190" s="11">
        <v>9949550202</v>
      </c>
      <c r="J190" s="10" t="s">
        <v>905</v>
      </c>
      <c r="K190" s="10" t="s">
        <v>905</v>
      </c>
      <c r="L190" s="6">
        <v>230</v>
      </c>
      <c r="M190" s="6">
        <v>230</v>
      </c>
      <c r="N190" s="7" t="s">
        <v>239</v>
      </c>
      <c r="O190" s="6" t="s">
        <v>239</v>
      </c>
      <c r="P190" s="6" t="s">
        <v>239</v>
      </c>
      <c r="Q190" s="6" t="s">
        <v>236</v>
      </c>
      <c r="R190" s="6"/>
      <c r="S190" s="6">
        <f t="shared" si="2"/>
        <v>230</v>
      </c>
      <c r="T190" s="6"/>
      <c r="U190" s="6"/>
      <c r="V190" s="6"/>
      <c r="W190" s="6" t="s">
        <v>236</v>
      </c>
      <c r="X190" s="6" t="s">
        <v>236</v>
      </c>
      <c r="Y190" s="6" t="s">
        <v>236</v>
      </c>
      <c r="Z190" s="6" t="s">
        <v>236</v>
      </c>
      <c r="AA190" s="6" t="s">
        <v>236</v>
      </c>
    </row>
    <row r="191" spans="1:27">
      <c r="A191" s="6">
        <v>190</v>
      </c>
      <c r="B191" s="6" t="s">
        <v>225</v>
      </c>
      <c r="C191" s="7">
        <v>46093</v>
      </c>
      <c r="D191" s="6" t="s">
        <v>226</v>
      </c>
      <c r="E191" s="6" t="s">
        <v>29</v>
      </c>
      <c r="F191" s="6" t="s">
        <v>240</v>
      </c>
      <c r="G191" s="6">
        <v>12</v>
      </c>
      <c r="H191" s="11" t="s">
        <v>906</v>
      </c>
      <c r="I191" s="11">
        <v>6281001934</v>
      </c>
      <c r="J191" s="10" t="s">
        <v>907</v>
      </c>
      <c r="K191" s="10" t="s">
        <v>907</v>
      </c>
      <c r="L191" s="6">
        <v>1840</v>
      </c>
      <c r="M191" s="6">
        <v>1840</v>
      </c>
      <c r="N191" s="7" t="s">
        <v>239</v>
      </c>
      <c r="O191" s="6" t="s">
        <v>239</v>
      </c>
      <c r="P191" s="6" t="s">
        <v>239</v>
      </c>
      <c r="Q191" s="6" t="s">
        <v>236</v>
      </c>
      <c r="R191" s="6"/>
      <c r="S191" s="6">
        <f t="shared" si="2"/>
        <v>1840</v>
      </c>
      <c r="T191" s="6"/>
      <c r="U191" s="6"/>
      <c r="V191" s="6"/>
      <c r="W191" s="6" t="s">
        <v>236</v>
      </c>
      <c r="X191" s="6" t="s">
        <v>236</v>
      </c>
      <c r="Y191" s="6" t="s">
        <v>236</v>
      </c>
      <c r="Z191" s="6" t="s">
        <v>236</v>
      </c>
      <c r="AA191" s="6" t="s">
        <v>236</v>
      </c>
    </row>
    <row r="192" spans="1:27">
      <c r="A192" s="6">
        <v>191</v>
      </c>
      <c r="B192" s="6" t="s">
        <v>225</v>
      </c>
      <c r="C192" s="7">
        <v>46093</v>
      </c>
      <c r="D192" s="6" t="s">
        <v>226</v>
      </c>
      <c r="E192" s="6" t="s">
        <v>29</v>
      </c>
      <c r="F192" s="6" t="s">
        <v>240</v>
      </c>
      <c r="G192" s="6">
        <v>12</v>
      </c>
      <c r="H192" s="11" t="s">
        <v>908</v>
      </c>
      <c r="I192" s="11">
        <v>9010004839</v>
      </c>
      <c r="J192" s="10" t="s">
        <v>909</v>
      </c>
      <c r="K192" s="10" t="s">
        <v>909</v>
      </c>
      <c r="L192" s="6">
        <v>210</v>
      </c>
      <c r="M192" s="6">
        <v>210</v>
      </c>
      <c r="N192" s="7" t="s">
        <v>239</v>
      </c>
      <c r="O192" s="6" t="s">
        <v>239</v>
      </c>
      <c r="P192" s="6" t="s">
        <v>239</v>
      </c>
      <c r="Q192" s="6" t="s">
        <v>236</v>
      </c>
      <c r="R192" s="6"/>
      <c r="S192" s="6">
        <f t="shared" si="2"/>
        <v>210</v>
      </c>
      <c r="T192" s="6"/>
      <c r="U192" s="6"/>
      <c r="V192" s="6"/>
      <c r="W192" s="6" t="s">
        <v>236</v>
      </c>
      <c r="X192" s="6" t="s">
        <v>236</v>
      </c>
      <c r="Y192" s="6" t="s">
        <v>236</v>
      </c>
      <c r="Z192" s="6" t="s">
        <v>236</v>
      </c>
      <c r="AA192" s="6" t="s">
        <v>236</v>
      </c>
    </row>
    <row r="193" spans="1:27">
      <c r="A193" s="6">
        <v>192</v>
      </c>
      <c r="B193" s="6" t="s">
        <v>225</v>
      </c>
      <c r="C193" s="7">
        <v>46093</v>
      </c>
      <c r="D193" s="6" t="s">
        <v>226</v>
      </c>
      <c r="E193" s="6" t="s">
        <v>29</v>
      </c>
      <c r="F193" s="6" t="s">
        <v>240</v>
      </c>
      <c r="G193" s="6">
        <v>12</v>
      </c>
      <c r="H193" s="11" t="s">
        <v>910</v>
      </c>
      <c r="I193" s="11">
        <v>8332835962</v>
      </c>
      <c r="J193" s="10" t="s">
        <v>911</v>
      </c>
      <c r="K193" s="10" t="s">
        <v>911</v>
      </c>
      <c r="L193" s="6">
        <v>270</v>
      </c>
      <c r="M193" s="6">
        <v>270</v>
      </c>
      <c r="N193" s="7" t="s">
        <v>239</v>
      </c>
      <c r="O193" s="6" t="s">
        <v>239</v>
      </c>
      <c r="P193" s="6" t="s">
        <v>239</v>
      </c>
      <c r="Q193" s="6" t="s">
        <v>236</v>
      </c>
      <c r="R193" s="6"/>
      <c r="S193" s="6">
        <f t="shared" si="2"/>
        <v>270</v>
      </c>
      <c r="T193" s="6"/>
      <c r="U193" s="6"/>
      <c r="V193" s="6"/>
      <c r="W193" s="6" t="s">
        <v>236</v>
      </c>
      <c r="X193" s="6" t="s">
        <v>236</v>
      </c>
      <c r="Y193" s="6" t="s">
        <v>236</v>
      </c>
      <c r="Z193" s="6" t="s">
        <v>236</v>
      </c>
      <c r="AA193" s="6" t="s">
        <v>236</v>
      </c>
    </row>
    <row r="194" spans="1:27">
      <c r="A194" s="6">
        <v>193</v>
      </c>
      <c r="B194" s="6" t="s">
        <v>225</v>
      </c>
      <c r="C194" s="7">
        <v>46093</v>
      </c>
      <c r="D194" s="6" t="s">
        <v>226</v>
      </c>
      <c r="E194" s="6" t="s">
        <v>29</v>
      </c>
      <c r="F194" s="6" t="s">
        <v>240</v>
      </c>
      <c r="G194" s="6">
        <v>12</v>
      </c>
      <c r="H194" s="11" t="s">
        <v>912</v>
      </c>
      <c r="I194" s="11">
        <v>9502512915</v>
      </c>
      <c r="J194" s="10" t="s">
        <v>913</v>
      </c>
      <c r="K194" s="10" t="s">
        <v>913</v>
      </c>
      <c r="L194" s="6">
        <v>1930</v>
      </c>
      <c r="M194" s="6">
        <v>1930</v>
      </c>
      <c r="N194" s="7" t="s">
        <v>239</v>
      </c>
      <c r="O194" s="6" t="s">
        <v>239</v>
      </c>
      <c r="P194" s="6" t="s">
        <v>239</v>
      </c>
      <c r="Q194" s="6" t="s">
        <v>236</v>
      </c>
      <c r="R194" s="6"/>
      <c r="S194" s="6">
        <f t="shared" si="2"/>
        <v>1930</v>
      </c>
      <c r="T194" s="6"/>
      <c r="U194" s="6"/>
      <c r="V194" s="6"/>
      <c r="W194" s="6" t="s">
        <v>236</v>
      </c>
      <c r="X194" s="6" t="s">
        <v>236</v>
      </c>
      <c r="Y194" s="6" t="s">
        <v>236</v>
      </c>
      <c r="Z194" s="6" t="s">
        <v>236</v>
      </c>
      <c r="AA194" s="6" t="s">
        <v>236</v>
      </c>
    </row>
    <row r="195" spans="1:27">
      <c r="A195" s="6">
        <v>194</v>
      </c>
      <c r="B195" s="6" t="s">
        <v>225</v>
      </c>
      <c r="C195" s="7">
        <v>46093</v>
      </c>
      <c r="D195" s="6" t="s">
        <v>226</v>
      </c>
      <c r="E195" s="6" t="s">
        <v>29</v>
      </c>
      <c r="F195" s="6" t="s">
        <v>240</v>
      </c>
      <c r="G195" s="6">
        <v>12</v>
      </c>
      <c r="H195" s="11" t="s">
        <v>914</v>
      </c>
      <c r="I195" s="11">
        <v>9597103998</v>
      </c>
      <c r="J195" s="10" t="s">
        <v>915</v>
      </c>
      <c r="K195" s="10" t="s">
        <v>915</v>
      </c>
      <c r="L195" s="6">
        <v>1100</v>
      </c>
      <c r="M195" s="6">
        <v>1100</v>
      </c>
      <c r="N195" s="7" t="s">
        <v>239</v>
      </c>
      <c r="O195" s="6" t="s">
        <v>239</v>
      </c>
      <c r="P195" s="6" t="s">
        <v>239</v>
      </c>
      <c r="Q195" s="6" t="s">
        <v>236</v>
      </c>
      <c r="R195" s="6"/>
      <c r="S195" s="6">
        <f t="shared" ref="S195:S258" si="3">M195-R195</f>
        <v>1100</v>
      </c>
      <c r="T195" s="6"/>
      <c r="U195" s="6"/>
      <c r="V195" s="6"/>
      <c r="W195" s="6" t="s">
        <v>236</v>
      </c>
      <c r="X195" s="6" t="s">
        <v>236</v>
      </c>
      <c r="Y195" s="6" t="s">
        <v>236</v>
      </c>
      <c r="Z195" s="6" t="s">
        <v>236</v>
      </c>
      <c r="AA195" s="6" t="s">
        <v>236</v>
      </c>
    </row>
    <row r="196" spans="1:27">
      <c r="A196" s="6">
        <v>195</v>
      </c>
      <c r="B196" s="6" t="s">
        <v>225</v>
      </c>
      <c r="C196" s="7">
        <v>46093</v>
      </c>
      <c r="D196" s="6" t="s">
        <v>226</v>
      </c>
      <c r="E196" s="6" t="s">
        <v>29</v>
      </c>
      <c r="F196" s="6" t="s">
        <v>240</v>
      </c>
      <c r="G196" s="6">
        <v>12</v>
      </c>
      <c r="H196" s="11" t="s">
        <v>916</v>
      </c>
      <c r="I196" s="11">
        <v>7036118293</v>
      </c>
      <c r="J196" s="10" t="s">
        <v>917</v>
      </c>
      <c r="K196" s="10" t="s">
        <v>917</v>
      </c>
      <c r="L196" s="6">
        <v>1315</v>
      </c>
      <c r="M196" s="6">
        <v>1315</v>
      </c>
      <c r="N196" s="7" t="s">
        <v>239</v>
      </c>
      <c r="O196" s="6" t="s">
        <v>239</v>
      </c>
      <c r="P196" s="6" t="s">
        <v>239</v>
      </c>
      <c r="Q196" s="6" t="s">
        <v>236</v>
      </c>
      <c r="R196" s="6"/>
      <c r="S196" s="6">
        <f t="shared" si="3"/>
        <v>1315</v>
      </c>
      <c r="T196" s="6"/>
      <c r="U196" s="6"/>
      <c r="V196" s="6"/>
      <c r="W196" s="6" t="s">
        <v>236</v>
      </c>
      <c r="X196" s="6" t="s">
        <v>236</v>
      </c>
      <c r="Y196" s="6" t="s">
        <v>236</v>
      </c>
      <c r="Z196" s="6" t="s">
        <v>236</v>
      </c>
      <c r="AA196" s="6" t="s">
        <v>236</v>
      </c>
    </row>
    <row r="197" spans="1:27">
      <c r="A197" s="6">
        <v>196</v>
      </c>
      <c r="B197" s="6" t="s">
        <v>225</v>
      </c>
      <c r="C197" s="7">
        <v>46093</v>
      </c>
      <c r="D197" s="6" t="s">
        <v>226</v>
      </c>
      <c r="E197" s="6" t="s">
        <v>29</v>
      </c>
      <c r="F197" s="6" t="s">
        <v>240</v>
      </c>
      <c r="G197" s="6">
        <v>12</v>
      </c>
      <c r="H197" s="11" t="s">
        <v>918</v>
      </c>
      <c r="I197" s="11">
        <v>7729065378</v>
      </c>
      <c r="J197" s="10" t="s">
        <v>919</v>
      </c>
      <c r="K197" s="10" t="s">
        <v>919</v>
      </c>
      <c r="L197" s="6">
        <v>1420</v>
      </c>
      <c r="M197" s="6">
        <v>1420</v>
      </c>
      <c r="N197" s="7" t="s">
        <v>239</v>
      </c>
      <c r="O197" s="6" t="s">
        <v>239</v>
      </c>
      <c r="P197" s="6" t="s">
        <v>239</v>
      </c>
      <c r="Q197" s="6" t="s">
        <v>236</v>
      </c>
      <c r="R197" s="6"/>
      <c r="S197" s="6">
        <f t="shared" si="3"/>
        <v>1420</v>
      </c>
      <c r="T197" s="6"/>
      <c r="U197" s="6"/>
      <c r="V197" s="6"/>
      <c r="W197" s="6" t="s">
        <v>236</v>
      </c>
      <c r="X197" s="6" t="s">
        <v>236</v>
      </c>
      <c r="Y197" s="6" t="s">
        <v>236</v>
      </c>
      <c r="Z197" s="6" t="s">
        <v>236</v>
      </c>
      <c r="AA197" s="6" t="s">
        <v>236</v>
      </c>
    </row>
    <row r="198" spans="1:27">
      <c r="A198" s="6">
        <v>197</v>
      </c>
      <c r="B198" s="6" t="s">
        <v>225</v>
      </c>
      <c r="C198" s="7">
        <v>46093</v>
      </c>
      <c r="D198" s="6" t="s">
        <v>226</v>
      </c>
      <c r="E198" s="6" t="s">
        <v>29</v>
      </c>
      <c r="F198" s="6" t="s">
        <v>240</v>
      </c>
      <c r="G198" s="6">
        <v>12</v>
      </c>
      <c r="H198" s="11" t="s">
        <v>920</v>
      </c>
      <c r="I198" s="11">
        <v>7799870762</v>
      </c>
      <c r="J198" s="10" t="s">
        <v>921</v>
      </c>
      <c r="K198" s="10" t="s">
        <v>921</v>
      </c>
      <c r="L198" s="6">
        <v>450</v>
      </c>
      <c r="M198" s="6">
        <v>450</v>
      </c>
      <c r="N198" s="7" t="s">
        <v>239</v>
      </c>
      <c r="O198" s="6" t="s">
        <v>239</v>
      </c>
      <c r="P198" s="6" t="s">
        <v>239</v>
      </c>
      <c r="Q198" s="6" t="s">
        <v>236</v>
      </c>
      <c r="R198" s="6"/>
      <c r="S198" s="6">
        <f t="shared" si="3"/>
        <v>450</v>
      </c>
      <c r="T198" s="6"/>
      <c r="U198" s="6"/>
      <c r="V198" s="6"/>
      <c r="W198" s="6" t="s">
        <v>236</v>
      </c>
      <c r="X198" s="6" t="s">
        <v>236</v>
      </c>
      <c r="Y198" s="6" t="s">
        <v>236</v>
      </c>
      <c r="Z198" s="6" t="s">
        <v>236</v>
      </c>
      <c r="AA198" s="6" t="s">
        <v>236</v>
      </c>
    </row>
    <row r="199" spans="1:27">
      <c r="A199" s="6">
        <v>198</v>
      </c>
      <c r="B199" s="6" t="s">
        <v>225</v>
      </c>
      <c r="C199" s="7">
        <v>46093</v>
      </c>
      <c r="D199" s="6" t="s">
        <v>226</v>
      </c>
      <c r="E199" s="6" t="s">
        <v>29</v>
      </c>
      <c r="F199" s="6" t="s">
        <v>240</v>
      </c>
      <c r="G199" s="6">
        <v>12</v>
      </c>
      <c r="H199" s="11" t="s">
        <v>922</v>
      </c>
      <c r="I199" s="11">
        <v>9443373707</v>
      </c>
      <c r="J199" s="10" t="s">
        <v>923</v>
      </c>
      <c r="K199" s="10" t="s">
        <v>923</v>
      </c>
      <c r="L199" s="6">
        <v>410</v>
      </c>
      <c r="M199" s="6">
        <v>410</v>
      </c>
      <c r="N199" s="7" t="s">
        <v>239</v>
      </c>
      <c r="O199" s="6" t="s">
        <v>239</v>
      </c>
      <c r="P199" s="6" t="s">
        <v>239</v>
      </c>
      <c r="Q199" s="6" t="s">
        <v>236</v>
      </c>
      <c r="R199" s="6"/>
      <c r="S199" s="6">
        <f t="shared" si="3"/>
        <v>410</v>
      </c>
      <c r="T199" s="6"/>
      <c r="U199" s="6"/>
      <c r="V199" s="6"/>
      <c r="W199" s="6" t="s">
        <v>236</v>
      </c>
      <c r="X199" s="6" t="s">
        <v>236</v>
      </c>
      <c r="Y199" s="6" t="s">
        <v>236</v>
      </c>
      <c r="Z199" s="6" t="s">
        <v>236</v>
      </c>
      <c r="AA199" s="6" t="s">
        <v>236</v>
      </c>
    </row>
    <row r="200" spans="1:27">
      <c r="A200" s="6">
        <v>199</v>
      </c>
      <c r="B200" s="6" t="s">
        <v>225</v>
      </c>
      <c r="C200" s="7">
        <v>46093</v>
      </c>
      <c r="D200" s="6" t="s">
        <v>226</v>
      </c>
      <c r="E200" s="6" t="s">
        <v>29</v>
      </c>
      <c r="F200" s="6" t="s">
        <v>240</v>
      </c>
      <c r="G200" s="6">
        <v>12</v>
      </c>
      <c r="H200" s="11" t="s">
        <v>924</v>
      </c>
      <c r="I200" s="11">
        <v>8129772796</v>
      </c>
      <c r="J200" s="10" t="s">
        <v>925</v>
      </c>
      <c r="K200" s="10" t="s">
        <v>925</v>
      </c>
      <c r="L200" s="6">
        <v>380</v>
      </c>
      <c r="M200" s="6">
        <v>380</v>
      </c>
      <c r="N200" s="7" t="s">
        <v>239</v>
      </c>
      <c r="O200" s="6" t="s">
        <v>239</v>
      </c>
      <c r="P200" s="6" t="s">
        <v>239</v>
      </c>
      <c r="Q200" s="6" t="s">
        <v>236</v>
      </c>
      <c r="R200" s="6"/>
      <c r="S200" s="6">
        <f t="shared" si="3"/>
        <v>380</v>
      </c>
      <c r="T200" s="6"/>
      <c r="U200" s="6"/>
      <c r="V200" s="6"/>
      <c r="W200" s="6" t="s">
        <v>236</v>
      </c>
      <c r="X200" s="6" t="s">
        <v>236</v>
      </c>
      <c r="Y200" s="6" t="s">
        <v>236</v>
      </c>
      <c r="Z200" s="6" t="s">
        <v>236</v>
      </c>
      <c r="AA200" s="6" t="s">
        <v>236</v>
      </c>
    </row>
    <row r="201" spans="1:27">
      <c r="A201" s="6">
        <v>200</v>
      </c>
      <c r="B201" s="6" t="s">
        <v>225</v>
      </c>
      <c r="C201" s="7">
        <v>46093</v>
      </c>
      <c r="D201" s="6" t="s">
        <v>226</v>
      </c>
      <c r="E201" s="6" t="s">
        <v>29</v>
      </c>
      <c r="F201" s="6" t="s">
        <v>240</v>
      </c>
      <c r="G201" s="6">
        <v>12</v>
      </c>
      <c r="H201" s="11" t="s">
        <v>926</v>
      </c>
      <c r="I201" s="11">
        <v>9946002745</v>
      </c>
      <c r="J201" s="10" t="s">
        <v>927</v>
      </c>
      <c r="K201" s="10" t="s">
        <v>927</v>
      </c>
      <c r="L201" s="6">
        <v>400</v>
      </c>
      <c r="M201" s="6">
        <v>400</v>
      </c>
      <c r="N201" s="7" t="s">
        <v>239</v>
      </c>
      <c r="O201" s="6" t="s">
        <v>239</v>
      </c>
      <c r="P201" s="6" t="s">
        <v>239</v>
      </c>
      <c r="Q201" s="6" t="s">
        <v>236</v>
      </c>
      <c r="R201" s="6"/>
      <c r="S201" s="6">
        <f t="shared" si="3"/>
        <v>400</v>
      </c>
      <c r="T201" s="6"/>
      <c r="U201" s="6"/>
      <c r="V201" s="6"/>
      <c r="W201" s="6" t="s">
        <v>236</v>
      </c>
      <c r="X201" s="6" t="s">
        <v>236</v>
      </c>
      <c r="Y201" s="6" t="s">
        <v>236</v>
      </c>
      <c r="Z201" s="6" t="s">
        <v>236</v>
      </c>
      <c r="AA201" s="6" t="s">
        <v>236</v>
      </c>
    </row>
    <row r="202" spans="1:27">
      <c r="A202" s="6">
        <v>201</v>
      </c>
      <c r="B202" s="6" t="s">
        <v>225</v>
      </c>
      <c r="C202" s="7">
        <v>46093</v>
      </c>
      <c r="D202" s="6" t="s">
        <v>226</v>
      </c>
      <c r="E202" s="6" t="s">
        <v>29</v>
      </c>
      <c r="F202" s="6" t="s">
        <v>240</v>
      </c>
      <c r="G202" s="6">
        <v>12</v>
      </c>
      <c r="H202" s="11" t="s">
        <v>928</v>
      </c>
      <c r="I202" s="11">
        <v>9912996277</v>
      </c>
      <c r="J202" s="10" t="s">
        <v>929</v>
      </c>
      <c r="K202" s="10" t="s">
        <v>929</v>
      </c>
      <c r="L202" s="6">
        <v>660</v>
      </c>
      <c r="M202" s="6">
        <v>660</v>
      </c>
      <c r="N202" s="7" t="s">
        <v>239</v>
      </c>
      <c r="O202" s="6" t="s">
        <v>239</v>
      </c>
      <c r="P202" s="6" t="s">
        <v>239</v>
      </c>
      <c r="Q202" s="6" t="s">
        <v>236</v>
      </c>
      <c r="R202" s="6"/>
      <c r="S202" s="6">
        <f t="shared" si="3"/>
        <v>660</v>
      </c>
      <c r="T202" s="6"/>
      <c r="U202" s="6"/>
      <c r="V202" s="6"/>
      <c r="W202" s="6" t="s">
        <v>236</v>
      </c>
      <c r="X202" s="6" t="s">
        <v>236</v>
      </c>
      <c r="Y202" s="6" t="s">
        <v>236</v>
      </c>
      <c r="Z202" s="6" t="s">
        <v>236</v>
      </c>
      <c r="AA202" s="6" t="s">
        <v>236</v>
      </c>
    </row>
    <row r="203" spans="1:27">
      <c r="A203" s="6">
        <v>202</v>
      </c>
      <c r="B203" s="6" t="s">
        <v>225</v>
      </c>
      <c r="C203" s="7">
        <v>46093</v>
      </c>
      <c r="D203" s="6" t="s">
        <v>226</v>
      </c>
      <c r="E203" s="6" t="s">
        <v>29</v>
      </c>
      <c r="F203" s="6" t="s">
        <v>240</v>
      </c>
      <c r="G203" s="6">
        <v>12</v>
      </c>
      <c r="H203" s="11" t="s">
        <v>930</v>
      </c>
      <c r="I203" s="11">
        <v>8722493333</v>
      </c>
      <c r="J203" s="10" t="s">
        <v>931</v>
      </c>
      <c r="K203" s="10" t="s">
        <v>931</v>
      </c>
      <c r="L203" s="6">
        <v>3710</v>
      </c>
      <c r="M203" s="6">
        <v>3710</v>
      </c>
      <c r="N203" s="7" t="s">
        <v>239</v>
      </c>
      <c r="O203" s="6" t="s">
        <v>239</v>
      </c>
      <c r="P203" s="6" t="s">
        <v>239</v>
      </c>
      <c r="Q203" s="6" t="s">
        <v>236</v>
      </c>
      <c r="R203" s="6"/>
      <c r="S203" s="6">
        <f t="shared" si="3"/>
        <v>3710</v>
      </c>
      <c r="T203" s="6"/>
      <c r="U203" s="6"/>
      <c r="V203" s="6"/>
      <c r="W203" s="6" t="s">
        <v>236</v>
      </c>
      <c r="X203" s="6" t="s">
        <v>236</v>
      </c>
      <c r="Y203" s="6" t="s">
        <v>236</v>
      </c>
      <c r="Z203" s="6" t="s">
        <v>236</v>
      </c>
      <c r="AA203" s="6" t="s">
        <v>236</v>
      </c>
    </row>
    <row r="204" spans="1:27">
      <c r="A204" s="6">
        <v>203</v>
      </c>
      <c r="B204" s="6" t="s">
        <v>932</v>
      </c>
      <c r="C204" s="7">
        <v>46093</v>
      </c>
      <c r="D204" s="6" t="s">
        <v>933</v>
      </c>
      <c r="E204" s="6" t="s">
        <v>29</v>
      </c>
      <c r="F204" s="6" t="s">
        <v>934</v>
      </c>
      <c r="G204" s="6">
        <v>12</v>
      </c>
      <c r="H204" s="6" t="s">
        <v>935</v>
      </c>
      <c r="I204" s="6" t="s">
        <v>936</v>
      </c>
      <c r="J204" s="17" t="s">
        <v>937</v>
      </c>
      <c r="K204" s="6" t="s">
        <v>938</v>
      </c>
      <c r="L204" s="14">
        <v>4196</v>
      </c>
      <c r="M204" s="14">
        <v>4196</v>
      </c>
      <c r="N204" s="7" t="s">
        <v>239</v>
      </c>
      <c r="O204" s="6" t="s">
        <v>239</v>
      </c>
      <c r="P204" s="6" t="s">
        <v>239</v>
      </c>
      <c r="Q204" s="6" t="s">
        <v>939</v>
      </c>
      <c r="R204" s="6"/>
      <c r="S204" s="6">
        <f t="shared" si="3"/>
        <v>4196</v>
      </c>
      <c r="T204" s="6"/>
      <c r="U204" s="6"/>
      <c r="V204" s="6"/>
      <c r="W204" s="6" t="s">
        <v>939</v>
      </c>
      <c r="X204" s="6" t="s">
        <v>350</v>
      </c>
      <c r="Y204" s="6" t="s">
        <v>940</v>
      </c>
      <c r="Z204" s="6" t="s">
        <v>941</v>
      </c>
      <c r="AA204" s="6" t="s">
        <v>235</v>
      </c>
    </row>
    <row r="205" spans="1:27">
      <c r="A205" s="6">
        <v>204</v>
      </c>
      <c r="B205" s="6" t="s">
        <v>932</v>
      </c>
      <c r="C205" s="7">
        <v>46093</v>
      </c>
      <c r="D205" s="6" t="s">
        <v>933</v>
      </c>
      <c r="E205" s="6" t="s">
        <v>29</v>
      </c>
      <c r="F205" s="6" t="s">
        <v>934</v>
      </c>
      <c r="G205" s="6">
        <v>12</v>
      </c>
      <c r="H205" s="6" t="s">
        <v>942</v>
      </c>
      <c r="I205" s="6" t="s">
        <v>943</v>
      </c>
      <c r="J205" s="17" t="s">
        <v>944</v>
      </c>
      <c r="K205" s="6" t="s">
        <v>945</v>
      </c>
      <c r="L205" s="14">
        <v>1316</v>
      </c>
      <c r="M205" s="14">
        <v>1316</v>
      </c>
      <c r="N205" s="7" t="s">
        <v>239</v>
      </c>
      <c r="O205" s="6" t="s">
        <v>239</v>
      </c>
      <c r="P205" s="6" t="s">
        <v>239</v>
      </c>
      <c r="Q205" s="6" t="s">
        <v>939</v>
      </c>
      <c r="R205" s="6"/>
      <c r="S205" s="6">
        <f t="shared" si="3"/>
        <v>1316</v>
      </c>
      <c r="T205" s="6"/>
      <c r="U205" s="6"/>
      <c r="V205" s="6"/>
      <c r="W205" s="6" t="s">
        <v>939</v>
      </c>
      <c r="X205" s="6" t="s">
        <v>350</v>
      </c>
      <c r="Y205" s="6" t="s">
        <v>946</v>
      </c>
      <c r="Z205" s="6" t="s">
        <v>947</v>
      </c>
      <c r="AA205" s="6" t="s">
        <v>235</v>
      </c>
    </row>
    <row r="206" spans="1:27">
      <c r="A206" s="6">
        <v>205</v>
      </c>
      <c r="B206" s="6" t="s">
        <v>932</v>
      </c>
      <c r="C206" s="7">
        <v>46093</v>
      </c>
      <c r="D206" s="6" t="s">
        <v>933</v>
      </c>
      <c r="E206" s="6" t="s">
        <v>29</v>
      </c>
      <c r="F206" s="6" t="s">
        <v>934</v>
      </c>
      <c r="G206" s="6">
        <v>12</v>
      </c>
      <c r="H206" s="6" t="s">
        <v>948</v>
      </c>
      <c r="I206" s="6" t="s">
        <v>949</v>
      </c>
      <c r="J206" s="17" t="s">
        <v>950</v>
      </c>
      <c r="K206" s="6" t="s">
        <v>951</v>
      </c>
      <c r="L206" s="14">
        <v>1811.48</v>
      </c>
      <c r="M206" s="14">
        <v>1811.48</v>
      </c>
      <c r="N206" s="7" t="s">
        <v>239</v>
      </c>
      <c r="O206" s="6" t="s">
        <v>239</v>
      </c>
      <c r="P206" s="6" t="s">
        <v>239</v>
      </c>
      <c r="Q206" s="6" t="s">
        <v>939</v>
      </c>
      <c r="R206" s="6"/>
      <c r="S206" s="6">
        <f t="shared" si="3"/>
        <v>1811.48</v>
      </c>
      <c r="T206" s="6"/>
      <c r="U206" s="6"/>
      <c r="V206" s="6"/>
      <c r="W206" s="6" t="s">
        <v>939</v>
      </c>
      <c r="X206" s="6" t="s">
        <v>350</v>
      </c>
      <c r="Y206" s="6" t="s">
        <v>952</v>
      </c>
      <c r="Z206" s="6" t="s">
        <v>953</v>
      </c>
      <c r="AA206" s="6" t="s">
        <v>235</v>
      </c>
    </row>
    <row r="207" spans="1:27">
      <c r="A207" s="6">
        <v>206</v>
      </c>
      <c r="B207" s="6" t="s">
        <v>932</v>
      </c>
      <c r="C207" s="7">
        <v>46093</v>
      </c>
      <c r="D207" s="6" t="s">
        <v>933</v>
      </c>
      <c r="E207" s="6" t="s">
        <v>29</v>
      </c>
      <c r="F207" s="6" t="s">
        <v>934</v>
      </c>
      <c r="G207" s="6">
        <v>12</v>
      </c>
      <c r="H207" s="6" t="s">
        <v>954</v>
      </c>
      <c r="I207" s="6" t="s">
        <v>955</v>
      </c>
      <c r="J207" s="17" t="s">
        <v>956</v>
      </c>
      <c r="K207" s="6" t="s">
        <v>957</v>
      </c>
      <c r="L207" s="14">
        <v>2334</v>
      </c>
      <c r="M207" s="14">
        <v>2334</v>
      </c>
      <c r="N207" s="7" t="s">
        <v>239</v>
      </c>
      <c r="O207" s="6" t="s">
        <v>239</v>
      </c>
      <c r="P207" s="6" t="s">
        <v>239</v>
      </c>
      <c r="Q207" s="6" t="s">
        <v>939</v>
      </c>
      <c r="R207" s="6"/>
      <c r="S207" s="6">
        <f t="shared" si="3"/>
        <v>2334</v>
      </c>
      <c r="T207" s="6"/>
      <c r="U207" s="6"/>
      <c r="V207" s="6"/>
      <c r="W207" s="6" t="s">
        <v>939</v>
      </c>
      <c r="X207" s="6" t="s">
        <v>350</v>
      </c>
      <c r="Y207" s="6" t="s">
        <v>958</v>
      </c>
      <c r="Z207" s="6" t="s">
        <v>959</v>
      </c>
      <c r="AA207" s="6" t="s">
        <v>235</v>
      </c>
    </row>
    <row r="208" spans="1:27">
      <c r="A208" s="6">
        <v>207</v>
      </c>
      <c r="B208" s="6" t="s">
        <v>932</v>
      </c>
      <c r="C208" s="7">
        <v>46093</v>
      </c>
      <c r="D208" s="6" t="s">
        <v>933</v>
      </c>
      <c r="E208" s="6" t="s">
        <v>29</v>
      </c>
      <c r="F208" s="6" t="s">
        <v>934</v>
      </c>
      <c r="G208" s="6">
        <v>12</v>
      </c>
      <c r="H208" s="6" t="s">
        <v>960</v>
      </c>
      <c r="I208" s="6" t="s">
        <v>961</v>
      </c>
      <c r="J208" s="17" t="s">
        <v>962</v>
      </c>
      <c r="K208" s="6" t="s">
        <v>963</v>
      </c>
      <c r="L208" s="14">
        <v>1155</v>
      </c>
      <c r="M208" s="14">
        <v>1155</v>
      </c>
      <c r="N208" s="7" t="s">
        <v>239</v>
      </c>
      <c r="O208" s="6" t="s">
        <v>239</v>
      </c>
      <c r="P208" s="6" t="s">
        <v>239</v>
      </c>
      <c r="Q208" s="6" t="s">
        <v>939</v>
      </c>
      <c r="R208" s="6"/>
      <c r="S208" s="6">
        <f t="shared" si="3"/>
        <v>1155</v>
      </c>
      <c r="T208" s="6"/>
      <c r="U208" s="6"/>
      <c r="V208" s="6"/>
      <c r="W208" s="6" t="s">
        <v>939</v>
      </c>
      <c r="X208" s="6" t="s">
        <v>350</v>
      </c>
      <c r="Y208" s="6" t="s">
        <v>964</v>
      </c>
      <c r="Z208" s="6" t="s">
        <v>965</v>
      </c>
      <c r="AA208" s="6" t="s">
        <v>235</v>
      </c>
    </row>
    <row r="209" spans="1:27">
      <c r="A209" s="6">
        <v>208</v>
      </c>
      <c r="B209" s="6" t="s">
        <v>225</v>
      </c>
      <c r="C209" s="7">
        <v>46094</v>
      </c>
      <c r="D209" s="6" t="s">
        <v>933</v>
      </c>
      <c r="E209" s="6" t="s">
        <v>29</v>
      </c>
      <c r="F209" s="6" t="s">
        <v>966</v>
      </c>
      <c r="G209" s="6">
        <v>13</v>
      </c>
      <c r="H209" s="12" t="s">
        <v>967</v>
      </c>
      <c r="I209" s="12" t="s">
        <v>968</v>
      </c>
      <c r="J209" s="23" t="s">
        <v>969</v>
      </c>
      <c r="K209" s="12" t="s">
        <v>970</v>
      </c>
      <c r="L209" s="13">
        <v>2411</v>
      </c>
      <c r="M209" s="13">
        <v>2411</v>
      </c>
      <c r="N209" s="7">
        <v>46141</v>
      </c>
      <c r="O209" s="6" t="s">
        <v>971</v>
      </c>
      <c r="P209" s="6" t="s">
        <v>52</v>
      </c>
      <c r="Q209" s="6" t="s">
        <v>972</v>
      </c>
      <c r="R209" s="6">
        <v>2412</v>
      </c>
      <c r="S209" s="6">
        <f t="shared" si="3"/>
        <v>-1</v>
      </c>
      <c r="T209" s="7">
        <v>46141</v>
      </c>
      <c r="U209" s="6" t="s">
        <v>973</v>
      </c>
      <c r="V209" s="6" t="s">
        <v>54</v>
      </c>
      <c r="W209" s="12" t="s">
        <v>315</v>
      </c>
      <c r="X209" s="12" t="s">
        <v>782</v>
      </c>
      <c r="Y209" s="12" t="s">
        <v>974</v>
      </c>
      <c r="Z209" s="6" t="s">
        <v>821</v>
      </c>
      <c r="AA209" s="6" t="s">
        <v>235</v>
      </c>
    </row>
    <row r="210" spans="1:27">
      <c r="A210" s="6">
        <v>209</v>
      </c>
      <c r="B210" s="6" t="s">
        <v>225</v>
      </c>
      <c r="C210" s="7">
        <v>46094</v>
      </c>
      <c r="D210" s="6" t="s">
        <v>226</v>
      </c>
      <c r="E210" s="6" t="s">
        <v>29</v>
      </c>
      <c r="F210" s="6" t="s">
        <v>227</v>
      </c>
      <c r="G210" s="6">
        <v>15</v>
      </c>
      <c r="H210" s="6" t="s">
        <v>975</v>
      </c>
      <c r="I210" s="6" t="s">
        <v>976</v>
      </c>
      <c r="J210" s="6" t="s">
        <v>977</v>
      </c>
      <c r="K210" s="6" t="s">
        <v>977</v>
      </c>
      <c r="L210" s="6">
        <v>27878.740000000005</v>
      </c>
      <c r="M210" s="6">
        <v>42000</v>
      </c>
      <c r="N210" s="7">
        <v>46112</v>
      </c>
      <c r="O210" s="6" t="s">
        <v>232</v>
      </c>
      <c r="P210" s="6" t="s">
        <v>52</v>
      </c>
      <c r="Q210" s="6" t="s">
        <v>230</v>
      </c>
      <c r="R210" s="6">
        <v>42000</v>
      </c>
      <c r="S210" s="6">
        <f t="shared" si="3"/>
        <v>0</v>
      </c>
      <c r="T210" s="7">
        <v>46112</v>
      </c>
      <c r="U210" s="6" t="s">
        <v>978</v>
      </c>
      <c r="V210" s="6" t="s">
        <v>54</v>
      </c>
      <c r="W210" s="6" t="s">
        <v>37</v>
      </c>
      <c r="X210" s="6" t="s">
        <v>979</v>
      </c>
      <c r="Y210" s="6" t="s">
        <v>980</v>
      </c>
      <c r="Z210" s="6" t="s">
        <v>363</v>
      </c>
      <c r="AA210" s="6" t="s">
        <v>235</v>
      </c>
    </row>
    <row r="211" spans="1:27">
      <c r="A211" s="6">
        <v>210</v>
      </c>
      <c r="B211" s="6" t="s">
        <v>225</v>
      </c>
      <c r="C211" s="7">
        <v>46096</v>
      </c>
      <c r="D211" s="6" t="s">
        <v>226</v>
      </c>
      <c r="E211" s="6" t="s">
        <v>29</v>
      </c>
      <c r="F211" s="6" t="s">
        <v>364</v>
      </c>
      <c r="G211" s="6">
        <v>15</v>
      </c>
      <c r="H211" s="6" t="s">
        <v>981</v>
      </c>
      <c r="I211" s="6" t="s">
        <v>982</v>
      </c>
      <c r="J211" s="6" t="s">
        <v>983</v>
      </c>
      <c r="K211" s="6" t="s">
        <v>983</v>
      </c>
      <c r="L211" s="6">
        <v>72190</v>
      </c>
      <c r="M211" s="6">
        <v>35000</v>
      </c>
      <c r="N211" s="7"/>
      <c r="O211" s="6" t="s">
        <v>377</v>
      </c>
      <c r="P211" s="6" t="s">
        <v>52</v>
      </c>
      <c r="Q211" s="6" t="s">
        <v>367</v>
      </c>
      <c r="R211" s="6"/>
      <c r="S211" s="6">
        <f t="shared" si="3"/>
        <v>35000</v>
      </c>
      <c r="T211" s="6"/>
      <c r="U211" s="6"/>
      <c r="V211" s="6"/>
      <c r="W211" s="6" t="s">
        <v>369</v>
      </c>
      <c r="X211" s="6" t="s">
        <v>377</v>
      </c>
      <c r="Y211" s="6" t="s">
        <v>984</v>
      </c>
      <c r="Z211" s="6" t="s">
        <v>669</v>
      </c>
      <c r="AA211" s="6" t="s">
        <v>373</v>
      </c>
    </row>
    <row r="212" spans="1:27">
      <c r="A212" s="6">
        <v>211</v>
      </c>
      <c r="B212" s="6" t="s">
        <v>225</v>
      </c>
      <c r="C212" s="7">
        <v>46096</v>
      </c>
      <c r="D212" s="6" t="s">
        <v>226</v>
      </c>
      <c r="E212" s="6" t="s">
        <v>29</v>
      </c>
      <c r="F212" s="6" t="s">
        <v>336</v>
      </c>
      <c r="G212" s="6">
        <v>15</v>
      </c>
      <c r="H212" s="6" t="s">
        <v>985</v>
      </c>
      <c r="I212" s="6">
        <v>8978000972</v>
      </c>
      <c r="J212" s="10" t="s">
        <v>986</v>
      </c>
      <c r="K212" s="10" t="s">
        <v>986</v>
      </c>
      <c r="L212" s="6"/>
      <c r="M212" s="6">
        <v>300</v>
      </c>
      <c r="N212" s="7"/>
      <c r="O212" s="6"/>
      <c r="P212" s="6" t="s">
        <v>239</v>
      </c>
      <c r="Q212" s="6" t="s">
        <v>340</v>
      </c>
      <c r="R212" s="6"/>
      <c r="S212" s="6">
        <f t="shared" si="3"/>
        <v>300</v>
      </c>
      <c r="T212" s="6"/>
      <c r="U212" s="6"/>
      <c r="V212" s="6"/>
      <c r="W212" s="6" t="s">
        <v>388</v>
      </c>
      <c r="X212" s="6"/>
      <c r="Y212" s="6"/>
      <c r="Z212" s="6"/>
      <c r="AA212" s="6" t="s">
        <v>235</v>
      </c>
    </row>
    <row r="213" spans="1:27">
      <c r="A213" s="6">
        <v>212</v>
      </c>
      <c r="B213" s="6" t="s">
        <v>225</v>
      </c>
      <c r="C213" s="7">
        <v>46097</v>
      </c>
      <c r="D213" s="6" t="s">
        <v>226</v>
      </c>
      <c r="E213" s="6" t="s">
        <v>29</v>
      </c>
      <c r="F213" s="6" t="s">
        <v>267</v>
      </c>
      <c r="G213" s="6">
        <v>16</v>
      </c>
      <c r="H213" s="11" t="s">
        <v>987</v>
      </c>
      <c r="I213" s="11">
        <v>8138900567</v>
      </c>
      <c r="J213" s="10" t="s">
        <v>988</v>
      </c>
      <c r="K213" s="10" t="s">
        <v>988</v>
      </c>
      <c r="L213" s="6">
        <v>1340</v>
      </c>
      <c r="M213" s="6">
        <v>1340</v>
      </c>
      <c r="N213" s="7" t="s">
        <v>239</v>
      </c>
      <c r="O213" s="6" t="s">
        <v>239</v>
      </c>
      <c r="P213" s="6" t="s">
        <v>239</v>
      </c>
      <c r="Q213" s="6" t="s">
        <v>236</v>
      </c>
      <c r="R213" s="6"/>
      <c r="S213" s="6">
        <f t="shared" si="3"/>
        <v>1340</v>
      </c>
      <c r="T213" s="6"/>
      <c r="U213" s="6"/>
      <c r="V213" s="6"/>
      <c r="W213" s="6" t="s">
        <v>236</v>
      </c>
      <c r="X213" s="6" t="s">
        <v>236</v>
      </c>
      <c r="Y213" s="6" t="s">
        <v>236</v>
      </c>
      <c r="Z213" s="6" t="s">
        <v>236</v>
      </c>
      <c r="AA213" s="6" t="s">
        <v>236</v>
      </c>
    </row>
    <row r="214" spans="1:27">
      <c r="A214" s="6">
        <v>213</v>
      </c>
      <c r="B214" s="6" t="s">
        <v>225</v>
      </c>
      <c r="C214" s="7">
        <v>46097</v>
      </c>
      <c r="D214" s="6" t="s">
        <v>226</v>
      </c>
      <c r="E214" s="6" t="s">
        <v>29</v>
      </c>
      <c r="F214" s="6" t="s">
        <v>267</v>
      </c>
      <c r="G214" s="6">
        <v>16</v>
      </c>
      <c r="H214" s="11" t="s">
        <v>989</v>
      </c>
      <c r="I214" s="11">
        <v>9633922233</v>
      </c>
      <c r="J214" s="10" t="s">
        <v>990</v>
      </c>
      <c r="K214" s="10" t="s">
        <v>990</v>
      </c>
      <c r="L214" s="6">
        <v>3170</v>
      </c>
      <c r="M214" s="6">
        <v>3170</v>
      </c>
      <c r="N214" s="7" t="s">
        <v>239</v>
      </c>
      <c r="O214" s="6" t="s">
        <v>239</v>
      </c>
      <c r="P214" s="6" t="s">
        <v>239</v>
      </c>
      <c r="Q214" s="6" t="s">
        <v>236</v>
      </c>
      <c r="R214" s="6"/>
      <c r="S214" s="6">
        <f t="shared" si="3"/>
        <v>3170</v>
      </c>
      <c r="T214" s="6"/>
      <c r="U214" s="6"/>
      <c r="V214" s="6"/>
      <c r="W214" s="6" t="s">
        <v>236</v>
      </c>
      <c r="X214" s="6" t="s">
        <v>236</v>
      </c>
      <c r="Y214" s="6" t="s">
        <v>236</v>
      </c>
      <c r="Z214" s="6" t="s">
        <v>236</v>
      </c>
      <c r="AA214" s="6" t="s">
        <v>236</v>
      </c>
    </row>
    <row r="215" spans="1:27">
      <c r="A215" s="6">
        <v>214</v>
      </c>
      <c r="B215" s="6" t="s">
        <v>225</v>
      </c>
      <c r="C215" s="7">
        <v>46097</v>
      </c>
      <c r="D215" s="6" t="s">
        <v>226</v>
      </c>
      <c r="E215" s="6" t="s">
        <v>29</v>
      </c>
      <c r="F215" s="6" t="s">
        <v>267</v>
      </c>
      <c r="G215" s="6">
        <v>16</v>
      </c>
      <c r="H215" s="11" t="s">
        <v>991</v>
      </c>
      <c r="I215" s="11">
        <v>9994876688</v>
      </c>
      <c r="J215" s="10" t="s">
        <v>992</v>
      </c>
      <c r="K215" s="10" t="s">
        <v>992</v>
      </c>
      <c r="L215" s="6">
        <v>2980</v>
      </c>
      <c r="M215" s="6">
        <v>2980</v>
      </c>
      <c r="N215" s="7" t="s">
        <v>239</v>
      </c>
      <c r="O215" s="6" t="s">
        <v>239</v>
      </c>
      <c r="P215" s="6" t="s">
        <v>239</v>
      </c>
      <c r="Q215" s="6" t="s">
        <v>236</v>
      </c>
      <c r="R215" s="6"/>
      <c r="S215" s="6">
        <f t="shared" si="3"/>
        <v>2980</v>
      </c>
      <c r="T215" s="6"/>
      <c r="U215" s="6"/>
      <c r="V215" s="6"/>
      <c r="W215" s="6" t="s">
        <v>236</v>
      </c>
      <c r="X215" s="6" t="s">
        <v>236</v>
      </c>
      <c r="Y215" s="6" t="s">
        <v>236</v>
      </c>
      <c r="Z215" s="6" t="s">
        <v>236</v>
      </c>
      <c r="AA215" s="6" t="s">
        <v>236</v>
      </c>
    </row>
    <row r="216" spans="1:27">
      <c r="A216" s="6">
        <v>215</v>
      </c>
      <c r="B216" s="6" t="s">
        <v>225</v>
      </c>
      <c r="C216" s="7">
        <v>46097</v>
      </c>
      <c r="D216" s="6" t="s">
        <v>226</v>
      </c>
      <c r="E216" s="6" t="s">
        <v>29</v>
      </c>
      <c r="F216" s="6" t="s">
        <v>267</v>
      </c>
      <c r="G216" s="6">
        <v>16</v>
      </c>
      <c r="H216" s="11" t="s">
        <v>993</v>
      </c>
      <c r="I216" s="11">
        <v>9100037226</v>
      </c>
      <c r="J216" s="10" t="s">
        <v>994</v>
      </c>
      <c r="K216" s="10" t="s">
        <v>994</v>
      </c>
      <c r="L216" s="6">
        <v>2550</v>
      </c>
      <c r="M216" s="6">
        <v>2550</v>
      </c>
      <c r="N216" s="7" t="s">
        <v>239</v>
      </c>
      <c r="O216" s="6" t="s">
        <v>239</v>
      </c>
      <c r="P216" s="6" t="s">
        <v>239</v>
      </c>
      <c r="Q216" s="6" t="s">
        <v>236</v>
      </c>
      <c r="R216" s="6"/>
      <c r="S216" s="6">
        <f t="shared" si="3"/>
        <v>2550</v>
      </c>
      <c r="T216" s="6"/>
      <c r="U216" s="6"/>
      <c r="V216" s="6"/>
      <c r="W216" s="6" t="s">
        <v>236</v>
      </c>
      <c r="X216" s="6" t="s">
        <v>236</v>
      </c>
      <c r="Y216" s="6" t="s">
        <v>236</v>
      </c>
      <c r="Z216" s="6" t="s">
        <v>236</v>
      </c>
      <c r="AA216" s="6" t="s">
        <v>236</v>
      </c>
    </row>
    <row r="217" spans="1:27">
      <c r="A217" s="6">
        <v>216</v>
      </c>
      <c r="B217" s="6" t="s">
        <v>225</v>
      </c>
      <c r="C217" s="7">
        <v>46097</v>
      </c>
      <c r="D217" s="6" t="s">
        <v>226</v>
      </c>
      <c r="E217" s="6" t="s">
        <v>29</v>
      </c>
      <c r="F217" s="6" t="s">
        <v>267</v>
      </c>
      <c r="G217" s="6">
        <v>16</v>
      </c>
      <c r="H217" s="11" t="s">
        <v>995</v>
      </c>
      <c r="I217" s="11">
        <v>9961104487</v>
      </c>
      <c r="J217" s="10" t="s">
        <v>996</v>
      </c>
      <c r="K217" s="10" t="s">
        <v>996</v>
      </c>
      <c r="L217" s="6">
        <v>1490</v>
      </c>
      <c r="M217" s="6">
        <v>1490</v>
      </c>
      <c r="N217" s="7" t="s">
        <v>239</v>
      </c>
      <c r="O217" s="6" t="s">
        <v>239</v>
      </c>
      <c r="P217" s="6" t="s">
        <v>239</v>
      </c>
      <c r="Q217" s="6" t="s">
        <v>236</v>
      </c>
      <c r="R217" s="6"/>
      <c r="S217" s="6">
        <f t="shared" si="3"/>
        <v>1490</v>
      </c>
      <c r="T217" s="6"/>
      <c r="U217" s="6"/>
      <c r="V217" s="6"/>
      <c r="W217" s="6" t="s">
        <v>236</v>
      </c>
      <c r="X217" s="6" t="s">
        <v>236</v>
      </c>
      <c r="Y217" s="6" t="s">
        <v>236</v>
      </c>
      <c r="Z217" s="6" t="s">
        <v>236</v>
      </c>
      <c r="AA217" s="6" t="s">
        <v>236</v>
      </c>
    </row>
    <row r="218" spans="1:27">
      <c r="A218" s="6">
        <v>217</v>
      </c>
      <c r="B218" s="6" t="s">
        <v>225</v>
      </c>
      <c r="C218" s="7">
        <v>46097</v>
      </c>
      <c r="D218" s="6" t="s">
        <v>226</v>
      </c>
      <c r="E218" s="6" t="s">
        <v>29</v>
      </c>
      <c r="F218" s="6" t="s">
        <v>267</v>
      </c>
      <c r="G218" s="6">
        <v>16</v>
      </c>
      <c r="H218" s="11" t="s">
        <v>997</v>
      </c>
      <c r="I218" s="11">
        <v>8320557942</v>
      </c>
      <c r="J218" s="10" t="s">
        <v>998</v>
      </c>
      <c r="K218" s="10" t="s">
        <v>998</v>
      </c>
      <c r="L218" s="6">
        <v>800</v>
      </c>
      <c r="M218" s="6">
        <v>800</v>
      </c>
      <c r="N218" s="7" t="s">
        <v>239</v>
      </c>
      <c r="O218" s="6" t="s">
        <v>239</v>
      </c>
      <c r="P218" s="6" t="s">
        <v>239</v>
      </c>
      <c r="Q218" s="6" t="s">
        <v>236</v>
      </c>
      <c r="R218" s="6"/>
      <c r="S218" s="6">
        <f t="shared" si="3"/>
        <v>800</v>
      </c>
      <c r="T218" s="6"/>
      <c r="U218" s="6"/>
      <c r="V218" s="6"/>
      <c r="W218" s="6" t="s">
        <v>236</v>
      </c>
      <c r="X218" s="6" t="s">
        <v>236</v>
      </c>
      <c r="Y218" s="6" t="s">
        <v>236</v>
      </c>
      <c r="Z218" s="6" t="s">
        <v>236</v>
      </c>
      <c r="AA218" s="6" t="s">
        <v>236</v>
      </c>
    </row>
    <row r="219" spans="1:27">
      <c r="A219" s="6">
        <v>218</v>
      </c>
      <c r="B219" s="6" t="s">
        <v>225</v>
      </c>
      <c r="C219" s="7">
        <v>46097</v>
      </c>
      <c r="D219" s="6" t="s">
        <v>226</v>
      </c>
      <c r="E219" s="6" t="s">
        <v>29</v>
      </c>
      <c r="F219" s="6" t="s">
        <v>267</v>
      </c>
      <c r="G219" s="6">
        <v>16</v>
      </c>
      <c r="H219" s="11" t="s">
        <v>999</v>
      </c>
      <c r="I219" s="11">
        <v>7993365437</v>
      </c>
      <c r="J219" s="10" t="s">
        <v>1000</v>
      </c>
      <c r="K219" s="10" t="s">
        <v>1000</v>
      </c>
      <c r="L219" s="6">
        <v>900</v>
      </c>
      <c r="M219" s="6">
        <v>900</v>
      </c>
      <c r="N219" s="7" t="s">
        <v>239</v>
      </c>
      <c r="O219" s="6" t="s">
        <v>239</v>
      </c>
      <c r="P219" s="6" t="s">
        <v>239</v>
      </c>
      <c r="Q219" s="6" t="s">
        <v>236</v>
      </c>
      <c r="R219" s="6"/>
      <c r="S219" s="6">
        <f t="shared" si="3"/>
        <v>900</v>
      </c>
      <c r="T219" s="6"/>
      <c r="U219" s="6"/>
      <c r="V219" s="6"/>
      <c r="W219" s="6" t="s">
        <v>236</v>
      </c>
      <c r="X219" s="6" t="s">
        <v>236</v>
      </c>
      <c r="Y219" s="6" t="s">
        <v>236</v>
      </c>
      <c r="Z219" s="6" t="s">
        <v>236</v>
      </c>
      <c r="AA219" s="6" t="s">
        <v>236</v>
      </c>
    </row>
    <row r="220" spans="1:27">
      <c r="A220" s="6">
        <v>219</v>
      </c>
      <c r="B220" s="6" t="s">
        <v>225</v>
      </c>
      <c r="C220" s="7">
        <v>46097</v>
      </c>
      <c r="D220" s="6" t="s">
        <v>226</v>
      </c>
      <c r="E220" s="6" t="s">
        <v>29</v>
      </c>
      <c r="F220" s="6" t="s">
        <v>267</v>
      </c>
      <c r="G220" s="6">
        <v>16</v>
      </c>
      <c r="H220" s="11" t="s">
        <v>1001</v>
      </c>
      <c r="I220" s="11">
        <v>8098493495</v>
      </c>
      <c r="J220" s="10" t="s">
        <v>1002</v>
      </c>
      <c r="K220" s="10" t="s">
        <v>1002</v>
      </c>
      <c r="L220" s="6">
        <v>830</v>
      </c>
      <c r="M220" s="6">
        <v>830</v>
      </c>
      <c r="N220" s="7" t="s">
        <v>239</v>
      </c>
      <c r="O220" s="6" t="s">
        <v>239</v>
      </c>
      <c r="P220" s="6" t="s">
        <v>239</v>
      </c>
      <c r="Q220" s="6" t="s">
        <v>236</v>
      </c>
      <c r="R220" s="6"/>
      <c r="S220" s="6">
        <f t="shared" si="3"/>
        <v>830</v>
      </c>
      <c r="T220" s="6"/>
      <c r="U220" s="6"/>
      <c r="V220" s="6"/>
      <c r="W220" s="6" t="s">
        <v>236</v>
      </c>
      <c r="X220" s="6" t="s">
        <v>236</v>
      </c>
      <c r="Y220" s="6" t="s">
        <v>236</v>
      </c>
      <c r="Z220" s="6" t="s">
        <v>236</v>
      </c>
      <c r="AA220" s="6" t="s">
        <v>236</v>
      </c>
    </row>
    <row r="221" spans="1:27">
      <c r="A221" s="6">
        <v>220</v>
      </c>
      <c r="B221" s="6" t="s">
        <v>225</v>
      </c>
      <c r="C221" s="7">
        <v>46097</v>
      </c>
      <c r="D221" s="6" t="s">
        <v>226</v>
      </c>
      <c r="E221" s="6" t="s">
        <v>29</v>
      </c>
      <c r="F221" s="6" t="s">
        <v>267</v>
      </c>
      <c r="G221" s="6">
        <v>16</v>
      </c>
      <c r="H221" s="11" t="s">
        <v>1003</v>
      </c>
      <c r="I221" s="11">
        <v>8495837111</v>
      </c>
      <c r="J221" s="10" t="s">
        <v>1004</v>
      </c>
      <c r="K221" s="10" t="s">
        <v>1004</v>
      </c>
      <c r="L221" s="6">
        <v>980</v>
      </c>
      <c r="M221" s="6">
        <v>980</v>
      </c>
      <c r="N221" s="7" t="s">
        <v>239</v>
      </c>
      <c r="O221" s="6" t="s">
        <v>239</v>
      </c>
      <c r="P221" s="6" t="s">
        <v>239</v>
      </c>
      <c r="Q221" s="6" t="s">
        <v>236</v>
      </c>
      <c r="R221" s="6"/>
      <c r="S221" s="6">
        <f t="shared" si="3"/>
        <v>980</v>
      </c>
      <c r="T221" s="6"/>
      <c r="U221" s="6"/>
      <c r="V221" s="6"/>
      <c r="W221" s="6" t="s">
        <v>236</v>
      </c>
      <c r="X221" s="6" t="s">
        <v>236</v>
      </c>
      <c r="Y221" s="6" t="s">
        <v>236</v>
      </c>
      <c r="Z221" s="6" t="s">
        <v>236</v>
      </c>
      <c r="AA221" s="6" t="s">
        <v>236</v>
      </c>
    </row>
    <row r="222" spans="1:27">
      <c r="A222" s="6">
        <v>221</v>
      </c>
      <c r="B222" s="6" t="s">
        <v>225</v>
      </c>
      <c r="C222" s="7">
        <v>46097</v>
      </c>
      <c r="D222" s="6" t="s">
        <v>226</v>
      </c>
      <c r="E222" s="6" t="s">
        <v>29</v>
      </c>
      <c r="F222" s="6" t="s">
        <v>267</v>
      </c>
      <c r="G222" s="6">
        <v>16</v>
      </c>
      <c r="H222" s="11" t="s">
        <v>1005</v>
      </c>
      <c r="I222" s="11">
        <v>7660941201</v>
      </c>
      <c r="J222" s="10" t="s">
        <v>1006</v>
      </c>
      <c r="K222" s="10" t="s">
        <v>1006</v>
      </c>
      <c r="L222" s="6">
        <v>1290</v>
      </c>
      <c r="M222" s="6">
        <v>1290</v>
      </c>
      <c r="N222" s="7" t="s">
        <v>239</v>
      </c>
      <c r="O222" s="6" t="s">
        <v>239</v>
      </c>
      <c r="P222" s="6" t="s">
        <v>239</v>
      </c>
      <c r="Q222" s="6" t="s">
        <v>236</v>
      </c>
      <c r="R222" s="6"/>
      <c r="S222" s="6">
        <f t="shared" si="3"/>
        <v>1290</v>
      </c>
      <c r="T222" s="6"/>
      <c r="U222" s="6"/>
      <c r="V222" s="6"/>
      <c r="W222" s="6" t="s">
        <v>236</v>
      </c>
      <c r="X222" s="6" t="s">
        <v>236</v>
      </c>
      <c r="Y222" s="6" t="s">
        <v>236</v>
      </c>
      <c r="Z222" s="6" t="s">
        <v>236</v>
      </c>
      <c r="AA222" s="6" t="s">
        <v>236</v>
      </c>
    </row>
    <row r="223" spans="1:27">
      <c r="A223" s="6">
        <v>222</v>
      </c>
      <c r="B223" s="6" t="s">
        <v>225</v>
      </c>
      <c r="C223" s="7">
        <v>46097</v>
      </c>
      <c r="D223" s="6" t="s">
        <v>226</v>
      </c>
      <c r="E223" s="6" t="s">
        <v>29</v>
      </c>
      <c r="F223" s="6" t="s">
        <v>267</v>
      </c>
      <c r="G223" s="6">
        <v>16</v>
      </c>
      <c r="H223" s="11" t="s">
        <v>1007</v>
      </c>
      <c r="I223" s="11">
        <v>7760777301</v>
      </c>
      <c r="J223" s="10" t="s">
        <v>1008</v>
      </c>
      <c r="K223" s="10" t="s">
        <v>1008</v>
      </c>
      <c r="L223" s="6">
        <v>470</v>
      </c>
      <c r="M223" s="6">
        <v>470</v>
      </c>
      <c r="N223" s="7" t="s">
        <v>239</v>
      </c>
      <c r="O223" s="6" t="s">
        <v>239</v>
      </c>
      <c r="P223" s="6" t="s">
        <v>239</v>
      </c>
      <c r="Q223" s="6" t="s">
        <v>236</v>
      </c>
      <c r="R223" s="6"/>
      <c r="S223" s="6">
        <f t="shared" si="3"/>
        <v>470</v>
      </c>
      <c r="T223" s="6"/>
      <c r="U223" s="6"/>
      <c r="V223" s="6"/>
      <c r="W223" s="6" t="s">
        <v>236</v>
      </c>
      <c r="X223" s="6" t="s">
        <v>236</v>
      </c>
      <c r="Y223" s="6" t="s">
        <v>236</v>
      </c>
      <c r="Z223" s="6" t="s">
        <v>236</v>
      </c>
      <c r="AA223" s="6" t="s">
        <v>236</v>
      </c>
    </row>
    <row r="224" spans="1:27">
      <c r="A224" s="6">
        <v>223</v>
      </c>
      <c r="B224" s="6" t="s">
        <v>225</v>
      </c>
      <c r="C224" s="7">
        <v>46097</v>
      </c>
      <c r="D224" s="6" t="s">
        <v>226</v>
      </c>
      <c r="E224" s="6" t="s">
        <v>29</v>
      </c>
      <c r="F224" s="6" t="s">
        <v>267</v>
      </c>
      <c r="G224" s="6">
        <v>16</v>
      </c>
      <c r="H224" s="11" t="s">
        <v>1009</v>
      </c>
      <c r="I224" s="11">
        <v>7382509626</v>
      </c>
      <c r="J224" s="10" t="s">
        <v>1010</v>
      </c>
      <c r="K224" s="10" t="s">
        <v>1010</v>
      </c>
      <c r="L224" s="6">
        <v>840</v>
      </c>
      <c r="M224" s="6">
        <v>840</v>
      </c>
      <c r="N224" s="7" t="s">
        <v>239</v>
      </c>
      <c r="O224" s="6" t="s">
        <v>239</v>
      </c>
      <c r="P224" s="6" t="s">
        <v>239</v>
      </c>
      <c r="Q224" s="6" t="s">
        <v>236</v>
      </c>
      <c r="R224" s="6"/>
      <c r="S224" s="6">
        <f t="shared" si="3"/>
        <v>840</v>
      </c>
      <c r="T224" s="6"/>
      <c r="U224" s="6"/>
      <c r="V224" s="6"/>
      <c r="W224" s="6" t="s">
        <v>236</v>
      </c>
      <c r="X224" s="6" t="s">
        <v>236</v>
      </c>
      <c r="Y224" s="6" t="s">
        <v>236</v>
      </c>
      <c r="Z224" s="6" t="s">
        <v>236</v>
      </c>
      <c r="AA224" s="6" t="s">
        <v>236</v>
      </c>
    </row>
    <row r="225" spans="1:27">
      <c r="A225" s="6">
        <v>224</v>
      </c>
      <c r="B225" s="6" t="s">
        <v>225</v>
      </c>
      <c r="C225" s="7">
        <v>46097</v>
      </c>
      <c r="D225" s="6" t="s">
        <v>226</v>
      </c>
      <c r="E225" s="6" t="s">
        <v>29</v>
      </c>
      <c r="F225" s="6" t="s">
        <v>267</v>
      </c>
      <c r="G225" s="6">
        <v>16</v>
      </c>
      <c r="H225" s="11" t="s">
        <v>1011</v>
      </c>
      <c r="I225" s="11">
        <v>9944070744</v>
      </c>
      <c r="J225" s="10" t="s">
        <v>1012</v>
      </c>
      <c r="K225" s="10" t="s">
        <v>1012</v>
      </c>
      <c r="L225" s="6">
        <v>510</v>
      </c>
      <c r="M225" s="6">
        <v>510</v>
      </c>
      <c r="N225" s="7" t="s">
        <v>239</v>
      </c>
      <c r="O225" s="6" t="s">
        <v>239</v>
      </c>
      <c r="P225" s="6" t="s">
        <v>239</v>
      </c>
      <c r="Q225" s="6" t="s">
        <v>236</v>
      </c>
      <c r="R225" s="6"/>
      <c r="S225" s="6">
        <f t="shared" si="3"/>
        <v>510</v>
      </c>
      <c r="T225" s="6"/>
      <c r="U225" s="6"/>
      <c r="V225" s="6"/>
      <c r="W225" s="6" t="s">
        <v>236</v>
      </c>
      <c r="X225" s="6" t="s">
        <v>236</v>
      </c>
      <c r="Y225" s="6" t="s">
        <v>236</v>
      </c>
      <c r="Z225" s="6" t="s">
        <v>236</v>
      </c>
      <c r="AA225" s="6" t="s">
        <v>236</v>
      </c>
    </row>
    <row r="226" spans="1:27">
      <c r="A226" s="6">
        <v>225</v>
      </c>
      <c r="B226" s="6" t="s">
        <v>225</v>
      </c>
      <c r="C226" s="7">
        <v>46097</v>
      </c>
      <c r="D226" s="6" t="s">
        <v>226</v>
      </c>
      <c r="E226" s="6" t="s">
        <v>29</v>
      </c>
      <c r="F226" s="6" t="s">
        <v>267</v>
      </c>
      <c r="G226" s="6">
        <v>16</v>
      </c>
      <c r="H226" s="11" t="s">
        <v>1013</v>
      </c>
      <c r="I226" s="11">
        <v>8817043585</v>
      </c>
      <c r="J226" s="10" t="s">
        <v>1014</v>
      </c>
      <c r="K226" s="10" t="s">
        <v>1014</v>
      </c>
      <c r="L226" s="6">
        <v>800</v>
      </c>
      <c r="M226" s="6">
        <v>800</v>
      </c>
      <c r="N226" s="7" t="s">
        <v>239</v>
      </c>
      <c r="O226" s="6" t="s">
        <v>239</v>
      </c>
      <c r="P226" s="6" t="s">
        <v>239</v>
      </c>
      <c r="Q226" s="6" t="s">
        <v>236</v>
      </c>
      <c r="R226" s="6"/>
      <c r="S226" s="6">
        <f t="shared" si="3"/>
        <v>800</v>
      </c>
      <c r="T226" s="6"/>
      <c r="U226" s="6"/>
      <c r="V226" s="6"/>
      <c r="W226" s="6" t="s">
        <v>236</v>
      </c>
      <c r="X226" s="6" t="s">
        <v>236</v>
      </c>
      <c r="Y226" s="6" t="s">
        <v>236</v>
      </c>
      <c r="Z226" s="6" t="s">
        <v>236</v>
      </c>
      <c r="AA226" s="6" t="s">
        <v>236</v>
      </c>
    </row>
    <row r="227" spans="1:27">
      <c r="A227" s="6">
        <v>226</v>
      </c>
      <c r="B227" s="6" t="s">
        <v>225</v>
      </c>
      <c r="C227" s="7">
        <v>46097</v>
      </c>
      <c r="D227" s="6" t="s">
        <v>226</v>
      </c>
      <c r="E227" s="6" t="s">
        <v>29</v>
      </c>
      <c r="F227" s="6" t="s">
        <v>267</v>
      </c>
      <c r="G227" s="6">
        <v>16</v>
      </c>
      <c r="H227" s="11" t="s">
        <v>1015</v>
      </c>
      <c r="I227" s="11">
        <v>9030434440</v>
      </c>
      <c r="J227" s="10" t="s">
        <v>1016</v>
      </c>
      <c r="K227" s="10" t="s">
        <v>1016</v>
      </c>
      <c r="L227" s="6">
        <v>210</v>
      </c>
      <c r="M227" s="6">
        <v>210</v>
      </c>
      <c r="N227" s="7" t="s">
        <v>239</v>
      </c>
      <c r="O227" s="6" t="s">
        <v>239</v>
      </c>
      <c r="P227" s="6" t="s">
        <v>239</v>
      </c>
      <c r="Q227" s="6" t="s">
        <v>236</v>
      </c>
      <c r="R227" s="6"/>
      <c r="S227" s="6">
        <f t="shared" si="3"/>
        <v>210</v>
      </c>
      <c r="T227" s="6"/>
      <c r="U227" s="6"/>
      <c r="V227" s="6"/>
      <c r="W227" s="6" t="s">
        <v>236</v>
      </c>
      <c r="X227" s="6" t="s">
        <v>236</v>
      </c>
      <c r="Y227" s="6" t="s">
        <v>236</v>
      </c>
      <c r="Z227" s="6" t="s">
        <v>236</v>
      </c>
      <c r="AA227" s="6" t="s">
        <v>236</v>
      </c>
    </row>
    <row r="228" spans="1:27">
      <c r="A228" s="6">
        <v>227</v>
      </c>
      <c r="B228" s="6" t="s">
        <v>225</v>
      </c>
      <c r="C228" s="7">
        <v>46097</v>
      </c>
      <c r="D228" s="6" t="s">
        <v>226</v>
      </c>
      <c r="E228" s="6" t="s">
        <v>29</v>
      </c>
      <c r="F228" s="6" t="s">
        <v>746</v>
      </c>
      <c r="G228" s="6">
        <v>16</v>
      </c>
      <c r="H228" s="11" t="s">
        <v>1017</v>
      </c>
      <c r="I228" s="11">
        <v>8073220355</v>
      </c>
      <c r="J228" s="10" t="s">
        <v>1018</v>
      </c>
      <c r="K228" s="10" t="s">
        <v>1018</v>
      </c>
      <c r="L228" s="6">
        <v>1640</v>
      </c>
      <c r="M228" s="6">
        <v>1640</v>
      </c>
      <c r="N228" s="7" t="s">
        <v>239</v>
      </c>
      <c r="O228" s="6" t="s">
        <v>239</v>
      </c>
      <c r="P228" s="6" t="s">
        <v>239</v>
      </c>
      <c r="Q228" s="6" t="s">
        <v>236</v>
      </c>
      <c r="R228" s="6"/>
      <c r="S228" s="6">
        <f t="shared" si="3"/>
        <v>1640</v>
      </c>
      <c r="T228" s="6"/>
      <c r="U228" s="6"/>
      <c r="V228" s="6"/>
      <c r="W228" s="6" t="s">
        <v>236</v>
      </c>
      <c r="X228" s="6" t="s">
        <v>236</v>
      </c>
      <c r="Y228" s="6" t="s">
        <v>236</v>
      </c>
      <c r="Z228" s="6" t="s">
        <v>236</v>
      </c>
      <c r="AA228" s="6" t="s">
        <v>236</v>
      </c>
    </row>
    <row r="229" spans="1:27">
      <c r="A229" s="6">
        <v>228</v>
      </c>
      <c r="B229" s="6" t="s">
        <v>225</v>
      </c>
      <c r="C229" s="7">
        <v>46097</v>
      </c>
      <c r="D229" s="6" t="s">
        <v>226</v>
      </c>
      <c r="E229" s="6" t="s">
        <v>29</v>
      </c>
      <c r="F229" s="6" t="s">
        <v>746</v>
      </c>
      <c r="G229" s="6">
        <v>16</v>
      </c>
      <c r="H229" s="11" t="s">
        <v>1019</v>
      </c>
      <c r="I229" s="11">
        <v>9558382814</v>
      </c>
      <c r="J229" s="10" t="s">
        <v>1020</v>
      </c>
      <c r="K229" s="10" t="s">
        <v>1020</v>
      </c>
      <c r="L229" s="6">
        <v>2190</v>
      </c>
      <c r="M229" s="6">
        <v>2190</v>
      </c>
      <c r="N229" s="7" t="s">
        <v>239</v>
      </c>
      <c r="O229" s="6" t="s">
        <v>239</v>
      </c>
      <c r="P229" s="6" t="s">
        <v>239</v>
      </c>
      <c r="Q229" s="6" t="s">
        <v>236</v>
      </c>
      <c r="R229" s="6"/>
      <c r="S229" s="6">
        <f t="shared" si="3"/>
        <v>2190</v>
      </c>
      <c r="T229" s="6"/>
      <c r="U229" s="6"/>
      <c r="V229" s="6"/>
      <c r="W229" s="6" t="s">
        <v>236</v>
      </c>
      <c r="X229" s="6" t="s">
        <v>236</v>
      </c>
      <c r="Y229" s="6" t="s">
        <v>236</v>
      </c>
      <c r="Z229" s="6" t="s">
        <v>236</v>
      </c>
      <c r="AA229" s="6" t="s">
        <v>236</v>
      </c>
    </row>
    <row r="230" spans="1:27">
      <c r="A230" s="6">
        <v>229</v>
      </c>
      <c r="B230" s="6" t="s">
        <v>225</v>
      </c>
      <c r="C230" s="7">
        <v>46097</v>
      </c>
      <c r="D230" s="6" t="s">
        <v>226</v>
      </c>
      <c r="E230" s="6" t="s">
        <v>29</v>
      </c>
      <c r="F230" s="6" t="s">
        <v>746</v>
      </c>
      <c r="G230" s="6">
        <v>16</v>
      </c>
      <c r="H230" s="11" t="s">
        <v>1021</v>
      </c>
      <c r="I230" s="11">
        <v>9740182927</v>
      </c>
      <c r="J230" s="10" t="s">
        <v>1022</v>
      </c>
      <c r="K230" s="10" t="s">
        <v>1022</v>
      </c>
      <c r="L230" s="6">
        <v>810</v>
      </c>
      <c r="M230" s="6">
        <v>810</v>
      </c>
      <c r="N230" s="7" t="s">
        <v>239</v>
      </c>
      <c r="O230" s="6" t="s">
        <v>239</v>
      </c>
      <c r="P230" s="6" t="s">
        <v>239</v>
      </c>
      <c r="Q230" s="6" t="s">
        <v>236</v>
      </c>
      <c r="R230" s="6"/>
      <c r="S230" s="6">
        <f t="shared" si="3"/>
        <v>810</v>
      </c>
      <c r="T230" s="6"/>
      <c r="U230" s="6"/>
      <c r="V230" s="6"/>
      <c r="W230" s="6" t="s">
        <v>236</v>
      </c>
      <c r="X230" s="6" t="s">
        <v>236</v>
      </c>
      <c r="Y230" s="6" t="s">
        <v>236</v>
      </c>
      <c r="Z230" s="6" t="s">
        <v>236</v>
      </c>
      <c r="AA230" s="6" t="s">
        <v>236</v>
      </c>
    </row>
    <row r="231" spans="1:27">
      <c r="A231" s="6">
        <v>230</v>
      </c>
      <c r="B231" s="6" t="s">
        <v>225</v>
      </c>
      <c r="C231" s="7">
        <v>46097</v>
      </c>
      <c r="D231" s="6" t="s">
        <v>226</v>
      </c>
      <c r="E231" s="6" t="s">
        <v>29</v>
      </c>
      <c r="F231" s="6" t="s">
        <v>746</v>
      </c>
      <c r="G231" s="6">
        <v>16</v>
      </c>
      <c r="H231" s="11" t="s">
        <v>1023</v>
      </c>
      <c r="I231" s="11">
        <v>9841424691</v>
      </c>
      <c r="J231" s="10" t="s">
        <v>1024</v>
      </c>
      <c r="K231" s="10" t="s">
        <v>1024</v>
      </c>
      <c r="L231" s="6">
        <v>378</v>
      </c>
      <c r="M231" s="6">
        <v>378</v>
      </c>
      <c r="N231" s="7" t="s">
        <v>239</v>
      </c>
      <c r="O231" s="6" t="s">
        <v>239</v>
      </c>
      <c r="P231" s="6" t="s">
        <v>239</v>
      </c>
      <c r="Q231" s="6" t="s">
        <v>236</v>
      </c>
      <c r="R231" s="6"/>
      <c r="S231" s="6">
        <f t="shared" si="3"/>
        <v>378</v>
      </c>
      <c r="T231" s="6"/>
      <c r="U231" s="6"/>
      <c r="V231" s="6"/>
      <c r="W231" s="6" t="s">
        <v>236</v>
      </c>
      <c r="X231" s="6" t="s">
        <v>236</v>
      </c>
      <c r="Y231" s="6" t="s">
        <v>236</v>
      </c>
      <c r="Z231" s="6" t="s">
        <v>236</v>
      </c>
      <c r="AA231" s="6" t="s">
        <v>236</v>
      </c>
    </row>
    <row r="232" spans="1:27">
      <c r="A232" s="6">
        <v>231</v>
      </c>
      <c r="B232" s="6" t="s">
        <v>225</v>
      </c>
      <c r="C232" s="7">
        <v>46097</v>
      </c>
      <c r="D232" s="6" t="s">
        <v>226</v>
      </c>
      <c r="E232" s="6" t="s">
        <v>29</v>
      </c>
      <c r="F232" s="6" t="s">
        <v>395</v>
      </c>
      <c r="G232" s="6">
        <v>16</v>
      </c>
      <c r="H232" s="11" t="s">
        <v>1025</v>
      </c>
      <c r="I232" s="6">
        <v>8667656071</v>
      </c>
      <c r="J232" s="10" t="s">
        <v>1026</v>
      </c>
      <c r="K232" s="10" t="s">
        <v>1026</v>
      </c>
      <c r="L232" s="6">
        <v>16500</v>
      </c>
      <c r="M232" s="6">
        <v>2510</v>
      </c>
      <c r="N232" s="7"/>
      <c r="O232" s="6" t="s">
        <v>400</v>
      </c>
      <c r="P232" s="6" t="s">
        <v>52</v>
      </c>
      <c r="Q232" s="6" t="s">
        <v>400</v>
      </c>
      <c r="R232" s="6"/>
      <c r="S232" s="6">
        <f t="shared" si="3"/>
        <v>2510</v>
      </c>
      <c r="T232" s="6"/>
      <c r="U232" s="6"/>
      <c r="V232" s="6"/>
      <c r="W232" s="6" t="s">
        <v>1027</v>
      </c>
      <c r="X232" s="6" t="s">
        <v>1028</v>
      </c>
      <c r="Y232" s="6" t="s">
        <v>1029</v>
      </c>
      <c r="Z232" s="6" t="s">
        <v>57</v>
      </c>
      <c r="AA232" s="6" t="s">
        <v>57</v>
      </c>
    </row>
    <row r="233" spans="1:27">
      <c r="A233" s="6">
        <v>232</v>
      </c>
      <c r="B233" s="6" t="s">
        <v>225</v>
      </c>
      <c r="C233" s="7">
        <v>46097</v>
      </c>
      <c r="D233" s="6" t="s">
        <v>226</v>
      </c>
      <c r="E233" s="6" t="s">
        <v>29</v>
      </c>
      <c r="F233" s="6" t="s">
        <v>395</v>
      </c>
      <c r="G233" s="6">
        <v>16</v>
      </c>
      <c r="H233" s="11" t="s">
        <v>1030</v>
      </c>
      <c r="I233" s="11">
        <v>8074623562</v>
      </c>
      <c r="J233" s="10" t="s">
        <v>1031</v>
      </c>
      <c r="K233" s="10" t="s">
        <v>1031</v>
      </c>
      <c r="L233" s="6">
        <v>6900</v>
      </c>
      <c r="M233" s="6">
        <v>6900</v>
      </c>
      <c r="N233" s="7"/>
      <c r="O233" s="6" t="s">
        <v>400</v>
      </c>
      <c r="P233" s="6" t="s">
        <v>52</v>
      </c>
      <c r="Q233" s="6" t="s">
        <v>400</v>
      </c>
      <c r="R233" s="6"/>
      <c r="S233" s="6">
        <f t="shared" si="3"/>
        <v>6900</v>
      </c>
      <c r="T233" s="6"/>
      <c r="U233" s="6"/>
      <c r="V233" s="6"/>
      <c r="W233" s="6" t="s">
        <v>1027</v>
      </c>
      <c r="X233" s="6" t="s">
        <v>1032</v>
      </c>
      <c r="Y233" s="6" t="s">
        <v>1033</v>
      </c>
      <c r="Z233" s="6" t="s">
        <v>1034</v>
      </c>
      <c r="AA233" s="6" t="s">
        <v>57</v>
      </c>
    </row>
    <row r="234" spans="1:27">
      <c r="A234" s="6">
        <v>233</v>
      </c>
      <c r="B234" s="6" t="s">
        <v>225</v>
      </c>
      <c r="C234" s="7">
        <v>46097</v>
      </c>
      <c r="D234" s="6" t="s">
        <v>226</v>
      </c>
      <c r="E234" s="6" t="s">
        <v>29</v>
      </c>
      <c r="F234" s="6" t="s">
        <v>395</v>
      </c>
      <c r="G234" s="6">
        <v>16</v>
      </c>
      <c r="H234" s="11" t="s">
        <v>1035</v>
      </c>
      <c r="I234" s="11">
        <v>8790529647</v>
      </c>
      <c r="J234" s="10" t="s">
        <v>1036</v>
      </c>
      <c r="K234" s="10" t="s">
        <v>1036</v>
      </c>
      <c r="L234" s="6">
        <v>3131</v>
      </c>
      <c r="M234" s="6">
        <v>3140</v>
      </c>
      <c r="N234" s="7" t="s">
        <v>239</v>
      </c>
      <c r="O234" s="6" t="s">
        <v>239</v>
      </c>
      <c r="P234" s="6" t="s">
        <v>239</v>
      </c>
      <c r="Q234" s="6" t="s">
        <v>400</v>
      </c>
      <c r="R234" s="6"/>
      <c r="S234" s="6">
        <f t="shared" si="3"/>
        <v>3140</v>
      </c>
      <c r="T234" s="6"/>
      <c r="U234" s="6"/>
      <c r="V234" s="6"/>
      <c r="W234" s="6" t="s">
        <v>1027</v>
      </c>
      <c r="X234" s="6" t="s">
        <v>1032</v>
      </c>
      <c r="Y234" s="6" t="s">
        <v>1037</v>
      </c>
      <c r="Z234" s="6" t="s">
        <v>234</v>
      </c>
      <c r="AA234" s="6" t="s">
        <v>57</v>
      </c>
    </row>
    <row r="235" spans="1:27">
      <c r="A235" s="6">
        <v>234</v>
      </c>
      <c r="B235" s="6" t="s">
        <v>225</v>
      </c>
      <c r="C235" s="7">
        <v>46097</v>
      </c>
      <c r="D235" s="6" t="s">
        <v>226</v>
      </c>
      <c r="E235" s="6" t="s">
        <v>29</v>
      </c>
      <c r="F235" s="6" t="s">
        <v>395</v>
      </c>
      <c r="G235" s="6">
        <v>16</v>
      </c>
      <c r="H235" s="11" t="s">
        <v>1038</v>
      </c>
      <c r="I235" s="6">
        <v>9642593579</v>
      </c>
      <c r="J235" s="10" t="s">
        <v>1039</v>
      </c>
      <c r="K235" s="10" t="s">
        <v>1039</v>
      </c>
      <c r="L235" s="6">
        <v>14420</v>
      </c>
      <c r="M235" s="6">
        <v>7420</v>
      </c>
      <c r="N235" s="7"/>
      <c r="O235" s="6" t="s">
        <v>400</v>
      </c>
      <c r="P235" s="6" t="s">
        <v>52</v>
      </c>
      <c r="Q235" s="6" t="s">
        <v>400</v>
      </c>
      <c r="R235" s="6"/>
      <c r="S235" s="6">
        <f t="shared" si="3"/>
        <v>7420</v>
      </c>
      <c r="T235" s="6"/>
      <c r="U235" s="6"/>
      <c r="V235" s="6"/>
      <c r="W235" s="6" t="s">
        <v>1027</v>
      </c>
      <c r="X235" s="6" t="s">
        <v>1032</v>
      </c>
      <c r="Y235" s="6" t="s">
        <v>1040</v>
      </c>
      <c r="Z235" s="6" t="s">
        <v>1034</v>
      </c>
      <c r="AA235" s="6" t="s">
        <v>57</v>
      </c>
    </row>
    <row r="236" spans="1:27">
      <c r="A236" s="6">
        <v>235</v>
      </c>
      <c r="B236" s="6" t="s">
        <v>225</v>
      </c>
      <c r="C236" s="7">
        <v>46097</v>
      </c>
      <c r="D236" s="6" t="s">
        <v>226</v>
      </c>
      <c r="E236" s="6" t="s">
        <v>29</v>
      </c>
      <c r="F236" s="6" t="s">
        <v>395</v>
      </c>
      <c r="G236" s="6">
        <v>16</v>
      </c>
      <c r="H236" s="11" t="s">
        <v>1041</v>
      </c>
      <c r="I236" s="6">
        <v>7997474100</v>
      </c>
      <c r="J236" s="10" t="s">
        <v>1042</v>
      </c>
      <c r="K236" s="10" t="s">
        <v>1042</v>
      </c>
      <c r="L236" s="6">
        <v>900</v>
      </c>
      <c r="M236" s="6">
        <v>900</v>
      </c>
      <c r="N236" s="7"/>
      <c r="O236" s="6" t="s">
        <v>400</v>
      </c>
      <c r="P236" s="6" t="s">
        <v>52</v>
      </c>
      <c r="Q236" s="6" t="s">
        <v>400</v>
      </c>
      <c r="R236" s="6"/>
      <c r="S236" s="6">
        <f t="shared" si="3"/>
        <v>900</v>
      </c>
      <c r="T236" s="6"/>
      <c r="U236" s="6"/>
      <c r="V236" s="6"/>
      <c r="W236" s="6" t="s">
        <v>1027</v>
      </c>
      <c r="X236" s="6" t="s">
        <v>1028</v>
      </c>
      <c r="Y236" s="6" t="s">
        <v>1043</v>
      </c>
      <c r="Z236" s="6" t="s">
        <v>57</v>
      </c>
      <c r="AA236" s="6" t="s">
        <v>57</v>
      </c>
    </row>
    <row r="237" spans="1:27">
      <c r="A237" s="6">
        <v>236</v>
      </c>
      <c r="B237" s="6" t="s">
        <v>225</v>
      </c>
      <c r="C237" s="7">
        <v>46097</v>
      </c>
      <c r="D237" s="6" t="s">
        <v>226</v>
      </c>
      <c r="E237" s="6" t="s">
        <v>29</v>
      </c>
      <c r="F237" s="6" t="s">
        <v>395</v>
      </c>
      <c r="G237" s="6">
        <v>16</v>
      </c>
      <c r="H237" s="6" t="s">
        <v>1044</v>
      </c>
      <c r="I237" s="6">
        <v>7799449984</v>
      </c>
      <c r="J237" s="10" t="s">
        <v>1045</v>
      </c>
      <c r="K237" s="10" t="s">
        <v>1045</v>
      </c>
      <c r="L237" s="6">
        <v>2890</v>
      </c>
      <c r="M237" s="6">
        <v>2890</v>
      </c>
      <c r="N237" s="7" t="s">
        <v>239</v>
      </c>
      <c r="O237" s="6" t="s">
        <v>239</v>
      </c>
      <c r="P237" s="6" t="s">
        <v>239</v>
      </c>
      <c r="Q237" s="6" t="s">
        <v>400</v>
      </c>
      <c r="R237" s="6"/>
      <c r="S237" s="6">
        <f t="shared" si="3"/>
        <v>2890</v>
      </c>
      <c r="T237" s="6"/>
      <c r="U237" s="6"/>
      <c r="V237" s="6"/>
      <c r="W237" s="6" t="s">
        <v>1027</v>
      </c>
      <c r="X237" s="6" t="s">
        <v>1028</v>
      </c>
      <c r="Y237" s="8" t="s">
        <v>1046</v>
      </c>
      <c r="Z237" s="6" t="s">
        <v>57</v>
      </c>
      <c r="AA237" s="6" t="s">
        <v>57</v>
      </c>
    </row>
    <row r="238" spans="1:27">
      <c r="A238" s="6">
        <v>237</v>
      </c>
      <c r="B238" s="6" t="s">
        <v>225</v>
      </c>
      <c r="C238" s="7">
        <v>46097</v>
      </c>
      <c r="D238" s="6" t="s">
        <v>226</v>
      </c>
      <c r="E238" s="6" t="s">
        <v>29</v>
      </c>
      <c r="F238" s="6" t="s">
        <v>395</v>
      </c>
      <c r="G238" s="6">
        <v>16</v>
      </c>
      <c r="H238" s="6" t="s">
        <v>1047</v>
      </c>
      <c r="I238" s="6">
        <v>8106631892</v>
      </c>
      <c r="J238" s="10" t="s">
        <v>1048</v>
      </c>
      <c r="K238" s="10" t="s">
        <v>1048</v>
      </c>
      <c r="L238" s="6">
        <v>5000</v>
      </c>
      <c r="M238" s="6">
        <v>5000</v>
      </c>
      <c r="N238" s="7" t="s">
        <v>239</v>
      </c>
      <c r="O238" s="6" t="s">
        <v>239</v>
      </c>
      <c r="P238" s="6" t="s">
        <v>239</v>
      </c>
      <c r="Q238" s="6" t="s">
        <v>400</v>
      </c>
      <c r="R238" s="6"/>
      <c r="S238" s="6">
        <f t="shared" si="3"/>
        <v>5000</v>
      </c>
      <c r="T238" s="6"/>
      <c r="U238" s="6"/>
      <c r="V238" s="6"/>
      <c r="W238" s="6" t="s">
        <v>1027</v>
      </c>
      <c r="X238" s="6" t="s">
        <v>399</v>
      </c>
      <c r="Y238" s="8" t="s">
        <v>1049</v>
      </c>
      <c r="Z238" s="6" t="s">
        <v>1050</v>
      </c>
      <c r="AA238" s="6" t="s">
        <v>57</v>
      </c>
    </row>
    <row r="239" spans="1:27">
      <c r="A239" s="6">
        <v>238</v>
      </c>
      <c r="B239" s="6" t="s">
        <v>225</v>
      </c>
      <c r="C239" s="7">
        <v>46097</v>
      </c>
      <c r="D239" s="6" t="s">
        <v>226</v>
      </c>
      <c r="E239" s="6" t="s">
        <v>29</v>
      </c>
      <c r="F239" s="6" t="s">
        <v>310</v>
      </c>
      <c r="G239" s="6">
        <v>16</v>
      </c>
      <c r="H239" s="6" t="s">
        <v>1051</v>
      </c>
      <c r="I239" s="6">
        <v>9705583126</v>
      </c>
      <c r="J239" s="10" t="s">
        <v>1052</v>
      </c>
      <c r="K239" s="10" t="s">
        <v>1052</v>
      </c>
      <c r="L239" s="6">
        <v>7530</v>
      </c>
      <c r="M239" s="6">
        <v>7530</v>
      </c>
      <c r="N239" s="7" t="s">
        <v>239</v>
      </c>
      <c r="O239" s="6" t="s">
        <v>239</v>
      </c>
      <c r="P239" s="6" t="s">
        <v>239</v>
      </c>
      <c r="Q239" s="6" t="s">
        <v>314</v>
      </c>
      <c r="R239" s="6"/>
      <c r="S239" s="6">
        <f t="shared" si="3"/>
        <v>7530</v>
      </c>
      <c r="T239" s="6"/>
      <c r="U239" s="6"/>
      <c r="V239" s="6"/>
      <c r="W239" s="12" t="s">
        <v>643</v>
      </c>
      <c r="X239" s="12" t="s">
        <v>644</v>
      </c>
      <c r="Y239" s="12" t="s">
        <v>1053</v>
      </c>
      <c r="Z239" s="12" t="s">
        <v>84</v>
      </c>
      <c r="AA239" s="6" t="s">
        <v>40</v>
      </c>
    </row>
    <row r="240" spans="1:27">
      <c r="A240" s="6">
        <v>239</v>
      </c>
      <c r="B240" s="6" t="s">
        <v>225</v>
      </c>
      <c r="C240" s="7">
        <v>46097</v>
      </c>
      <c r="D240" s="6" t="s">
        <v>226</v>
      </c>
      <c r="E240" s="6" t="s">
        <v>29</v>
      </c>
      <c r="F240" s="6" t="s">
        <v>310</v>
      </c>
      <c r="G240" s="6">
        <v>16</v>
      </c>
      <c r="H240" s="6" t="s">
        <v>1054</v>
      </c>
      <c r="I240" s="6">
        <v>9801210214</v>
      </c>
      <c r="J240" s="10" t="s">
        <v>1055</v>
      </c>
      <c r="K240" s="10" t="s">
        <v>1055</v>
      </c>
      <c r="L240" s="6">
        <v>7010</v>
      </c>
      <c r="M240" s="6">
        <v>7010</v>
      </c>
      <c r="N240" s="7" t="s">
        <v>239</v>
      </c>
      <c r="O240" s="6" t="s">
        <v>239</v>
      </c>
      <c r="P240" s="6" t="s">
        <v>239</v>
      </c>
      <c r="Q240" s="6" t="s">
        <v>314</v>
      </c>
      <c r="R240" s="6"/>
      <c r="S240" s="6">
        <f t="shared" si="3"/>
        <v>7010</v>
      </c>
      <c r="T240" s="6"/>
      <c r="U240" s="6"/>
      <c r="V240" s="6"/>
      <c r="W240" s="12" t="s">
        <v>315</v>
      </c>
      <c r="X240" s="12" t="s">
        <v>300</v>
      </c>
      <c r="Y240" s="12" t="s">
        <v>1056</v>
      </c>
      <c r="Z240" s="12" t="s">
        <v>302</v>
      </c>
      <c r="AA240" s="6" t="s">
        <v>40</v>
      </c>
    </row>
    <row r="241" spans="1:27">
      <c r="A241" s="6">
        <v>240</v>
      </c>
      <c r="B241" s="6" t="s">
        <v>225</v>
      </c>
      <c r="C241" s="7">
        <v>46097</v>
      </c>
      <c r="D241" s="6" t="s">
        <v>226</v>
      </c>
      <c r="E241" s="6" t="s">
        <v>29</v>
      </c>
      <c r="F241" s="6" t="s">
        <v>1057</v>
      </c>
      <c r="G241" s="6">
        <v>16</v>
      </c>
      <c r="H241" s="6" t="s">
        <v>1058</v>
      </c>
      <c r="I241" s="6">
        <v>9705852345</v>
      </c>
      <c r="J241" s="10" t="s">
        <v>1059</v>
      </c>
      <c r="K241" s="10" t="s">
        <v>1059</v>
      </c>
      <c r="L241" s="6">
        <v>13818</v>
      </c>
      <c r="M241" s="6">
        <v>2820</v>
      </c>
      <c r="N241" s="7">
        <v>46101</v>
      </c>
      <c r="O241" s="6" t="s">
        <v>1060</v>
      </c>
      <c r="P241" s="6" t="s">
        <v>52</v>
      </c>
      <c r="Q241" s="12" t="s">
        <v>1061</v>
      </c>
      <c r="R241" s="6">
        <f>1000+1000</f>
        <v>2000</v>
      </c>
      <c r="S241" s="6">
        <f t="shared" si="3"/>
        <v>820</v>
      </c>
      <c r="T241" s="7">
        <v>46101</v>
      </c>
      <c r="U241" s="6" t="s">
        <v>1062</v>
      </c>
      <c r="V241" s="6"/>
      <c r="W241" s="12" t="s">
        <v>1061</v>
      </c>
      <c r="X241" s="12" t="s">
        <v>1063</v>
      </c>
      <c r="Y241" s="12" t="s">
        <v>1064</v>
      </c>
      <c r="Z241" s="6" t="s">
        <v>119</v>
      </c>
      <c r="AA241" s="6" t="s">
        <v>235</v>
      </c>
    </row>
    <row r="242" spans="1:27">
      <c r="A242" s="6">
        <v>241</v>
      </c>
      <c r="B242" s="6" t="s">
        <v>225</v>
      </c>
      <c r="C242" s="7">
        <v>46099</v>
      </c>
      <c r="D242" s="6" t="s">
        <v>226</v>
      </c>
      <c r="E242" s="6" t="s">
        <v>29</v>
      </c>
      <c r="F242" s="6" t="s">
        <v>240</v>
      </c>
      <c r="G242" s="6">
        <v>18</v>
      </c>
      <c r="H242" s="11" t="s">
        <v>1065</v>
      </c>
      <c r="I242" s="6">
        <v>9553336737</v>
      </c>
      <c r="J242" s="10" t="s">
        <v>1066</v>
      </c>
      <c r="K242" s="10" t="s">
        <v>1066</v>
      </c>
      <c r="L242" s="6">
        <v>12760</v>
      </c>
      <c r="M242" s="6">
        <v>12760</v>
      </c>
      <c r="N242" s="7" t="s">
        <v>239</v>
      </c>
      <c r="O242" s="6" t="s">
        <v>239</v>
      </c>
      <c r="P242" s="6" t="s">
        <v>239</v>
      </c>
      <c r="Q242" s="6" t="s">
        <v>236</v>
      </c>
      <c r="R242" s="6"/>
      <c r="S242" s="6">
        <f t="shared" si="3"/>
        <v>12760</v>
      </c>
      <c r="T242" s="6"/>
      <c r="U242" s="6"/>
      <c r="V242" s="6"/>
      <c r="W242" s="6" t="s">
        <v>236</v>
      </c>
      <c r="X242" s="6" t="s">
        <v>236</v>
      </c>
      <c r="Y242" s="6" t="s">
        <v>236</v>
      </c>
      <c r="Z242" s="6" t="s">
        <v>236</v>
      </c>
      <c r="AA242" s="6" t="s">
        <v>236</v>
      </c>
    </row>
    <row r="243" spans="1:27">
      <c r="A243" s="6">
        <v>242</v>
      </c>
      <c r="B243" s="6" t="s">
        <v>225</v>
      </c>
      <c r="C243" s="7">
        <v>46099</v>
      </c>
      <c r="D243" s="6" t="s">
        <v>226</v>
      </c>
      <c r="E243" s="6" t="s">
        <v>29</v>
      </c>
      <c r="F243" s="6" t="s">
        <v>240</v>
      </c>
      <c r="G243" s="6">
        <v>18</v>
      </c>
      <c r="H243" s="6" t="s">
        <v>1067</v>
      </c>
      <c r="I243" s="6">
        <v>9985293171</v>
      </c>
      <c r="J243" s="10" t="s">
        <v>1068</v>
      </c>
      <c r="K243" s="10" t="s">
        <v>1068</v>
      </c>
      <c r="L243" s="6">
        <v>8640</v>
      </c>
      <c r="M243" s="6">
        <v>8640</v>
      </c>
      <c r="N243" s="7" t="s">
        <v>239</v>
      </c>
      <c r="O243" s="6" t="s">
        <v>239</v>
      </c>
      <c r="P243" s="6" t="s">
        <v>239</v>
      </c>
      <c r="Q243" s="6" t="s">
        <v>236</v>
      </c>
      <c r="R243" s="6"/>
      <c r="S243" s="6">
        <f t="shared" si="3"/>
        <v>8640</v>
      </c>
      <c r="T243" s="6"/>
      <c r="U243" s="6"/>
      <c r="V243" s="6"/>
      <c r="W243" s="6" t="s">
        <v>236</v>
      </c>
      <c r="X243" s="6" t="s">
        <v>236</v>
      </c>
      <c r="Y243" s="6" t="s">
        <v>236</v>
      </c>
      <c r="Z243" s="6" t="s">
        <v>236</v>
      </c>
      <c r="AA243" s="6" t="s">
        <v>236</v>
      </c>
    </row>
    <row r="244" spans="1:27">
      <c r="A244" s="6">
        <v>243</v>
      </c>
      <c r="B244" s="6" t="s">
        <v>225</v>
      </c>
      <c r="C244" s="7">
        <v>46099</v>
      </c>
      <c r="D244" s="6" t="s">
        <v>226</v>
      </c>
      <c r="E244" s="6" t="s">
        <v>29</v>
      </c>
      <c r="F244" s="6" t="s">
        <v>240</v>
      </c>
      <c r="G244" s="6">
        <v>18</v>
      </c>
      <c r="H244" s="6" t="s">
        <v>1069</v>
      </c>
      <c r="I244" s="6">
        <v>9941691016</v>
      </c>
      <c r="J244" s="10" t="s">
        <v>1070</v>
      </c>
      <c r="K244" s="10" t="s">
        <v>1070</v>
      </c>
      <c r="L244" s="6">
        <v>5920</v>
      </c>
      <c r="M244" s="6">
        <v>5920</v>
      </c>
      <c r="N244" s="7" t="s">
        <v>239</v>
      </c>
      <c r="O244" s="6" t="s">
        <v>239</v>
      </c>
      <c r="P244" s="6" t="s">
        <v>239</v>
      </c>
      <c r="Q244" s="6" t="s">
        <v>236</v>
      </c>
      <c r="R244" s="6"/>
      <c r="S244" s="6">
        <f t="shared" si="3"/>
        <v>5920</v>
      </c>
      <c r="T244" s="6"/>
      <c r="U244" s="6"/>
      <c r="V244" s="6"/>
      <c r="W244" s="6" t="s">
        <v>236</v>
      </c>
      <c r="X244" s="6" t="s">
        <v>236</v>
      </c>
      <c r="Y244" s="6" t="s">
        <v>236</v>
      </c>
      <c r="Z244" s="6" t="s">
        <v>236</v>
      </c>
      <c r="AA244" s="6" t="s">
        <v>236</v>
      </c>
    </row>
    <row r="245" spans="1:27">
      <c r="A245" s="6">
        <v>244</v>
      </c>
      <c r="B245" s="6" t="s">
        <v>225</v>
      </c>
      <c r="C245" s="7">
        <v>46099</v>
      </c>
      <c r="D245" s="6" t="s">
        <v>226</v>
      </c>
      <c r="E245" s="6" t="s">
        <v>29</v>
      </c>
      <c r="F245" s="6" t="s">
        <v>240</v>
      </c>
      <c r="G245" s="6">
        <v>18</v>
      </c>
      <c r="H245" s="11" t="s">
        <v>1071</v>
      </c>
      <c r="I245" s="11">
        <v>9533511234</v>
      </c>
      <c r="J245" s="10" t="s">
        <v>1072</v>
      </c>
      <c r="K245" s="10" t="s">
        <v>1072</v>
      </c>
      <c r="L245" s="6">
        <v>6150</v>
      </c>
      <c r="M245" s="6">
        <v>6150</v>
      </c>
      <c r="N245" s="7" t="s">
        <v>239</v>
      </c>
      <c r="O245" s="6" t="s">
        <v>239</v>
      </c>
      <c r="P245" s="6" t="s">
        <v>239</v>
      </c>
      <c r="Q245" s="6" t="s">
        <v>236</v>
      </c>
      <c r="R245" s="6"/>
      <c r="S245" s="6">
        <f t="shared" si="3"/>
        <v>6150</v>
      </c>
      <c r="T245" s="6"/>
      <c r="U245" s="6"/>
      <c r="V245" s="6"/>
      <c r="W245" s="6" t="s">
        <v>236</v>
      </c>
      <c r="X245" s="6" t="s">
        <v>236</v>
      </c>
      <c r="Y245" s="6" t="s">
        <v>236</v>
      </c>
      <c r="Z245" s="6" t="s">
        <v>236</v>
      </c>
      <c r="AA245" s="6" t="s">
        <v>236</v>
      </c>
    </row>
    <row r="246" spans="1:27">
      <c r="A246" s="6">
        <v>245</v>
      </c>
      <c r="B246" s="6" t="s">
        <v>225</v>
      </c>
      <c r="C246" s="7">
        <v>46099</v>
      </c>
      <c r="D246" s="6" t="s">
        <v>226</v>
      </c>
      <c r="E246" s="6" t="s">
        <v>29</v>
      </c>
      <c r="F246" s="6" t="s">
        <v>240</v>
      </c>
      <c r="G246" s="6">
        <v>18</v>
      </c>
      <c r="H246" s="11" t="s">
        <v>1073</v>
      </c>
      <c r="I246" s="11">
        <v>9447477724</v>
      </c>
      <c r="J246" s="10" t="s">
        <v>1074</v>
      </c>
      <c r="K246" s="10" t="s">
        <v>1074</v>
      </c>
      <c r="L246" s="6">
        <v>1040</v>
      </c>
      <c r="M246" s="6">
        <v>1040</v>
      </c>
      <c r="N246" s="7" t="s">
        <v>239</v>
      </c>
      <c r="O246" s="6" t="s">
        <v>239</v>
      </c>
      <c r="P246" s="6" t="s">
        <v>239</v>
      </c>
      <c r="Q246" s="6" t="s">
        <v>236</v>
      </c>
      <c r="R246" s="6"/>
      <c r="S246" s="6">
        <f t="shared" si="3"/>
        <v>1040</v>
      </c>
      <c r="T246" s="6"/>
      <c r="U246" s="6"/>
      <c r="V246" s="6"/>
      <c r="W246" s="6" t="s">
        <v>236</v>
      </c>
      <c r="X246" s="6" t="s">
        <v>236</v>
      </c>
      <c r="Y246" s="6" t="s">
        <v>236</v>
      </c>
      <c r="Z246" s="6" t="s">
        <v>236</v>
      </c>
      <c r="AA246" s="6" t="s">
        <v>236</v>
      </c>
    </row>
    <row r="247" spans="1:27">
      <c r="A247" s="6">
        <v>246</v>
      </c>
      <c r="B247" s="6" t="s">
        <v>225</v>
      </c>
      <c r="C247" s="7">
        <v>46099</v>
      </c>
      <c r="D247" s="6" t="s">
        <v>226</v>
      </c>
      <c r="E247" s="6" t="s">
        <v>29</v>
      </c>
      <c r="F247" s="6" t="s">
        <v>240</v>
      </c>
      <c r="G247" s="6">
        <v>18</v>
      </c>
      <c r="H247" s="11" t="s">
        <v>1075</v>
      </c>
      <c r="I247" s="11">
        <v>7287827280</v>
      </c>
      <c r="J247" s="10" t="s">
        <v>1076</v>
      </c>
      <c r="K247" s="10" t="s">
        <v>1076</v>
      </c>
      <c r="L247" s="6">
        <v>610</v>
      </c>
      <c r="M247" s="6">
        <v>610</v>
      </c>
      <c r="N247" s="7" t="s">
        <v>239</v>
      </c>
      <c r="O247" s="6" t="s">
        <v>239</v>
      </c>
      <c r="P247" s="6" t="s">
        <v>239</v>
      </c>
      <c r="Q247" s="6" t="s">
        <v>236</v>
      </c>
      <c r="R247" s="6"/>
      <c r="S247" s="6">
        <f t="shared" si="3"/>
        <v>610</v>
      </c>
      <c r="T247" s="6"/>
      <c r="U247" s="6"/>
      <c r="V247" s="6"/>
      <c r="W247" s="6" t="s">
        <v>236</v>
      </c>
      <c r="X247" s="6" t="s">
        <v>236</v>
      </c>
      <c r="Y247" s="6" t="s">
        <v>236</v>
      </c>
      <c r="Z247" s="6" t="s">
        <v>236</v>
      </c>
      <c r="AA247" s="6" t="s">
        <v>236</v>
      </c>
    </row>
    <row r="248" spans="1:27">
      <c r="A248" s="6">
        <v>247</v>
      </c>
      <c r="B248" s="6" t="s">
        <v>225</v>
      </c>
      <c r="C248" s="7">
        <v>46099</v>
      </c>
      <c r="D248" s="6" t="s">
        <v>226</v>
      </c>
      <c r="E248" s="6" t="s">
        <v>29</v>
      </c>
      <c r="F248" s="6" t="s">
        <v>240</v>
      </c>
      <c r="G248" s="6">
        <v>18</v>
      </c>
      <c r="H248" s="6" t="s">
        <v>1077</v>
      </c>
      <c r="I248" s="6">
        <v>9629999058</v>
      </c>
      <c r="J248" s="10" t="s">
        <v>1078</v>
      </c>
      <c r="K248" s="10" t="s">
        <v>1078</v>
      </c>
      <c r="L248" s="6">
        <v>1780</v>
      </c>
      <c r="M248" s="6">
        <v>1780</v>
      </c>
      <c r="N248" s="7" t="s">
        <v>239</v>
      </c>
      <c r="O248" s="6" t="s">
        <v>239</v>
      </c>
      <c r="P248" s="6" t="s">
        <v>239</v>
      </c>
      <c r="Q248" s="6" t="s">
        <v>236</v>
      </c>
      <c r="R248" s="6"/>
      <c r="S248" s="6">
        <f t="shared" si="3"/>
        <v>1780</v>
      </c>
      <c r="T248" s="6"/>
      <c r="U248" s="6"/>
      <c r="V248" s="6"/>
      <c r="W248" s="6" t="s">
        <v>236</v>
      </c>
      <c r="X248" s="6" t="s">
        <v>236</v>
      </c>
      <c r="Y248" s="6" t="s">
        <v>236</v>
      </c>
      <c r="Z248" s="6" t="s">
        <v>236</v>
      </c>
      <c r="AA248" s="6" t="s">
        <v>236</v>
      </c>
    </row>
    <row r="249" spans="1:27">
      <c r="A249" s="6">
        <v>248</v>
      </c>
      <c r="B249" s="6" t="s">
        <v>298</v>
      </c>
      <c r="C249" s="7">
        <v>46099</v>
      </c>
      <c r="D249" s="6" t="s">
        <v>226</v>
      </c>
      <c r="E249" s="6" t="s">
        <v>29</v>
      </c>
      <c r="F249" s="6" t="s">
        <v>294</v>
      </c>
      <c r="G249" s="6">
        <v>18</v>
      </c>
      <c r="H249" s="19" t="s">
        <v>1079</v>
      </c>
      <c r="I249" s="6" t="s">
        <v>1080</v>
      </c>
      <c r="J249" s="10" t="s">
        <v>1081</v>
      </c>
      <c r="K249" s="19" t="s">
        <v>1081</v>
      </c>
      <c r="L249" s="12">
        <v>10180</v>
      </c>
      <c r="M249" s="12">
        <v>5185</v>
      </c>
      <c r="N249" s="7" t="s">
        <v>239</v>
      </c>
      <c r="O249" s="6" t="s">
        <v>239</v>
      </c>
      <c r="P249" s="6" t="s">
        <v>239</v>
      </c>
      <c r="Q249" s="6" t="s">
        <v>298</v>
      </c>
      <c r="R249" s="6"/>
      <c r="S249" s="6">
        <f t="shared" si="3"/>
        <v>5185</v>
      </c>
      <c r="T249" s="6"/>
      <c r="U249" s="6"/>
      <c r="V249" s="6"/>
      <c r="W249" s="19" t="s">
        <v>298</v>
      </c>
      <c r="X249" s="19" t="s">
        <v>1082</v>
      </c>
      <c r="Y249" s="19" t="s">
        <v>1083</v>
      </c>
      <c r="Z249" s="19" t="s">
        <v>1084</v>
      </c>
      <c r="AA249" s="6" t="s">
        <v>235</v>
      </c>
    </row>
    <row r="250" spans="1:27">
      <c r="A250" s="6">
        <v>249</v>
      </c>
      <c r="B250" s="6" t="s">
        <v>225</v>
      </c>
      <c r="C250" s="7">
        <v>46099</v>
      </c>
      <c r="D250" s="6" t="s">
        <v>226</v>
      </c>
      <c r="E250" s="6" t="s">
        <v>29</v>
      </c>
      <c r="F250" s="6" t="s">
        <v>294</v>
      </c>
      <c r="G250" s="6">
        <v>18</v>
      </c>
      <c r="H250" s="19" t="s">
        <v>1085</v>
      </c>
      <c r="I250" s="6" t="s">
        <v>1086</v>
      </c>
      <c r="J250" s="10" t="s">
        <v>1087</v>
      </c>
      <c r="K250" s="19" t="s">
        <v>1087</v>
      </c>
      <c r="L250" s="20">
        <v>47410</v>
      </c>
      <c r="M250" s="12">
        <v>17350</v>
      </c>
      <c r="N250" s="7">
        <v>46114</v>
      </c>
      <c r="O250" s="6" t="s">
        <v>298</v>
      </c>
      <c r="P250" s="6" t="s">
        <v>52</v>
      </c>
      <c r="Q250" s="6" t="s">
        <v>298</v>
      </c>
      <c r="R250" s="6">
        <v>17350</v>
      </c>
      <c r="S250" s="6">
        <f t="shared" si="3"/>
        <v>0</v>
      </c>
      <c r="T250" s="7">
        <v>46114</v>
      </c>
      <c r="U250" s="6" t="s">
        <v>1088</v>
      </c>
      <c r="V250" s="6" t="s">
        <v>54</v>
      </c>
      <c r="W250" s="19" t="s">
        <v>1089</v>
      </c>
      <c r="X250" s="19" t="s">
        <v>329</v>
      </c>
      <c r="Y250" s="19" t="s">
        <v>1090</v>
      </c>
      <c r="Z250" s="19" t="s">
        <v>57</v>
      </c>
      <c r="AA250" s="6" t="s">
        <v>235</v>
      </c>
    </row>
    <row r="251" spans="1:27">
      <c r="A251" s="6">
        <v>250</v>
      </c>
      <c r="B251" s="6" t="s">
        <v>225</v>
      </c>
      <c r="C251" s="7">
        <v>46101</v>
      </c>
      <c r="D251" s="6" t="s">
        <v>933</v>
      </c>
      <c r="E251" s="6" t="s">
        <v>29</v>
      </c>
      <c r="F251" s="6" t="s">
        <v>336</v>
      </c>
      <c r="G251" s="6">
        <v>20</v>
      </c>
      <c r="H251" s="6" t="s">
        <v>1091</v>
      </c>
      <c r="I251" s="6">
        <v>9705034188</v>
      </c>
      <c r="J251" s="10" t="s">
        <v>1092</v>
      </c>
      <c r="K251" s="10" t="s">
        <v>1092</v>
      </c>
      <c r="L251" s="6">
        <v>2397</v>
      </c>
      <c r="M251" s="6">
        <v>2398</v>
      </c>
      <c r="N251" s="7">
        <v>46112</v>
      </c>
      <c r="O251" s="6" t="s">
        <v>1093</v>
      </c>
      <c r="P251" s="6" t="s">
        <v>52</v>
      </c>
      <c r="Q251" s="6" t="s">
        <v>939</v>
      </c>
      <c r="R251" s="6">
        <v>2400</v>
      </c>
      <c r="S251" s="6">
        <f t="shared" si="3"/>
        <v>-2</v>
      </c>
      <c r="T251" s="7">
        <v>46112</v>
      </c>
      <c r="U251" s="6" t="s">
        <v>1094</v>
      </c>
      <c r="V251" s="6" t="s">
        <v>54</v>
      </c>
      <c r="W251" s="6" t="s">
        <v>1095</v>
      </c>
      <c r="X251" s="6" t="s">
        <v>1093</v>
      </c>
      <c r="Y251" s="6" t="s">
        <v>1096</v>
      </c>
      <c r="Z251" s="6" t="s">
        <v>352</v>
      </c>
      <c r="AA251" s="6" t="s">
        <v>235</v>
      </c>
    </row>
    <row r="252" spans="1:27">
      <c r="A252" s="6">
        <v>251</v>
      </c>
      <c r="B252" s="6" t="s">
        <v>225</v>
      </c>
      <c r="C252" s="7">
        <v>46101</v>
      </c>
      <c r="D252" s="6" t="s">
        <v>226</v>
      </c>
      <c r="E252" s="6" t="s">
        <v>29</v>
      </c>
      <c r="F252" s="6" t="s">
        <v>746</v>
      </c>
      <c r="G252" s="6">
        <v>20</v>
      </c>
      <c r="H252" s="11" t="s">
        <v>1097</v>
      </c>
      <c r="I252" s="11">
        <v>9491346988</v>
      </c>
      <c r="J252" s="10" t="s">
        <v>1098</v>
      </c>
      <c r="K252" s="10" t="s">
        <v>1098</v>
      </c>
      <c r="L252" s="11">
        <v>9660</v>
      </c>
      <c r="M252" s="11">
        <v>9660</v>
      </c>
      <c r="N252" s="7" t="s">
        <v>239</v>
      </c>
      <c r="O252" s="6" t="s">
        <v>239</v>
      </c>
      <c r="P252" s="6" t="s">
        <v>239</v>
      </c>
      <c r="Q252" s="6" t="s">
        <v>236</v>
      </c>
      <c r="R252" s="6"/>
      <c r="S252" s="6">
        <f t="shared" si="3"/>
        <v>9660</v>
      </c>
      <c r="T252" s="6"/>
      <c r="U252" s="6"/>
      <c r="V252" s="6"/>
      <c r="W252" s="6" t="s">
        <v>236</v>
      </c>
      <c r="X252" s="6" t="s">
        <v>236</v>
      </c>
      <c r="Y252" s="6" t="s">
        <v>236</v>
      </c>
      <c r="Z252" s="6" t="s">
        <v>236</v>
      </c>
      <c r="AA252" s="6" t="s">
        <v>236</v>
      </c>
    </row>
    <row r="253" spans="1:27">
      <c r="A253" s="6">
        <v>252</v>
      </c>
      <c r="B253" s="6" t="s">
        <v>225</v>
      </c>
      <c r="C253" s="7">
        <v>46101</v>
      </c>
      <c r="D253" s="6" t="s">
        <v>226</v>
      </c>
      <c r="E253" s="6" t="s">
        <v>29</v>
      </c>
      <c r="F253" s="6" t="s">
        <v>746</v>
      </c>
      <c r="G253" s="6">
        <v>20</v>
      </c>
      <c r="H253" s="11" t="s">
        <v>1099</v>
      </c>
      <c r="I253" s="11">
        <v>9666663407</v>
      </c>
      <c r="J253" s="10" t="s">
        <v>1100</v>
      </c>
      <c r="K253" s="10" t="s">
        <v>1100</v>
      </c>
      <c r="L253" s="11">
        <v>11590</v>
      </c>
      <c r="M253" s="11">
        <v>11590</v>
      </c>
      <c r="N253" s="7" t="s">
        <v>239</v>
      </c>
      <c r="O253" s="6" t="s">
        <v>239</v>
      </c>
      <c r="P253" s="6" t="s">
        <v>239</v>
      </c>
      <c r="Q253" s="6" t="s">
        <v>236</v>
      </c>
      <c r="R253" s="6"/>
      <c r="S253" s="6">
        <f t="shared" si="3"/>
        <v>11590</v>
      </c>
      <c r="T253" s="6"/>
      <c r="U253" s="6"/>
      <c r="V253" s="6"/>
      <c r="W253" s="6" t="s">
        <v>236</v>
      </c>
      <c r="X253" s="6" t="s">
        <v>236</v>
      </c>
      <c r="Y253" s="6" t="s">
        <v>236</v>
      </c>
      <c r="Z253" s="6" t="s">
        <v>236</v>
      </c>
      <c r="AA253" s="6" t="s">
        <v>236</v>
      </c>
    </row>
    <row r="254" spans="1:27">
      <c r="A254" s="6">
        <v>253</v>
      </c>
      <c r="B254" s="6" t="s">
        <v>225</v>
      </c>
      <c r="C254" s="7">
        <v>46101</v>
      </c>
      <c r="D254" s="6" t="s">
        <v>226</v>
      </c>
      <c r="E254" s="6" t="s">
        <v>29</v>
      </c>
      <c r="F254" s="6" t="s">
        <v>746</v>
      </c>
      <c r="G254" s="6">
        <v>20</v>
      </c>
      <c r="H254" s="11" t="s">
        <v>1101</v>
      </c>
      <c r="I254" s="11">
        <v>9160827111</v>
      </c>
      <c r="J254" s="10" t="s">
        <v>1102</v>
      </c>
      <c r="K254" s="10" t="s">
        <v>1102</v>
      </c>
      <c r="L254" s="11">
        <v>6160</v>
      </c>
      <c r="M254" s="11">
        <v>6160</v>
      </c>
      <c r="N254" s="7" t="s">
        <v>239</v>
      </c>
      <c r="O254" s="6" t="s">
        <v>239</v>
      </c>
      <c r="P254" s="6" t="s">
        <v>239</v>
      </c>
      <c r="Q254" s="6" t="s">
        <v>236</v>
      </c>
      <c r="R254" s="6"/>
      <c r="S254" s="6">
        <f t="shared" si="3"/>
        <v>6160</v>
      </c>
      <c r="T254" s="6"/>
      <c r="U254" s="6"/>
      <c r="V254" s="6"/>
      <c r="W254" s="6" t="s">
        <v>236</v>
      </c>
      <c r="X254" s="6" t="s">
        <v>236</v>
      </c>
      <c r="Y254" s="6" t="s">
        <v>236</v>
      </c>
      <c r="Z254" s="6" t="s">
        <v>236</v>
      </c>
      <c r="AA254" s="6" t="s">
        <v>236</v>
      </c>
    </row>
    <row r="255" spans="1:27">
      <c r="A255" s="6">
        <v>254</v>
      </c>
      <c r="B255" s="6" t="s">
        <v>225</v>
      </c>
      <c r="C255" s="7">
        <v>46101</v>
      </c>
      <c r="D255" s="6" t="s">
        <v>226</v>
      </c>
      <c r="E255" s="6" t="s">
        <v>29</v>
      </c>
      <c r="F255" s="6" t="s">
        <v>240</v>
      </c>
      <c r="G255" s="6">
        <v>20</v>
      </c>
      <c r="H255" s="11" t="s">
        <v>1103</v>
      </c>
      <c r="I255" s="11">
        <v>6364023079</v>
      </c>
      <c r="J255" s="10" t="s">
        <v>1104</v>
      </c>
      <c r="K255" s="10" t="s">
        <v>1104</v>
      </c>
      <c r="L255" s="6">
        <v>3120</v>
      </c>
      <c r="M255" s="6">
        <v>3120</v>
      </c>
      <c r="N255" s="7" t="s">
        <v>239</v>
      </c>
      <c r="O255" s="6" t="s">
        <v>239</v>
      </c>
      <c r="P255" s="6" t="s">
        <v>239</v>
      </c>
      <c r="Q255" s="6" t="s">
        <v>236</v>
      </c>
      <c r="R255" s="6"/>
      <c r="S255" s="6">
        <f t="shared" si="3"/>
        <v>3120</v>
      </c>
      <c r="T255" s="6"/>
      <c r="U255" s="6"/>
      <c r="V255" s="6"/>
      <c r="W255" s="6" t="s">
        <v>236</v>
      </c>
      <c r="X255" s="6" t="s">
        <v>236</v>
      </c>
      <c r="Y255" s="6" t="s">
        <v>236</v>
      </c>
      <c r="Z255" s="6" t="s">
        <v>236</v>
      </c>
      <c r="AA255" s="6" t="s">
        <v>236</v>
      </c>
    </row>
    <row r="256" spans="1:27">
      <c r="A256" s="6">
        <v>255</v>
      </c>
      <c r="B256" s="6" t="s">
        <v>225</v>
      </c>
      <c r="C256" s="7">
        <v>46101</v>
      </c>
      <c r="D256" s="6" t="s">
        <v>226</v>
      </c>
      <c r="E256" s="6" t="s">
        <v>29</v>
      </c>
      <c r="F256" s="6" t="s">
        <v>240</v>
      </c>
      <c r="G256" s="6">
        <v>20</v>
      </c>
      <c r="H256" s="11" t="s">
        <v>1105</v>
      </c>
      <c r="I256" s="11">
        <v>7022209012</v>
      </c>
      <c r="J256" s="10" t="s">
        <v>1106</v>
      </c>
      <c r="K256" s="10" t="s">
        <v>1106</v>
      </c>
      <c r="L256" s="6">
        <v>4540</v>
      </c>
      <c r="M256" s="6">
        <v>4540</v>
      </c>
      <c r="N256" s="7" t="s">
        <v>239</v>
      </c>
      <c r="O256" s="6" t="s">
        <v>239</v>
      </c>
      <c r="P256" s="6" t="s">
        <v>239</v>
      </c>
      <c r="Q256" s="6" t="s">
        <v>236</v>
      </c>
      <c r="R256" s="6"/>
      <c r="S256" s="6">
        <f t="shared" si="3"/>
        <v>4540</v>
      </c>
      <c r="T256" s="6"/>
      <c r="U256" s="6"/>
      <c r="V256" s="6"/>
      <c r="W256" s="6" t="s">
        <v>236</v>
      </c>
      <c r="X256" s="6" t="s">
        <v>236</v>
      </c>
      <c r="Y256" s="6" t="s">
        <v>236</v>
      </c>
      <c r="Z256" s="6" t="s">
        <v>236</v>
      </c>
      <c r="AA256" s="6" t="s">
        <v>236</v>
      </c>
    </row>
    <row r="257" spans="1:27">
      <c r="A257" s="6">
        <v>256</v>
      </c>
      <c r="B257" s="6" t="s">
        <v>225</v>
      </c>
      <c r="C257" s="7">
        <v>46101</v>
      </c>
      <c r="D257" s="6" t="s">
        <v>226</v>
      </c>
      <c r="E257" s="6" t="s">
        <v>29</v>
      </c>
      <c r="F257" s="6" t="s">
        <v>240</v>
      </c>
      <c r="G257" s="6">
        <v>20</v>
      </c>
      <c r="H257" s="11" t="s">
        <v>1107</v>
      </c>
      <c r="I257" s="11">
        <v>9912996277</v>
      </c>
      <c r="J257" s="10" t="s">
        <v>1108</v>
      </c>
      <c r="K257" s="10" t="s">
        <v>1108</v>
      </c>
      <c r="L257" s="6">
        <v>970</v>
      </c>
      <c r="M257" s="6">
        <v>970</v>
      </c>
      <c r="N257" s="7" t="s">
        <v>239</v>
      </c>
      <c r="O257" s="6" t="s">
        <v>239</v>
      </c>
      <c r="P257" s="6" t="s">
        <v>239</v>
      </c>
      <c r="Q257" s="6" t="s">
        <v>236</v>
      </c>
      <c r="R257" s="6"/>
      <c r="S257" s="6">
        <f t="shared" si="3"/>
        <v>970</v>
      </c>
      <c r="T257" s="6"/>
      <c r="U257" s="6"/>
      <c r="V257" s="6"/>
      <c r="W257" s="6" t="s">
        <v>236</v>
      </c>
      <c r="X257" s="6" t="s">
        <v>236</v>
      </c>
      <c r="Y257" s="6" t="s">
        <v>236</v>
      </c>
      <c r="Z257" s="6" t="s">
        <v>236</v>
      </c>
      <c r="AA257" s="6" t="s">
        <v>236</v>
      </c>
    </row>
    <row r="258" spans="1:27">
      <c r="A258" s="6">
        <v>257</v>
      </c>
      <c r="B258" s="6" t="s">
        <v>225</v>
      </c>
      <c r="C258" s="7">
        <v>46101</v>
      </c>
      <c r="D258" s="6" t="s">
        <v>226</v>
      </c>
      <c r="E258" s="6" t="s">
        <v>29</v>
      </c>
      <c r="F258" s="6" t="s">
        <v>240</v>
      </c>
      <c r="G258" s="6">
        <v>20</v>
      </c>
      <c r="H258" s="11" t="s">
        <v>1109</v>
      </c>
      <c r="I258" s="11">
        <v>9502166874</v>
      </c>
      <c r="J258" s="10" t="s">
        <v>1110</v>
      </c>
      <c r="K258" s="10" t="s">
        <v>1110</v>
      </c>
      <c r="L258" s="6">
        <v>2520</v>
      </c>
      <c r="M258" s="6">
        <v>2520</v>
      </c>
      <c r="N258" s="7" t="s">
        <v>239</v>
      </c>
      <c r="O258" s="6" t="s">
        <v>239</v>
      </c>
      <c r="P258" s="6" t="s">
        <v>239</v>
      </c>
      <c r="Q258" s="6" t="s">
        <v>236</v>
      </c>
      <c r="R258" s="6"/>
      <c r="S258" s="6">
        <f t="shared" si="3"/>
        <v>2520</v>
      </c>
      <c r="T258" s="6"/>
      <c r="U258" s="6"/>
      <c r="V258" s="6"/>
      <c r="W258" s="6" t="s">
        <v>236</v>
      </c>
      <c r="X258" s="6" t="s">
        <v>236</v>
      </c>
      <c r="Y258" s="6" t="s">
        <v>236</v>
      </c>
      <c r="Z258" s="6" t="s">
        <v>236</v>
      </c>
      <c r="AA258" s="6" t="s">
        <v>236</v>
      </c>
    </row>
    <row r="259" spans="1:27">
      <c r="A259" s="6">
        <v>258</v>
      </c>
      <c r="B259" s="6" t="s">
        <v>225</v>
      </c>
      <c r="C259" s="7">
        <v>46101</v>
      </c>
      <c r="D259" s="6" t="s">
        <v>226</v>
      </c>
      <c r="E259" s="6" t="s">
        <v>29</v>
      </c>
      <c r="F259" s="6" t="s">
        <v>240</v>
      </c>
      <c r="G259" s="6">
        <v>20</v>
      </c>
      <c r="H259" s="11" t="s">
        <v>1111</v>
      </c>
      <c r="I259" s="11">
        <v>8867473194</v>
      </c>
      <c r="J259" s="10" t="s">
        <v>1112</v>
      </c>
      <c r="K259" s="10" t="s">
        <v>1112</v>
      </c>
      <c r="L259" s="6">
        <v>2100</v>
      </c>
      <c r="M259" s="6">
        <v>2100</v>
      </c>
      <c r="N259" s="7" t="s">
        <v>239</v>
      </c>
      <c r="O259" s="6" t="s">
        <v>239</v>
      </c>
      <c r="P259" s="6" t="s">
        <v>239</v>
      </c>
      <c r="Q259" s="6" t="s">
        <v>236</v>
      </c>
      <c r="R259" s="6"/>
      <c r="S259" s="6">
        <f t="shared" ref="S259:S322" si="4">M259-R259</f>
        <v>2100</v>
      </c>
      <c r="T259" s="6"/>
      <c r="U259" s="6"/>
      <c r="V259" s="6"/>
      <c r="W259" s="6" t="s">
        <v>236</v>
      </c>
      <c r="X259" s="6" t="s">
        <v>236</v>
      </c>
      <c r="Y259" s="6" t="s">
        <v>236</v>
      </c>
      <c r="Z259" s="6" t="s">
        <v>236</v>
      </c>
      <c r="AA259" s="6" t="s">
        <v>236</v>
      </c>
    </row>
    <row r="260" spans="1:27">
      <c r="A260" s="6">
        <v>259</v>
      </c>
      <c r="B260" s="6" t="s">
        <v>225</v>
      </c>
      <c r="C260" s="7">
        <v>46101</v>
      </c>
      <c r="D260" s="6" t="s">
        <v>226</v>
      </c>
      <c r="E260" s="6" t="s">
        <v>29</v>
      </c>
      <c r="F260" s="6" t="s">
        <v>240</v>
      </c>
      <c r="G260" s="6">
        <v>20</v>
      </c>
      <c r="H260" s="11" t="s">
        <v>1113</v>
      </c>
      <c r="I260" s="11">
        <v>9980511294</v>
      </c>
      <c r="J260" s="10" t="s">
        <v>1114</v>
      </c>
      <c r="K260" s="10" t="s">
        <v>1114</v>
      </c>
      <c r="L260" s="6">
        <v>1850</v>
      </c>
      <c r="M260" s="6">
        <v>1850</v>
      </c>
      <c r="N260" s="7" t="s">
        <v>239</v>
      </c>
      <c r="O260" s="6" t="s">
        <v>239</v>
      </c>
      <c r="P260" s="6" t="s">
        <v>239</v>
      </c>
      <c r="Q260" s="6" t="s">
        <v>236</v>
      </c>
      <c r="R260" s="6"/>
      <c r="S260" s="6">
        <f t="shared" si="4"/>
        <v>1850</v>
      </c>
      <c r="T260" s="6"/>
      <c r="U260" s="6"/>
      <c r="V260" s="6"/>
      <c r="W260" s="6" t="s">
        <v>236</v>
      </c>
      <c r="X260" s="6" t="s">
        <v>236</v>
      </c>
      <c r="Y260" s="6" t="s">
        <v>236</v>
      </c>
      <c r="Z260" s="6" t="s">
        <v>236</v>
      </c>
      <c r="AA260" s="6" t="s">
        <v>236</v>
      </c>
    </row>
    <row r="261" spans="1:27">
      <c r="A261" s="6">
        <v>260</v>
      </c>
      <c r="B261" s="6" t="s">
        <v>225</v>
      </c>
      <c r="C261" s="7">
        <v>46101</v>
      </c>
      <c r="D261" s="6" t="s">
        <v>226</v>
      </c>
      <c r="E261" s="6" t="s">
        <v>29</v>
      </c>
      <c r="F261" s="6" t="s">
        <v>240</v>
      </c>
      <c r="G261" s="6">
        <v>20</v>
      </c>
      <c r="H261" s="11" t="s">
        <v>1115</v>
      </c>
      <c r="I261" s="11">
        <v>7780454009</v>
      </c>
      <c r="J261" s="10" t="s">
        <v>1116</v>
      </c>
      <c r="K261" s="10" t="s">
        <v>1116</v>
      </c>
      <c r="L261" s="6">
        <v>320</v>
      </c>
      <c r="M261" s="6">
        <v>320</v>
      </c>
      <c r="N261" s="7" t="s">
        <v>239</v>
      </c>
      <c r="O261" s="6" t="s">
        <v>239</v>
      </c>
      <c r="P261" s="6" t="s">
        <v>239</v>
      </c>
      <c r="Q261" s="6" t="s">
        <v>236</v>
      </c>
      <c r="R261" s="6"/>
      <c r="S261" s="6">
        <f t="shared" si="4"/>
        <v>320</v>
      </c>
      <c r="T261" s="6"/>
      <c r="U261" s="6"/>
      <c r="V261" s="6"/>
      <c r="W261" s="6" t="s">
        <v>236</v>
      </c>
      <c r="X261" s="6" t="s">
        <v>236</v>
      </c>
      <c r="Y261" s="6" t="s">
        <v>236</v>
      </c>
      <c r="Z261" s="6" t="s">
        <v>236</v>
      </c>
      <c r="AA261" s="6" t="s">
        <v>236</v>
      </c>
    </row>
    <row r="262" spans="1:27">
      <c r="A262" s="6">
        <v>261</v>
      </c>
      <c r="B262" s="6" t="s">
        <v>225</v>
      </c>
      <c r="C262" s="7">
        <v>46101</v>
      </c>
      <c r="D262" s="6" t="s">
        <v>226</v>
      </c>
      <c r="E262" s="6" t="s">
        <v>29</v>
      </c>
      <c r="F262" s="6" t="s">
        <v>240</v>
      </c>
      <c r="G262" s="6">
        <v>20</v>
      </c>
      <c r="H262" s="11" t="s">
        <v>1117</v>
      </c>
      <c r="I262" s="11">
        <v>9745545587</v>
      </c>
      <c r="J262" s="10" t="s">
        <v>1118</v>
      </c>
      <c r="K262" s="10" t="s">
        <v>1118</v>
      </c>
      <c r="L262" s="6">
        <v>1580</v>
      </c>
      <c r="M262" s="6">
        <v>1580</v>
      </c>
      <c r="N262" s="7" t="s">
        <v>239</v>
      </c>
      <c r="O262" s="6" t="s">
        <v>239</v>
      </c>
      <c r="P262" s="6" t="s">
        <v>239</v>
      </c>
      <c r="Q262" s="6" t="s">
        <v>236</v>
      </c>
      <c r="R262" s="6"/>
      <c r="S262" s="6">
        <f t="shared" si="4"/>
        <v>1580</v>
      </c>
      <c r="T262" s="6"/>
      <c r="U262" s="6"/>
      <c r="V262" s="6"/>
      <c r="W262" s="6" t="s">
        <v>236</v>
      </c>
      <c r="X262" s="6" t="s">
        <v>236</v>
      </c>
      <c r="Y262" s="6" t="s">
        <v>236</v>
      </c>
      <c r="Z262" s="6" t="s">
        <v>236</v>
      </c>
      <c r="AA262" s="6" t="s">
        <v>236</v>
      </c>
    </row>
    <row r="263" spans="1:27">
      <c r="A263" s="6">
        <v>262</v>
      </c>
      <c r="B263" s="6" t="s">
        <v>225</v>
      </c>
      <c r="C263" s="7">
        <v>46101</v>
      </c>
      <c r="D263" s="6" t="s">
        <v>226</v>
      </c>
      <c r="E263" s="6" t="s">
        <v>29</v>
      </c>
      <c r="F263" s="6" t="s">
        <v>240</v>
      </c>
      <c r="G263" s="6">
        <v>20</v>
      </c>
      <c r="H263" s="11" t="s">
        <v>1119</v>
      </c>
      <c r="I263" s="11">
        <v>8137053955</v>
      </c>
      <c r="J263" s="10" t="s">
        <v>1120</v>
      </c>
      <c r="K263" s="10" t="s">
        <v>1120</v>
      </c>
      <c r="L263" s="6">
        <v>870</v>
      </c>
      <c r="M263" s="6">
        <v>870</v>
      </c>
      <c r="N263" s="7" t="s">
        <v>239</v>
      </c>
      <c r="O263" s="6" t="s">
        <v>239</v>
      </c>
      <c r="P263" s="6" t="s">
        <v>239</v>
      </c>
      <c r="Q263" s="6" t="s">
        <v>236</v>
      </c>
      <c r="R263" s="6"/>
      <c r="S263" s="6">
        <f t="shared" si="4"/>
        <v>870</v>
      </c>
      <c r="T263" s="6"/>
      <c r="U263" s="6"/>
      <c r="V263" s="6"/>
      <c r="W263" s="6" t="s">
        <v>236</v>
      </c>
      <c r="X263" s="6" t="s">
        <v>236</v>
      </c>
      <c r="Y263" s="6" t="s">
        <v>236</v>
      </c>
      <c r="Z263" s="6" t="s">
        <v>236</v>
      </c>
      <c r="AA263" s="6" t="s">
        <v>236</v>
      </c>
    </row>
    <row r="264" spans="1:27">
      <c r="A264" s="6">
        <v>263</v>
      </c>
      <c r="B264" s="6" t="s">
        <v>225</v>
      </c>
      <c r="C264" s="7">
        <v>46101</v>
      </c>
      <c r="D264" s="6" t="s">
        <v>226</v>
      </c>
      <c r="E264" s="6" t="s">
        <v>29</v>
      </c>
      <c r="F264" s="6" t="s">
        <v>240</v>
      </c>
      <c r="G264" s="6">
        <v>20</v>
      </c>
      <c r="H264" s="11" t="s">
        <v>1121</v>
      </c>
      <c r="I264" s="11">
        <v>9847744664</v>
      </c>
      <c r="J264" s="10" t="s">
        <v>1122</v>
      </c>
      <c r="K264" s="10" t="s">
        <v>1122</v>
      </c>
      <c r="L264" s="6">
        <v>800</v>
      </c>
      <c r="M264" s="6">
        <v>800</v>
      </c>
      <c r="N264" s="7" t="s">
        <v>239</v>
      </c>
      <c r="O264" s="6" t="s">
        <v>239</v>
      </c>
      <c r="P264" s="6" t="s">
        <v>239</v>
      </c>
      <c r="Q264" s="6" t="s">
        <v>236</v>
      </c>
      <c r="R264" s="6"/>
      <c r="S264" s="6">
        <f t="shared" si="4"/>
        <v>800</v>
      </c>
      <c r="T264" s="6"/>
      <c r="U264" s="6"/>
      <c r="V264" s="6"/>
      <c r="W264" s="6" t="s">
        <v>236</v>
      </c>
      <c r="X264" s="6" t="s">
        <v>236</v>
      </c>
      <c r="Y264" s="6" t="s">
        <v>236</v>
      </c>
      <c r="Z264" s="6" t="s">
        <v>236</v>
      </c>
      <c r="AA264" s="6" t="s">
        <v>236</v>
      </c>
    </row>
    <row r="265" spans="1:27">
      <c r="A265" s="6">
        <v>264</v>
      </c>
      <c r="B265" s="6" t="s">
        <v>225</v>
      </c>
      <c r="C265" s="7">
        <v>46101</v>
      </c>
      <c r="D265" s="6" t="s">
        <v>226</v>
      </c>
      <c r="E265" s="6" t="s">
        <v>29</v>
      </c>
      <c r="F265" s="6" t="s">
        <v>240</v>
      </c>
      <c r="G265" s="6">
        <v>20</v>
      </c>
      <c r="H265" s="11" t="s">
        <v>1123</v>
      </c>
      <c r="I265" s="11">
        <v>9995331505</v>
      </c>
      <c r="J265" s="10" t="s">
        <v>1124</v>
      </c>
      <c r="K265" s="10" t="s">
        <v>1124</v>
      </c>
      <c r="L265" s="6">
        <v>400</v>
      </c>
      <c r="M265" s="6">
        <v>400</v>
      </c>
      <c r="N265" s="7" t="s">
        <v>239</v>
      </c>
      <c r="O265" s="6" t="s">
        <v>239</v>
      </c>
      <c r="P265" s="6" t="s">
        <v>239</v>
      </c>
      <c r="Q265" s="6" t="s">
        <v>236</v>
      </c>
      <c r="R265" s="6"/>
      <c r="S265" s="6">
        <f t="shared" si="4"/>
        <v>400</v>
      </c>
      <c r="T265" s="6"/>
      <c r="U265" s="6"/>
      <c r="V265" s="6"/>
      <c r="W265" s="6" t="s">
        <v>236</v>
      </c>
      <c r="X265" s="6" t="s">
        <v>236</v>
      </c>
      <c r="Y265" s="6" t="s">
        <v>236</v>
      </c>
      <c r="Z265" s="6" t="s">
        <v>236</v>
      </c>
      <c r="AA265" s="6" t="s">
        <v>236</v>
      </c>
    </row>
    <row r="266" spans="1:27">
      <c r="A266" s="6">
        <v>265</v>
      </c>
      <c r="B266" s="6" t="s">
        <v>225</v>
      </c>
      <c r="C266" s="7">
        <v>46101</v>
      </c>
      <c r="D266" s="6" t="s">
        <v>226</v>
      </c>
      <c r="E266" s="6" t="s">
        <v>29</v>
      </c>
      <c r="F266" s="6" t="s">
        <v>240</v>
      </c>
      <c r="G266" s="6">
        <v>20</v>
      </c>
      <c r="H266" s="11" t="s">
        <v>1125</v>
      </c>
      <c r="I266" s="11">
        <v>7708349933</v>
      </c>
      <c r="J266" s="10" t="s">
        <v>1126</v>
      </c>
      <c r="K266" s="10" t="s">
        <v>1126</v>
      </c>
      <c r="L266" s="6">
        <v>710</v>
      </c>
      <c r="M266" s="6">
        <v>710</v>
      </c>
      <c r="N266" s="7" t="s">
        <v>239</v>
      </c>
      <c r="O266" s="6" t="s">
        <v>239</v>
      </c>
      <c r="P266" s="6" t="s">
        <v>239</v>
      </c>
      <c r="Q266" s="6" t="s">
        <v>236</v>
      </c>
      <c r="R266" s="6"/>
      <c r="S266" s="6">
        <f t="shared" si="4"/>
        <v>710</v>
      </c>
      <c r="T266" s="6"/>
      <c r="U266" s="6"/>
      <c r="V266" s="6"/>
      <c r="W266" s="6" t="s">
        <v>236</v>
      </c>
      <c r="X266" s="6" t="s">
        <v>236</v>
      </c>
      <c r="Y266" s="6" t="s">
        <v>236</v>
      </c>
      <c r="Z266" s="6" t="s">
        <v>236</v>
      </c>
      <c r="AA266" s="6" t="s">
        <v>236</v>
      </c>
    </row>
    <row r="267" spans="1:27">
      <c r="A267" s="6">
        <v>266</v>
      </c>
      <c r="B267" s="6" t="s">
        <v>225</v>
      </c>
      <c r="C267" s="7">
        <v>46101</v>
      </c>
      <c r="D267" s="6" t="s">
        <v>226</v>
      </c>
      <c r="E267" s="6" t="s">
        <v>29</v>
      </c>
      <c r="F267" s="6" t="s">
        <v>240</v>
      </c>
      <c r="G267" s="6">
        <v>20</v>
      </c>
      <c r="H267" s="11" t="s">
        <v>1127</v>
      </c>
      <c r="I267" s="11">
        <v>8113948461</v>
      </c>
      <c r="J267" s="10" t="s">
        <v>1128</v>
      </c>
      <c r="K267" s="10" t="s">
        <v>1128</v>
      </c>
      <c r="L267" s="6">
        <v>210</v>
      </c>
      <c r="M267" s="6">
        <v>210</v>
      </c>
      <c r="N267" s="7" t="s">
        <v>239</v>
      </c>
      <c r="O267" s="6" t="s">
        <v>239</v>
      </c>
      <c r="P267" s="6" t="s">
        <v>239</v>
      </c>
      <c r="Q267" s="6" t="s">
        <v>236</v>
      </c>
      <c r="R267" s="6"/>
      <c r="S267" s="6">
        <f t="shared" si="4"/>
        <v>210</v>
      </c>
      <c r="T267" s="6"/>
      <c r="U267" s="6"/>
      <c r="V267" s="6"/>
      <c r="W267" s="6" t="s">
        <v>236</v>
      </c>
      <c r="X267" s="6" t="s">
        <v>236</v>
      </c>
      <c r="Y267" s="6" t="s">
        <v>236</v>
      </c>
      <c r="Z267" s="6" t="s">
        <v>236</v>
      </c>
      <c r="AA267" s="6" t="s">
        <v>236</v>
      </c>
    </row>
    <row r="268" spans="1:27">
      <c r="A268" s="6">
        <v>267</v>
      </c>
      <c r="B268" s="6" t="s">
        <v>225</v>
      </c>
      <c r="C268" s="7">
        <v>46101</v>
      </c>
      <c r="D268" s="6" t="s">
        <v>226</v>
      </c>
      <c r="E268" s="6" t="s">
        <v>29</v>
      </c>
      <c r="F268" s="6" t="s">
        <v>240</v>
      </c>
      <c r="G268" s="6">
        <v>20</v>
      </c>
      <c r="H268" s="11" t="s">
        <v>1129</v>
      </c>
      <c r="I268" s="11">
        <v>9744192910</v>
      </c>
      <c r="J268" s="10" t="s">
        <v>1130</v>
      </c>
      <c r="K268" s="10" t="s">
        <v>1130</v>
      </c>
      <c r="L268" s="6">
        <v>110</v>
      </c>
      <c r="M268" s="6">
        <v>110</v>
      </c>
      <c r="N268" s="7" t="s">
        <v>239</v>
      </c>
      <c r="O268" s="6" t="s">
        <v>239</v>
      </c>
      <c r="P268" s="6" t="s">
        <v>239</v>
      </c>
      <c r="Q268" s="6" t="s">
        <v>236</v>
      </c>
      <c r="R268" s="6"/>
      <c r="S268" s="6">
        <f t="shared" si="4"/>
        <v>110</v>
      </c>
      <c r="T268" s="6"/>
      <c r="U268" s="6"/>
      <c r="V268" s="6"/>
      <c r="W268" s="6" t="s">
        <v>236</v>
      </c>
      <c r="X268" s="6" t="s">
        <v>236</v>
      </c>
      <c r="Y268" s="6" t="s">
        <v>236</v>
      </c>
      <c r="Z268" s="6" t="s">
        <v>236</v>
      </c>
      <c r="AA268" s="6" t="s">
        <v>236</v>
      </c>
    </row>
    <row r="269" spans="1:27">
      <c r="A269" s="6">
        <v>268</v>
      </c>
      <c r="B269" s="6" t="s">
        <v>225</v>
      </c>
      <c r="C269" s="7">
        <v>46101</v>
      </c>
      <c r="D269" s="6" t="s">
        <v>226</v>
      </c>
      <c r="E269" s="6" t="s">
        <v>29</v>
      </c>
      <c r="F269" s="6" t="s">
        <v>240</v>
      </c>
      <c r="G269" s="6">
        <v>20</v>
      </c>
      <c r="H269" s="11" t="s">
        <v>1131</v>
      </c>
      <c r="I269" s="11">
        <v>9704148594</v>
      </c>
      <c r="J269" s="10" t="s">
        <v>1132</v>
      </c>
      <c r="K269" s="10" t="s">
        <v>1132</v>
      </c>
      <c r="L269" s="6">
        <v>640</v>
      </c>
      <c r="M269" s="6">
        <v>640</v>
      </c>
      <c r="N269" s="7" t="s">
        <v>239</v>
      </c>
      <c r="O269" s="6" t="s">
        <v>239</v>
      </c>
      <c r="P269" s="6" t="s">
        <v>239</v>
      </c>
      <c r="Q269" s="6" t="s">
        <v>236</v>
      </c>
      <c r="R269" s="6"/>
      <c r="S269" s="6">
        <f t="shared" si="4"/>
        <v>640</v>
      </c>
      <c r="T269" s="6"/>
      <c r="U269" s="6"/>
      <c r="V269" s="6"/>
      <c r="W269" s="6" t="s">
        <v>236</v>
      </c>
      <c r="X269" s="6" t="s">
        <v>236</v>
      </c>
      <c r="Y269" s="6" t="s">
        <v>236</v>
      </c>
      <c r="Z269" s="6" t="s">
        <v>236</v>
      </c>
      <c r="AA269" s="6" t="s">
        <v>236</v>
      </c>
    </row>
    <row r="270" spans="1:27">
      <c r="A270" s="6">
        <v>269</v>
      </c>
      <c r="B270" s="6" t="s">
        <v>225</v>
      </c>
      <c r="C270" s="7">
        <v>46101</v>
      </c>
      <c r="D270" s="6" t="s">
        <v>226</v>
      </c>
      <c r="E270" s="6" t="s">
        <v>29</v>
      </c>
      <c r="F270" s="6" t="s">
        <v>240</v>
      </c>
      <c r="G270" s="6">
        <v>20</v>
      </c>
      <c r="H270" s="11" t="s">
        <v>1133</v>
      </c>
      <c r="I270" s="11">
        <v>8056811489</v>
      </c>
      <c r="J270" s="10" t="s">
        <v>1134</v>
      </c>
      <c r="K270" s="10" t="s">
        <v>1134</v>
      </c>
      <c r="L270" s="6">
        <v>930</v>
      </c>
      <c r="M270" s="6">
        <v>930</v>
      </c>
      <c r="N270" s="7" t="s">
        <v>239</v>
      </c>
      <c r="O270" s="6" t="s">
        <v>239</v>
      </c>
      <c r="P270" s="6" t="s">
        <v>239</v>
      </c>
      <c r="Q270" s="6" t="s">
        <v>236</v>
      </c>
      <c r="R270" s="6"/>
      <c r="S270" s="6">
        <f t="shared" si="4"/>
        <v>930</v>
      </c>
      <c r="T270" s="6"/>
      <c r="U270" s="6"/>
      <c r="V270" s="6"/>
      <c r="W270" s="6" t="s">
        <v>236</v>
      </c>
      <c r="X270" s="6" t="s">
        <v>236</v>
      </c>
      <c r="Y270" s="6" t="s">
        <v>236</v>
      </c>
      <c r="Z270" s="6" t="s">
        <v>236</v>
      </c>
      <c r="AA270" s="6" t="s">
        <v>236</v>
      </c>
    </row>
    <row r="271" spans="1:27">
      <c r="A271" s="6">
        <v>270</v>
      </c>
      <c r="B271" s="6" t="s">
        <v>225</v>
      </c>
      <c r="C271" s="7">
        <v>46101</v>
      </c>
      <c r="D271" s="6" t="s">
        <v>226</v>
      </c>
      <c r="E271" s="6" t="s">
        <v>29</v>
      </c>
      <c r="F271" s="6" t="s">
        <v>240</v>
      </c>
      <c r="G271" s="6">
        <v>20</v>
      </c>
      <c r="H271" s="11" t="s">
        <v>1135</v>
      </c>
      <c r="I271" s="11">
        <v>9505554703</v>
      </c>
      <c r="J271" s="10" t="s">
        <v>1136</v>
      </c>
      <c r="K271" s="10" t="s">
        <v>1136</v>
      </c>
      <c r="L271" s="6">
        <v>250</v>
      </c>
      <c r="M271" s="6">
        <v>250</v>
      </c>
      <c r="N271" s="7" t="s">
        <v>239</v>
      </c>
      <c r="O271" s="6" t="s">
        <v>239</v>
      </c>
      <c r="P271" s="6" t="s">
        <v>239</v>
      </c>
      <c r="Q271" s="6" t="s">
        <v>236</v>
      </c>
      <c r="R271" s="6"/>
      <c r="S271" s="6">
        <f t="shared" si="4"/>
        <v>250</v>
      </c>
      <c r="T271" s="6"/>
      <c r="U271" s="6"/>
      <c r="V271" s="6"/>
      <c r="W271" s="6" t="s">
        <v>236</v>
      </c>
      <c r="X271" s="6" t="s">
        <v>236</v>
      </c>
      <c r="Y271" s="6" t="s">
        <v>236</v>
      </c>
      <c r="Z271" s="6" t="s">
        <v>236</v>
      </c>
      <c r="AA271" s="6" t="s">
        <v>236</v>
      </c>
    </row>
    <row r="272" spans="1:27">
      <c r="A272" s="6">
        <v>271</v>
      </c>
      <c r="B272" s="6" t="s">
        <v>225</v>
      </c>
      <c r="C272" s="7">
        <v>46101</v>
      </c>
      <c r="D272" s="6" t="s">
        <v>226</v>
      </c>
      <c r="E272" s="6" t="s">
        <v>29</v>
      </c>
      <c r="F272" s="6" t="s">
        <v>240</v>
      </c>
      <c r="G272" s="6">
        <v>20</v>
      </c>
      <c r="H272" s="11" t="s">
        <v>1137</v>
      </c>
      <c r="I272" s="11">
        <v>7287875737</v>
      </c>
      <c r="J272" s="10" t="s">
        <v>1138</v>
      </c>
      <c r="K272" s="10" t="s">
        <v>1138</v>
      </c>
      <c r="L272" s="6">
        <v>440</v>
      </c>
      <c r="M272" s="6">
        <v>440</v>
      </c>
      <c r="N272" s="7" t="s">
        <v>239</v>
      </c>
      <c r="O272" s="6" t="s">
        <v>239</v>
      </c>
      <c r="P272" s="6" t="s">
        <v>239</v>
      </c>
      <c r="Q272" s="6" t="s">
        <v>236</v>
      </c>
      <c r="R272" s="6"/>
      <c r="S272" s="6">
        <f t="shared" si="4"/>
        <v>440</v>
      </c>
      <c r="T272" s="6"/>
      <c r="U272" s="6"/>
      <c r="V272" s="6"/>
      <c r="W272" s="6" t="s">
        <v>236</v>
      </c>
      <c r="X272" s="6" t="s">
        <v>236</v>
      </c>
      <c r="Y272" s="6" t="s">
        <v>236</v>
      </c>
      <c r="Z272" s="6" t="s">
        <v>236</v>
      </c>
      <c r="AA272" s="6" t="s">
        <v>236</v>
      </c>
    </row>
    <row r="273" spans="1:27">
      <c r="A273" s="6">
        <v>272</v>
      </c>
      <c r="B273" s="6" t="s">
        <v>225</v>
      </c>
      <c r="C273" s="7">
        <v>46101</v>
      </c>
      <c r="D273" s="6" t="s">
        <v>226</v>
      </c>
      <c r="E273" s="6" t="s">
        <v>29</v>
      </c>
      <c r="F273" s="6" t="s">
        <v>240</v>
      </c>
      <c r="G273" s="6">
        <v>20</v>
      </c>
      <c r="H273" s="11" t="s">
        <v>1139</v>
      </c>
      <c r="I273" s="11">
        <v>9943280806</v>
      </c>
      <c r="J273" s="10" t="s">
        <v>1140</v>
      </c>
      <c r="K273" s="10" t="s">
        <v>1140</v>
      </c>
      <c r="L273" s="6">
        <v>740</v>
      </c>
      <c r="M273" s="6">
        <v>740</v>
      </c>
      <c r="N273" s="7" t="s">
        <v>239</v>
      </c>
      <c r="O273" s="6" t="s">
        <v>239</v>
      </c>
      <c r="P273" s="6" t="s">
        <v>239</v>
      </c>
      <c r="Q273" s="6" t="s">
        <v>236</v>
      </c>
      <c r="R273" s="6"/>
      <c r="S273" s="6">
        <f t="shared" si="4"/>
        <v>740</v>
      </c>
      <c r="T273" s="6"/>
      <c r="U273" s="6"/>
      <c r="V273" s="6"/>
      <c r="W273" s="6" t="s">
        <v>236</v>
      </c>
      <c r="X273" s="6" t="s">
        <v>236</v>
      </c>
      <c r="Y273" s="6" t="s">
        <v>236</v>
      </c>
      <c r="Z273" s="6" t="s">
        <v>236</v>
      </c>
      <c r="AA273" s="6" t="s">
        <v>236</v>
      </c>
    </row>
    <row r="274" spans="1:27">
      <c r="A274" s="6">
        <v>273</v>
      </c>
      <c r="B274" s="6" t="s">
        <v>225</v>
      </c>
      <c r="C274" s="7">
        <v>46101</v>
      </c>
      <c r="D274" s="6" t="s">
        <v>226</v>
      </c>
      <c r="E274" s="6" t="s">
        <v>29</v>
      </c>
      <c r="F274" s="6" t="s">
        <v>240</v>
      </c>
      <c r="G274" s="6">
        <v>20</v>
      </c>
      <c r="H274" s="11" t="s">
        <v>1141</v>
      </c>
      <c r="I274" s="11">
        <v>9502274217</v>
      </c>
      <c r="J274" s="10" t="s">
        <v>1142</v>
      </c>
      <c r="K274" s="10" t="s">
        <v>1142</v>
      </c>
      <c r="L274" s="6">
        <v>730</v>
      </c>
      <c r="M274" s="6">
        <v>730</v>
      </c>
      <c r="N274" s="7" t="s">
        <v>239</v>
      </c>
      <c r="O274" s="6" t="s">
        <v>239</v>
      </c>
      <c r="P274" s="6" t="s">
        <v>239</v>
      </c>
      <c r="Q274" s="6" t="s">
        <v>236</v>
      </c>
      <c r="R274" s="6"/>
      <c r="S274" s="6">
        <f t="shared" si="4"/>
        <v>730</v>
      </c>
      <c r="T274" s="6"/>
      <c r="U274" s="6"/>
      <c r="V274" s="6"/>
      <c r="W274" s="6" t="s">
        <v>236</v>
      </c>
      <c r="X274" s="6" t="s">
        <v>236</v>
      </c>
      <c r="Y274" s="6" t="s">
        <v>236</v>
      </c>
      <c r="Z274" s="6" t="s">
        <v>236</v>
      </c>
      <c r="AA274" s="6" t="s">
        <v>236</v>
      </c>
    </row>
    <row r="275" spans="1:27">
      <c r="A275" s="6">
        <v>274</v>
      </c>
      <c r="B275" s="6" t="s">
        <v>225</v>
      </c>
      <c r="C275" s="7">
        <v>46101</v>
      </c>
      <c r="D275" s="6" t="s">
        <v>226</v>
      </c>
      <c r="E275" s="6" t="s">
        <v>29</v>
      </c>
      <c r="F275" s="6" t="s">
        <v>240</v>
      </c>
      <c r="G275" s="6">
        <v>20</v>
      </c>
      <c r="H275" s="11" t="s">
        <v>1143</v>
      </c>
      <c r="I275" s="11">
        <v>9848035521</v>
      </c>
      <c r="J275" s="10" t="s">
        <v>1144</v>
      </c>
      <c r="K275" s="10" t="s">
        <v>1144</v>
      </c>
      <c r="L275" s="6">
        <v>220</v>
      </c>
      <c r="M275" s="6">
        <v>220</v>
      </c>
      <c r="N275" s="7" t="s">
        <v>239</v>
      </c>
      <c r="O275" s="6" t="s">
        <v>239</v>
      </c>
      <c r="P275" s="6" t="s">
        <v>239</v>
      </c>
      <c r="Q275" s="6" t="s">
        <v>236</v>
      </c>
      <c r="R275" s="6"/>
      <c r="S275" s="6">
        <f t="shared" si="4"/>
        <v>220</v>
      </c>
      <c r="T275" s="6"/>
      <c r="U275" s="6"/>
      <c r="V275" s="6"/>
      <c r="W275" s="6" t="s">
        <v>236</v>
      </c>
      <c r="X275" s="6" t="s">
        <v>236</v>
      </c>
      <c r="Y275" s="6" t="s">
        <v>236</v>
      </c>
      <c r="Z275" s="6" t="s">
        <v>236</v>
      </c>
      <c r="AA275" s="6" t="s">
        <v>236</v>
      </c>
    </row>
    <row r="276" spans="1:27">
      <c r="A276" s="6">
        <v>275</v>
      </c>
      <c r="B276" s="6" t="s">
        <v>225</v>
      </c>
      <c r="C276" s="7">
        <v>46101</v>
      </c>
      <c r="D276" s="6" t="s">
        <v>226</v>
      </c>
      <c r="E276" s="6" t="s">
        <v>29</v>
      </c>
      <c r="F276" s="6" t="s">
        <v>240</v>
      </c>
      <c r="G276" s="6">
        <v>20</v>
      </c>
      <c r="H276" s="11" t="s">
        <v>1145</v>
      </c>
      <c r="I276" s="11">
        <v>9666972013</v>
      </c>
      <c r="J276" s="10" t="s">
        <v>1146</v>
      </c>
      <c r="K276" s="10" t="s">
        <v>1146</v>
      </c>
      <c r="L276" s="6">
        <v>290</v>
      </c>
      <c r="M276" s="6">
        <v>290</v>
      </c>
      <c r="N276" s="7" t="s">
        <v>239</v>
      </c>
      <c r="O276" s="6" t="s">
        <v>239</v>
      </c>
      <c r="P276" s="6" t="s">
        <v>239</v>
      </c>
      <c r="Q276" s="6" t="s">
        <v>236</v>
      </c>
      <c r="R276" s="6"/>
      <c r="S276" s="6">
        <f t="shared" si="4"/>
        <v>290</v>
      </c>
      <c r="T276" s="6"/>
      <c r="U276" s="6"/>
      <c r="V276" s="6"/>
      <c r="W276" s="6" t="s">
        <v>236</v>
      </c>
      <c r="X276" s="6" t="s">
        <v>236</v>
      </c>
      <c r="Y276" s="6" t="s">
        <v>236</v>
      </c>
      <c r="Z276" s="6" t="s">
        <v>236</v>
      </c>
      <c r="AA276" s="6" t="s">
        <v>236</v>
      </c>
    </row>
    <row r="277" spans="1:27">
      <c r="A277" s="6">
        <v>276</v>
      </c>
      <c r="B277" s="6" t="s">
        <v>225</v>
      </c>
      <c r="C277" s="7">
        <v>46101</v>
      </c>
      <c r="D277" s="6" t="s">
        <v>226</v>
      </c>
      <c r="E277" s="6" t="s">
        <v>29</v>
      </c>
      <c r="F277" s="6" t="s">
        <v>227</v>
      </c>
      <c r="G277" s="6">
        <v>20</v>
      </c>
      <c r="H277" s="6" t="s">
        <v>1147</v>
      </c>
      <c r="I277" s="6">
        <v>8328161558</v>
      </c>
      <c r="J277" s="10" t="s">
        <v>1148</v>
      </c>
      <c r="K277" s="10" t="s">
        <v>1148</v>
      </c>
      <c r="L277" s="6">
        <v>21202</v>
      </c>
      <c r="M277" s="6">
        <v>21202</v>
      </c>
      <c r="N277" s="7">
        <v>46104</v>
      </c>
      <c r="O277" s="6" t="s">
        <v>37</v>
      </c>
      <c r="P277" s="6" t="s">
        <v>52</v>
      </c>
      <c r="Q277" s="6" t="s">
        <v>230</v>
      </c>
      <c r="R277" s="6">
        <f>10000+11202</f>
        <v>21202</v>
      </c>
      <c r="S277" s="6">
        <f t="shared" si="4"/>
        <v>0</v>
      </c>
      <c r="T277" s="7">
        <v>46134</v>
      </c>
      <c r="U277" s="6" t="s">
        <v>1149</v>
      </c>
      <c r="V277" s="6" t="s">
        <v>54</v>
      </c>
      <c r="W277" s="6" t="s">
        <v>37</v>
      </c>
      <c r="X277" s="12" t="s">
        <v>1150</v>
      </c>
      <c r="Y277" s="12" t="s">
        <v>1151</v>
      </c>
      <c r="Z277" s="6" t="s">
        <v>40</v>
      </c>
      <c r="AA277" s="6" t="s">
        <v>235</v>
      </c>
    </row>
    <row r="278" spans="1:27">
      <c r="A278" s="6">
        <v>277</v>
      </c>
      <c r="B278" s="6" t="s">
        <v>225</v>
      </c>
      <c r="C278" s="7">
        <v>46101</v>
      </c>
      <c r="D278" s="6" t="s">
        <v>226</v>
      </c>
      <c r="E278" s="6" t="s">
        <v>29</v>
      </c>
      <c r="F278" s="6" t="s">
        <v>227</v>
      </c>
      <c r="G278" s="6">
        <v>20</v>
      </c>
      <c r="H278" s="6" t="s">
        <v>1152</v>
      </c>
      <c r="I278" s="6">
        <v>9032434892</v>
      </c>
      <c r="J278" s="10" t="s">
        <v>1153</v>
      </c>
      <c r="K278" s="10" t="s">
        <v>1153</v>
      </c>
      <c r="L278" s="6">
        <v>10000</v>
      </c>
      <c r="M278" s="6">
        <v>10000</v>
      </c>
      <c r="N278" s="7">
        <v>46103</v>
      </c>
      <c r="O278" s="6" t="s">
        <v>377</v>
      </c>
      <c r="P278" s="6" t="s">
        <v>52</v>
      </c>
      <c r="Q278" s="6" t="s">
        <v>230</v>
      </c>
      <c r="R278" s="6">
        <v>10000</v>
      </c>
      <c r="S278" s="6">
        <f t="shared" si="4"/>
        <v>0</v>
      </c>
      <c r="T278" s="7">
        <v>46143</v>
      </c>
      <c r="U278" s="6" t="s">
        <v>1154</v>
      </c>
      <c r="V278" s="6" t="s">
        <v>54</v>
      </c>
      <c r="W278" s="6" t="s">
        <v>377</v>
      </c>
      <c r="X278" s="12" t="s">
        <v>1155</v>
      </c>
      <c r="Y278" s="12" t="s">
        <v>1156</v>
      </c>
      <c r="Z278" s="6" t="s">
        <v>582</v>
      </c>
      <c r="AA278" s="6" t="s">
        <v>235</v>
      </c>
    </row>
    <row r="279" spans="1:27">
      <c r="A279" s="6">
        <v>278</v>
      </c>
      <c r="B279" s="6" t="s">
        <v>298</v>
      </c>
      <c r="C279" s="7">
        <v>46101</v>
      </c>
      <c r="D279" s="6" t="s">
        <v>226</v>
      </c>
      <c r="E279" s="6" t="s">
        <v>29</v>
      </c>
      <c r="F279" s="6" t="s">
        <v>240</v>
      </c>
      <c r="G279" s="6">
        <v>20</v>
      </c>
      <c r="H279" s="11" t="s">
        <v>1157</v>
      </c>
      <c r="I279" s="11">
        <v>6281092472</v>
      </c>
      <c r="J279" s="10" t="s">
        <v>1158</v>
      </c>
      <c r="K279" s="10" t="s">
        <v>1158</v>
      </c>
      <c r="L279" s="11">
        <v>1450</v>
      </c>
      <c r="M279" s="11">
        <v>1450</v>
      </c>
      <c r="N279" s="7" t="s">
        <v>239</v>
      </c>
      <c r="O279" s="6" t="s">
        <v>239</v>
      </c>
      <c r="P279" s="6" t="s">
        <v>239</v>
      </c>
      <c r="Q279" s="6" t="s">
        <v>236</v>
      </c>
      <c r="R279" s="6"/>
      <c r="S279" s="6">
        <f t="shared" si="4"/>
        <v>1450</v>
      </c>
      <c r="T279" s="6"/>
      <c r="U279" s="6"/>
      <c r="V279" s="6"/>
      <c r="W279" s="6" t="s">
        <v>236</v>
      </c>
      <c r="X279" s="6" t="s">
        <v>236</v>
      </c>
      <c r="Y279" s="6" t="s">
        <v>236</v>
      </c>
      <c r="Z279" s="6" t="s">
        <v>236</v>
      </c>
      <c r="AA279" s="6" t="s">
        <v>236</v>
      </c>
    </row>
    <row r="280" spans="1:27">
      <c r="A280" s="6">
        <v>279</v>
      </c>
      <c r="B280" s="6" t="s">
        <v>298</v>
      </c>
      <c r="C280" s="7">
        <v>46101</v>
      </c>
      <c r="D280" s="6" t="s">
        <v>226</v>
      </c>
      <c r="E280" s="6" t="s">
        <v>29</v>
      </c>
      <c r="F280" s="6" t="s">
        <v>240</v>
      </c>
      <c r="G280" s="6">
        <v>20</v>
      </c>
      <c r="H280" s="11" t="s">
        <v>1159</v>
      </c>
      <c r="I280" s="11">
        <v>9059718497</v>
      </c>
      <c r="J280" s="10" t="s">
        <v>1160</v>
      </c>
      <c r="K280" s="10" t="s">
        <v>1160</v>
      </c>
      <c r="L280" s="11">
        <v>850</v>
      </c>
      <c r="M280" s="11">
        <v>850</v>
      </c>
      <c r="N280" s="7" t="s">
        <v>239</v>
      </c>
      <c r="O280" s="6" t="s">
        <v>239</v>
      </c>
      <c r="P280" s="6" t="s">
        <v>239</v>
      </c>
      <c r="Q280" s="6" t="s">
        <v>236</v>
      </c>
      <c r="R280" s="6"/>
      <c r="S280" s="6">
        <f t="shared" si="4"/>
        <v>850</v>
      </c>
      <c r="T280" s="6"/>
      <c r="U280" s="6"/>
      <c r="V280" s="6"/>
      <c r="W280" s="6" t="s">
        <v>236</v>
      </c>
      <c r="X280" s="6" t="s">
        <v>236</v>
      </c>
      <c r="Y280" s="6" t="s">
        <v>236</v>
      </c>
      <c r="Z280" s="6" t="s">
        <v>236</v>
      </c>
      <c r="AA280" s="6" t="s">
        <v>236</v>
      </c>
    </row>
    <row r="281" spans="1:27">
      <c r="A281" s="6">
        <v>280</v>
      </c>
      <c r="B281" s="6" t="s">
        <v>298</v>
      </c>
      <c r="C281" s="7">
        <v>46101</v>
      </c>
      <c r="D281" s="6" t="s">
        <v>226</v>
      </c>
      <c r="E281" s="6" t="s">
        <v>29</v>
      </c>
      <c r="F281" s="6" t="s">
        <v>240</v>
      </c>
      <c r="G281" s="6">
        <v>20</v>
      </c>
      <c r="H281" s="11" t="s">
        <v>1161</v>
      </c>
      <c r="I281" s="11">
        <v>7025354019</v>
      </c>
      <c r="J281" s="10" t="s">
        <v>1136</v>
      </c>
      <c r="K281" s="10" t="s">
        <v>1136</v>
      </c>
      <c r="L281" s="6">
        <v>50</v>
      </c>
      <c r="M281" s="6">
        <v>50</v>
      </c>
      <c r="N281" s="7" t="s">
        <v>239</v>
      </c>
      <c r="O281" s="6" t="s">
        <v>239</v>
      </c>
      <c r="P281" s="6" t="s">
        <v>239</v>
      </c>
      <c r="Q281" s="6" t="s">
        <v>236</v>
      </c>
      <c r="R281" s="6"/>
      <c r="S281" s="6">
        <f t="shared" si="4"/>
        <v>50</v>
      </c>
      <c r="T281" s="6"/>
      <c r="U281" s="6"/>
      <c r="V281" s="6"/>
      <c r="W281" s="6" t="s">
        <v>236</v>
      </c>
      <c r="X281" s="6" t="s">
        <v>236</v>
      </c>
      <c r="Y281" s="6" t="s">
        <v>236</v>
      </c>
      <c r="Z281" s="6" t="s">
        <v>236</v>
      </c>
      <c r="AA281" s="6" t="s">
        <v>236</v>
      </c>
    </row>
    <row r="282" spans="1:27">
      <c r="A282" s="6">
        <v>281</v>
      </c>
      <c r="B282" s="6" t="s">
        <v>298</v>
      </c>
      <c r="C282" s="7">
        <v>46101</v>
      </c>
      <c r="D282" s="6" t="s">
        <v>226</v>
      </c>
      <c r="E282" s="6" t="s">
        <v>29</v>
      </c>
      <c r="F282" s="6" t="s">
        <v>240</v>
      </c>
      <c r="G282" s="6">
        <v>20</v>
      </c>
      <c r="H282" s="11" t="s">
        <v>1162</v>
      </c>
      <c r="I282" s="11">
        <v>8074753791</v>
      </c>
      <c r="J282" s="10" t="s">
        <v>1163</v>
      </c>
      <c r="K282" s="10" t="s">
        <v>1163</v>
      </c>
      <c r="L282" s="6">
        <v>70</v>
      </c>
      <c r="M282" s="6">
        <v>70</v>
      </c>
      <c r="N282" s="7" t="s">
        <v>239</v>
      </c>
      <c r="O282" s="6" t="s">
        <v>239</v>
      </c>
      <c r="P282" s="6" t="s">
        <v>239</v>
      </c>
      <c r="Q282" s="6" t="s">
        <v>236</v>
      </c>
      <c r="R282" s="6"/>
      <c r="S282" s="6">
        <f t="shared" si="4"/>
        <v>70</v>
      </c>
      <c r="T282" s="6"/>
      <c r="U282" s="6"/>
      <c r="V282" s="6"/>
      <c r="W282" s="6" t="s">
        <v>236</v>
      </c>
      <c r="X282" s="6" t="s">
        <v>236</v>
      </c>
      <c r="Y282" s="6" t="s">
        <v>236</v>
      </c>
      <c r="Z282" s="6" t="s">
        <v>236</v>
      </c>
      <c r="AA282" s="6" t="s">
        <v>236</v>
      </c>
    </row>
    <row r="283" spans="1:27">
      <c r="A283" s="6">
        <v>282</v>
      </c>
      <c r="B283" s="6" t="s">
        <v>298</v>
      </c>
      <c r="C283" s="7">
        <v>46101</v>
      </c>
      <c r="D283" s="6" t="s">
        <v>226</v>
      </c>
      <c r="E283" s="6" t="s">
        <v>29</v>
      </c>
      <c r="F283" s="6" t="s">
        <v>240</v>
      </c>
      <c r="G283" s="6">
        <v>20</v>
      </c>
      <c r="H283" s="11" t="s">
        <v>1164</v>
      </c>
      <c r="I283" s="11">
        <v>8157070029</v>
      </c>
      <c r="J283" s="10" t="s">
        <v>1165</v>
      </c>
      <c r="K283" s="10" t="s">
        <v>1165</v>
      </c>
      <c r="L283" s="6">
        <v>170</v>
      </c>
      <c r="M283" s="6">
        <v>170</v>
      </c>
      <c r="N283" s="7" t="s">
        <v>239</v>
      </c>
      <c r="O283" s="6" t="s">
        <v>239</v>
      </c>
      <c r="P283" s="6" t="s">
        <v>239</v>
      </c>
      <c r="Q283" s="6" t="s">
        <v>236</v>
      </c>
      <c r="R283" s="6"/>
      <c r="S283" s="6">
        <f t="shared" si="4"/>
        <v>170</v>
      </c>
      <c r="T283" s="6"/>
      <c r="U283" s="6"/>
      <c r="V283" s="6"/>
      <c r="W283" s="6" t="s">
        <v>236</v>
      </c>
      <c r="X283" s="6" t="s">
        <v>236</v>
      </c>
      <c r="Y283" s="6" t="s">
        <v>236</v>
      </c>
      <c r="Z283" s="6" t="s">
        <v>236</v>
      </c>
      <c r="AA283" s="6" t="s">
        <v>236</v>
      </c>
    </row>
    <row r="284" spans="1:27">
      <c r="A284" s="6">
        <v>283</v>
      </c>
      <c r="B284" s="6" t="s">
        <v>225</v>
      </c>
      <c r="C284" s="7">
        <v>46102</v>
      </c>
      <c r="D284" s="6" t="s">
        <v>226</v>
      </c>
      <c r="E284" s="6" t="s">
        <v>29</v>
      </c>
      <c r="F284" s="6" t="s">
        <v>267</v>
      </c>
      <c r="G284" s="6">
        <v>21</v>
      </c>
      <c r="H284" s="11" t="s">
        <v>1166</v>
      </c>
      <c r="I284" s="11">
        <v>9553117608</v>
      </c>
      <c r="J284" s="10" t="s">
        <v>1167</v>
      </c>
      <c r="K284" s="10" t="s">
        <v>1167</v>
      </c>
      <c r="L284" s="6">
        <v>5427</v>
      </c>
      <c r="M284" s="6">
        <v>5427</v>
      </c>
      <c r="N284" s="7" t="s">
        <v>239</v>
      </c>
      <c r="O284" s="6" t="s">
        <v>239</v>
      </c>
      <c r="P284" s="6" t="s">
        <v>239</v>
      </c>
      <c r="Q284" s="6" t="s">
        <v>236</v>
      </c>
      <c r="R284" s="6"/>
      <c r="S284" s="6">
        <f t="shared" si="4"/>
        <v>5427</v>
      </c>
      <c r="T284" s="6"/>
      <c r="U284" s="6"/>
      <c r="V284" s="6"/>
      <c r="W284" s="6" t="s">
        <v>236</v>
      </c>
      <c r="X284" s="6" t="s">
        <v>236</v>
      </c>
      <c r="Y284" s="6" t="s">
        <v>236</v>
      </c>
      <c r="Z284" s="6" t="s">
        <v>236</v>
      </c>
      <c r="AA284" s="6" t="s">
        <v>236</v>
      </c>
    </row>
    <row r="285" spans="1:27">
      <c r="A285" s="6">
        <v>284</v>
      </c>
      <c r="B285" s="6" t="s">
        <v>225</v>
      </c>
      <c r="C285" s="7">
        <v>46102</v>
      </c>
      <c r="D285" s="6" t="s">
        <v>226</v>
      </c>
      <c r="E285" s="6" t="s">
        <v>29</v>
      </c>
      <c r="F285" s="6" t="s">
        <v>267</v>
      </c>
      <c r="G285" s="6">
        <v>21</v>
      </c>
      <c r="H285" s="11" t="s">
        <v>1168</v>
      </c>
      <c r="I285" s="11">
        <v>9952715097</v>
      </c>
      <c r="J285" s="10" t="s">
        <v>1169</v>
      </c>
      <c r="K285" s="10" t="s">
        <v>1169</v>
      </c>
      <c r="L285" s="6">
        <v>2350</v>
      </c>
      <c r="M285" s="6">
        <v>2350</v>
      </c>
      <c r="N285" s="7" t="s">
        <v>239</v>
      </c>
      <c r="O285" s="6" t="s">
        <v>239</v>
      </c>
      <c r="P285" s="6" t="s">
        <v>239</v>
      </c>
      <c r="Q285" s="6" t="s">
        <v>236</v>
      </c>
      <c r="R285" s="6"/>
      <c r="S285" s="6">
        <f t="shared" si="4"/>
        <v>2350</v>
      </c>
      <c r="T285" s="6"/>
      <c r="U285" s="6"/>
      <c r="V285" s="6"/>
      <c r="W285" s="6" t="s">
        <v>236</v>
      </c>
      <c r="X285" s="6" t="s">
        <v>236</v>
      </c>
      <c r="Y285" s="6" t="s">
        <v>236</v>
      </c>
      <c r="Z285" s="6" t="s">
        <v>236</v>
      </c>
      <c r="AA285" s="6" t="s">
        <v>236</v>
      </c>
    </row>
    <row r="286" spans="1:27">
      <c r="A286" s="6">
        <v>285</v>
      </c>
      <c r="B286" s="6" t="s">
        <v>225</v>
      </c>
      <c r="C286" s="7">
        <v>46102</v>
      </c>
      <c r="D286" s="6" t="s">
        <v>226</v>
      </c>
      <c r="E286" s="6" t="s">
        <v>29</v>
      </c>
      <c r="F286" s="6" t="s">
        <v>267</v>
      </c>
      <c r="G286" s="6">
        <v>21</v>
      </c>
      <c r="H286" s="11" t="s">
        <v>1170</v>
      </c>
      <c r="I286" s="11">
        <v>9544376781</v>
      </c>
      <c r="J286" s="10" t="s">
        <v>1171</v>
      </c>
      <c r="K286" s="10" t="s">
        <v>1171</v>
      </c>
      <c r="L286" s="6">
        <v>2030</v>
      </c>
      <c r="M286" s="6">
        <v>2030</v>
      </c>
      <c r="N286" s="7" t="s">
        <v>239</v>
      </c>
      <c r="O286" s="6" t="s">
        <v>239</v>
      </c>
      <c r="P286" s="6" t="s">
        <v>239</v>
      </c>
      <c r="Q286" s="6" t="s">
        <v>236</v>
      </c>
      <c r="R286" s="6"/>
      <c r="S286" s="6">
        <f t="shared" si="4"/>
        <v>2030</v>
      </c>
      <c r="T286" s="6"/>
      <c r="U286" s="6"/>
      <c r="V286" s="6"/>
      <c r="W286" s="6" t="s">
        <v>236</v>
      </c>
      <c r="X286" s="6" t="s">
        <v>236</v>
      </c>
      <c r="Y286" s="6" t="s">
        <v>236</v>
      </c>
      <c r="Z286" s="6" t="s">
        <v>236</v>
      </c>
      <c r="AA286" s="6" t="s">
        <v>236</v>
      </c>
    </row>
    <row r="287" spans="1:27">
      <c r="A287" s="6">
        <v>286</v>
      </c>
      <c r="B287" s="6" t="s">
        <v>225</v>
      </c>
      <c r="C287" s="7">
        <v>46102</v>
      </c>
      <c r="D287" s="6" t="s">
        <v>226</v>
      </c>
      <c r="E287" s="6" t="s">
        <v>29</v>
      </c>
      <c r="F287" s="6" t="s">
        <v>267</v>
      </c>
      <c r="G287" s="6">
        <v>21</v>
      </c>
      <c r="H287" s="11" t="s">
        <v>1172</v>
      </c>
      <c r="I287" s="11">
        <v>9989890797</v>
      </c>
      <c r="J287" s="10" t="s">
        <v>1173</v>
      </c>
      <c r="K287" s="10" t="s">
        <v>1173</v>
      </c>
      <c r="L287" s="6">
        <v>160</v>
      </c>
      <c r="M287" s="6">
        <v>160</v>
      </c>
      <c r="N287" s="7" t="s">
        <v>239</v>
      </c>
      <c r="O287" s="6" t="s">
        <v>239</v>
      </c>
      <c r="P287" s="6" t="s">
        <v>239</v>
      </c>
      <c r="Q287" s="6" t="s">
        <v>236</v>
      </c>
      <c r="R287" s="6"/>
      <c r="S287" s="6">
        <f t="shared" si="4"/>
        <v>160</v>
      </c>
      <c r="T287" s="6"/>
      <c r="U287" s="6"/>
      <c r="V287" s="6"/>
      <c r="W287" s="6" t="s">
        <v>236</v>
      </c>
      <c r="X287" s="6" t="s">
        <v>236</v>
      </c>
      <c r="Y287" s="6" t="s">
        <v>236</v>
      </c>
      <c r="Z287" s="6" t="s">
        <v>236</v>
      </c>
      <c r="AA287" s="6" t="s">
        <v>236</v>
      </c>
    </row>
    <row r="288" spans="1:27">
      <c r="A288" s="6">
        <v>287</v>
      </c>
      <c r="B288" s="6" t="s">
        <v>225</v>
      </c>
      <c r="C288" s="7">
        <v>46102</v>
      </c>
      <c r="D288" s="6" t="s">
        <v>226</v>
      </c>
      <c r="E288" s="6" t="s">
        <v>29</v>
      </c>
      <c r="F288" s="6" t="s">
        <v>267</v>
      </c>
      <c r="G288" s="6">
        <v>21</v>
      </c>
      <c r="H288" s="11" t="s">
        <v>1174</v>
      </c>
      <c r="I288" s="11">
        <v>9989551105</v>
      </c>
      <c r="J288" s="10" t="s">
        <v>1175</v>
      </c>
      <c r="K288" s="10" t="s">
        <v>1175</v>
      </c>
      <c r="L288" s="6">
        <v>2530</v>
      </c>
      <c r="M288" s="6">
        <v>2530</v>
      </c>
      <c r="N288" s="7" t="s">
        <v>239</v>
      </c>
      <c r="O288" s="6" t="s">
        <v>239</v>
      </c>
      <c r="P288" s="6" t="s">
        <v>239</v>
      </c>
      <c r="Q288" s="6" t="s">
        <v>236</v>
      </c>
      <c r="R288" s="6"/>
      <c r="S288" s="6">
        <f t="shared" si="4"/>
        <v>2530</v>
      </c>
      <c r="T288" s="6"/>
      <c r="U288" s="6"/>
      <c r="V288" s="6"/>
      <c r="W288" s="6" t="s">
        <v>236</v>
      </c>
      <c r="X288" s="6" t="s">
        <v>236</v>
      </c>
      <c r="Y288" s="6" t="s">
        <v>236</v>
      </c>
      <c r="Z288" s="6" t="s">
        <v>236</v>
      </c>
      <c r="AA288" s="6" t="s">
        <v>236</v>
      </c>
    </row>
    <row r="289" spans="1:27">
      <c r="A289" s="6">
        <v>288</v>
      </c>
      <c r="B289" s="6" t="s">
        <v>225</v>
      </c>
      <c r="C289" s="7">
        <v>46102</v>
      </c>
      <c r="D289" s="6" t="s">
        <v>226</v>
      </c>
      <c r="E289" s="6" t="s">
        <v>29</v>
      </c>
      <c r="F289" s="6" t="s">
        <v>267</v>
      </c>
      <c r="G289" s="6">
        <v>21</v>
      </c>
      <c r="H289" s="11" t="s">
        <v>1176</v>
      </c>
      <c r="I289" s="11">
        <v>9963650868</v>
      </c>
      <c r="J289" s="10" t="s">
        <v>1177</v>
      </c>
      <c r="K289" s="10" t="s">
        <v>1177</v>
      </c>
      <c r="L289" s="6">
        <v>610</v>
      </c>
      <c r="M289" s="6">
        <v>610</v>
      </c>
      <c r="N289" s="7" t="s">
        <v>239</v>
      </c>
      <c r="O289" s="6" t="s">
        <v>239</v>
      </c>
      <c r="P289" s="6" t="s">
        <v>239</v>
      </c>
      <c r="Q289" s="6" t="s">
        <v>236</v>
      </c>
      <c r="R289" s="6"/>
      <c r="S289" s="6">
        <f t="shared" si="4"/>
        <v>610</v>
      </c>
      <c r="T289" s="6"/>
      <c r="U289" s="6"/>
      <c r="V289" s="6"/>
      <c r="W289" s="6" t="s">
        <v>236</v>
      </c>
      <c r="X289" s="6" t="s">
        <v>236</v>
      </c>
      <c r="Y289" s="6" t="s">
        <v>236</v>
      </c>
      <c r="Z289" s="6" t="s">
        <v>236</v>
      </c>
      <c r="AA289" s="6" t="s">
        <v>236</v>
      </c>
    </row>
    <row r="290" spans="1:27">
      <c r="A290" s="6">
        <v>289</v>
      </c>
      <c r="B290" s="6" t="s">
        <v>298</v>
      </c>
      <c r="C290" s="7">
        <v>46102</v>
      </c>
      <c r="D290" s="6" t="s">
        <v>226</v>
      </c>
      <c r="E290" s="6" t="s">
        <v>29</v>
      </c>
      <c r="F290" s="6" t="s">
        <v>267</v>
      </c>
      <c r="G290" s="6">
        <v>21</v>
      </c>
      <c r="H290" s="11" t="s">
        <v>1178</v>
      </c>
      <c r="I290" s="11">
        <v>8610391439</v>
      </c>
      <c r="J290" s="10" t="s">
        <v>1179</v>
      </c>
      <c r="K290" s="10" t="s">
        <v>1179</v>
      </c>
      <c r="L290" s="6">
        <v>650</v>
      </c>
      <c r="M290" s="6">
        <v>650</v>
      </c>
      <c r="N290" s="7" t="s">
        <v>239</v>
      </c>
      <c r="O290" s="6" t="s">
        <v>239</v>
      </c>
      <c r="P290" s="6" t="s">
        <v>239</v>
      </c>
      <c r="Q290" s="6" t="s">
        <v>236</v>
      </c>
      <c r="R290" s="6"/>
      <c r="S290" s="6">
        <f t="shared" si="4"/>
        <v>650</v>
      </c>
      <c r="T290" s="6"/>
      <c r="U290" s="6"/>
      <c r="V290" s="6"/>
      <c r="W290" s="6" t="s">
        <v>236</v>
      </c>
      <c r="X290" s="6" t="s">
        <v>236</v>
      </c>
      <c r="Y290" s="6" t="s">
        <v>236</v>
      </c>
      <c r="Z290" s="6" t="s">
        <v>236</v>
      </c>
      <c r="AA290" s="6" t="s">
        <v>236</v>
      </c>
    </row>
    <row r="291" spans="1:27">
      <c r="A291" s="6">
        <v>290</v>
      </c>
      <c r="B291" s="6" t="s">
        <v>225</v>
      </c>
      <c r="C291" s="7">
        <v>46102</v>
      </c>
      <c r="D291" s="6" t="s">
        <v>226</v>
      </c>
      <c r="E291" s="6" t="s">
        <v>29</v>
      </c>
      <c r="F291" s="6" t="s">
        <v>267</v>
      </c>
      <c r="G291" s="6">
        <v>21</v>
      </c>
      <c r="H291" s="11" t="s">
        <v>1180</v>
      </c>
      <c r="I291" s="11">
        <v>9847239297</v>
      </c>
      <c r="J291" s="10" t="s">
        <v>1181</v>
      </c>
      <c r="K291" s="10" t="s">
        <v>1181</v>
      </c>
      <c r="L291" s="6">
        <v>972</v>
      </c>
      <c r="M291" s="6">
        <v>972</v>
      </c>
      <c r="N291" s="7" t="s">
        <v>239</v>
      </c>
      <c r="O291" s="6" t="s">
        <v>239</v>
      </c>
      <c r="P291" s="6" t="s">
        <v>239</v>
      </c>
      <c r="Q291" s="6" t="s">
        <v>236</v>
      </c>
      <c r="R291" s="6"/>
      <c r="S291" s="6">
        <f t="shared" si="4"/>
        <v>972</v>
      </c>
      <c r="T291" s="6"/>
      <c r="U291" s="6"/>
      <c r="V291" s="6"/>
      <c r="W291" s="6" t="s">
        <v>236</v>
      </c>
      <c r="X291" s="6" t="s">
        <v>236</v>
      </c>
      <c r="Y291" s="6" t="s">
        <v>236</v>
      </c>
      <c r="Z291" s="6" t="s">
        <v>236</v>
      </c>
      <c r="AA291" s="6" t="s">
        <v>236</v>
      </c>
    </row>
    <row r="292" spans="1:27">
      <c r="A292" s="6">
        <v>291</v>
      </c>
      <c r="B292" s="6" t="s">
        <v>225</v>
      </c>
      <c r="C292" s="7">
        <v>46102</v>
      </c>
      <c r="D292" s="6" t="s">
        <v>226</v>
      </c>
      <c r="E292" s="6" t="s">
        <v>29</v>
      </c>
      <c r="F292" s="6" t="s">
        <v>267</v>
      </c>
      <c r="G292" s="6">
        <v>21</v>
      </c>
      <c r="H292" s="11" t="s">
        <v>1182</v>
      </c>
      <c r="I292" s="11">
        <v>9611901842</v>
      </c>
      <c r="J292" s="10" t="s">
        <v>1183</v>
      </c>
      <c r="K292" s="10" t="s">
        <v>1183</v>
      </c>
      <c r="L292" s="6">
        <v>370</v>
      </c>
      <c r="M292" s="6">
        <v>370</v>
      </c>
      <c r="N292" s="7" t="s">
        <v>239</v>
      </c>
      <c r="O292" s="6" t="s">
        <v>239</v>
      </c>
      <c r="P292" s="6" t="s">
        <v>239</v>
      </c>
      <c r="Q292" s="6" t="s">
        <v>236</v>
      </c>
      <c r="R292" s="6"/>
      <c r="S292" s="6">
        <f t="shared" si="4"/>
        <v>370</v>
      </c>
      <c r="T292" s="6"/>
      <c r="U292" s="6"/>
      <c r="V292" s="6"/>
      <c r="W292" s="6" t="s">
        <v>236</v>
      </c>
      <c r="X292" s="6" t="s">
        <v>236</v>
      </c>
      <c r="Y292" s="6" t="s">
        <v>236</v>
      </c>
      <c r="Z292" s="6" t="s">
        <v>236</v>
      </c>
      <c r="AA292" s="6" t="s">
        <v>236</v>
      </c>
    </row>
    <row r="293" spans="1:27">
      <c r="A293" s="6">
        <v>292</v>
      </c>
      <c r="B293" s="6" t="s">
        <v>225</v>
      </c>
      <c r="C293" s="7">
        <v>46102</v>
      </c>
      <c r="D293" s="6" t="s">
        <v>226</v>
      </c>
      <c r="E293" s="6" t="s">
        <v>29</v>
      </c>
      <c r="F293" s="6" t="s">
        <v>267</v>
      </c>
      <c r="G293" s="6">
        <v>21</v>
      </c>
      <c r="H293" s="11" t="s">
        <v>1184</v>
      </c>
      <c r="I293" s="11">
        <v>9037680345</v>
      </c>
      <c r="J293" s="10" t="s">
        <v>1185</v>
      </c>
      <c r="K293" s="10" t="s">
        <v>1185</v>
      </c>
      <c r="L293" s="6">
        <v>1200</v>
      </c>
      <c r="M293" s="6">
        <v>1200</v>
      </c>
      <c r="N293" s="7" t="s">
        <v>239</v>
      </c>
      <c r="O293" s="6" t="s">
        <v>239</v>
      </c>
      <c r="P293" s="6" t="s">
        <v>239</v>
      </c>
      <c r="Q293" s="6" t="s">
        <v>236</v>
      </c>
      <c r="R293" s="6"/>
      <c r="S293" s="6">
        <f t="shared" si="4"/>
        <v>1200</v>
      </c>
      <c r="T293" s="6"/>
      <c r="U293" s="6"/>
      <c r="V293" s="6"/>
      <c r="W293" s="6" t="s">
        <v>236</v>
      </c>
      <c r="X293" s="6" t="s">
        <v>236</v>
      </c>
      <c r="Y293" s="6" t="s">
        <v>236</v>
      </c>
      <c r="Z293" s="6" t="s">
        <v>236</v>
      </c>
      <c r="AA293" s="6" t="s">
        <v>236</v>
      </c>
    </row>
    <row r="294" spans="1:27">
      <c r="A294" s="6">
        <v>293</v>
      </c>
      <c r="B294" s="6" t="s">
        <v>225</v>
      </c>
      <c r="C294" s="7">
        <v>46102</v>
      </c>
      <c r="D294" s="6" t="s">
        <v>226</v>
      </c>
      <c r="E294" s="6" t="s">
        <v>29</v>
      </c>
      <c r="F294" s="6" t="s">
        <v>267</v>
      </c>
      <c r="G294" s="6">
        <v>21</v>
      </c>
      <c r="H294" s="11" t="s">
        <v>1186</v>
      </c>
      <c r="I294" s="11">
        <v>9490412720</v>
      </c>
      <c r="J294" s="10" t="s">
        <v>1187</v>
      </c>
      <c r="K294" s="10" t="s">
        <v>1187</v>
      </c>
      <c r="L294" s="6">
        <v>640</v>
      </c>
      <c r="M294" s="6">
        <v>640</v>
      </c>
      <c r="N294" s="7" t="s">
        <v>239</v>
      </c>
      <c r="O294" s="6" t="s">
        <v>239</v>
      </c>
      <c r="P294" s="6" t="s">
        <v>239</v>
      </c>
      <c r="Q294" s="6" t="s">
        <v>236</v>
      </c>
      <c r="R294" s="6"/>
      <c r="S294" s="6">
        <f t="shared" si="4"/>
        <v>640</v>
      </c>
      <c r="T294" s="6"/>
      <c r="U294" s="6"/>
      <c r="V294" s="6"/>
      <c r="W294" s="6" t="s">
        <v>236</v>
      </c>
      <c r="X294" s="6" t="s">
        <v>236</v>
      </c>
      <c r="Y294" s="6" t="s">
        <v>236</v>
      </c>
      <c r="Z294" s="6" t="s">
        <v>236</v>
      </c>
      <c r="AA294" s="6" t="s">
        <v>236</v>
      </c>
    </row>
    <row r="295" spans="1:27">
      <c r="A295" s="6">
        <v>294</v>
      </c>
      <c r="B295" s="6" t="s">
        <v>225</v>
      </c>
      <c r="C295" s="7">
        <v>46102</v>
      </c>
      <c r="D295" s="6" t="s">
        <v>226</v>
      </c>
      <c r="E295" s="6" t="s">
        <v>29</v>
      </c>
      <c r="F295" s="6" t="s">
        <v>267</v>
      </c>
      <c r="G295" s="6">
        <v>21</v>
      </c>
      <c r="H295" s="11" t="s">
        <v>1188</v>
      </c>
      <c r="I295" s="11">
        <v>9985550907</v>
      </c>
      <c r="J295" s="10" t="s">
        <v>1189</v>
      </c>
      <c r="K295" s="10" t="s">
        <v>1189</v>
      </c>
      <c r="L295" s="6">
        <v>130</v>
      </c>
      <c r="M295" s="6">
        <v>130</v>
      </c>
      <c r="N295" s="7" t="s">
        <v>239</v>
      </c>
      <c r="O295" s="6" t="s">
        <v>239</v>
      </c>
      <c r="P295" s="6" t="s">
        <v>239</v>
      </c>
      <c r="Q295" s="6" t="s">
        <v>236</v>
      </c>
      <c r="R295" s="6"/>
      <c r="S295" s="6">
        <f t="shared" si="4"/>
        <v>130</v>
      </c>
      <c r="T295" s="6"/>
      <c r="U295" s="6"/>
      <c r="V295" s="6"/>
      <c r="W295" s="6" t="s">
        <v>236</v>
      </c>
      <c r="X295" s="6" t="s">
        <v>236</v>
      </c>
      <c r="Y295" s="6" t="s">
        <v>236</v>
      </c>
      <c r="Z295" s="6" t="s">
        <v>236</v>
      </c>
      <c r="AA295" s="6" t="s">
        <v>236</v>
      </c>
    </row>
    <row r="296" spans="1:27">
      <c r="A296" s="6">
        <v>295</v>
      </c>
      <c r="B296" s="6" t="s">
        <v>225</v>
      </c>
      <c r="C296" s="7">
        <v>46102</v>
      </c>
      <c r="D296" s="6" t="s">
        <v>226</v>
      </c>
      <c r="E296" s="6" t="s">
        <v>29</v>
      </c>
      <c r="F296" s="6" t="s">
        <v>267</v>
      </c>
      <c r="G296" s="6">
        <v>21</v>
      </c>
      <c r="H296" s="11" t="s">
        <v>1190</v>
      </c>
      <c r="I296" s="11">
        <v>8147593971</v>
      </c>
      <c r="J296" s="10" t="s">
        <v>1191</v>
      </c>
      <c r="K296" s="10" t="s">
        <v>1191</v>
      </c>
      <c r="L296" s="6">
        <v>500</v>
      </c>
      <c r="M296" s="6">
        <v>500</v>
      </c>
      <c r="N296" s="7" t="s">
        <v>239</v>
      </c>
      <c r="O296" s="6" t="s">
        <v>239</v>
      </c>
      <c r="P296" s="6" t="s">
        <v>239</v>
      </c>
      <c r="Q296" s="6" t="s">
        <v>236</v>
      </c>
      <c r="R296" s="6"/>
      <c r="S296" s="6">
        <f t="shared" si="4"/>
        <v>500</v>
      </c>
      <c r="T296" s="6"/>
      <c r="U296" s="6"/>
      <c r="V296" s="6"/>
      <c r="W296" s="6" t="s">
        <v>236</v>
      </c>
      <c r="X296" s="6" t="s">
        <v>236</v>
      </c>
      <c r="Y296" s="6" t="s">
        <v>236</v>
      </c>
      <c r="Z296" s="6" t="s">
        <v>236</v>
      </c>
      <c r="AA296" s="6" t="s">
        <v>236</v>
      </c>
    </row>
    <row r="297" spans="1:27">
      <c r="A297" s="6">
        <v>296</v>
      </c>
      <c r="B297" s="6" t="s">
        <v>225</v>
      </c>
      <c r="C297" s="7">
        <v>46102</v>
      </c>
      <c r="D297" s="6" t="s">
        <v>226</v>
      </c>
      <c r="E297" s="6" t="s">
        <v>29</v>
      </c>
      <c r="F297" s="6" t="s">
        <v>267</v>
      </c>
      <c r="G297" s="6">
        <v>21</v>
      </c>
      <c r="H297" s="11" t="s">
        <v>1192</v>
      </c>
      <c r="I297" s="11">
        <v>6304459137</v>
      </c>
      <c r="J297" s="10" t="s">
        <v>1193</v>
      </c>
      <c r="K297" s="10" t="s">
        <v>1193</v>
      </c>
      <c r="L297" s="6">
        <v>261</v>
      </c>
      <c r="M297" s="6">
        <v>261</v>
      </c>
      <c r="N297" s="7" t="s">
        <v>239</v>
      </c>
      <c r="O297" s="6" t="s">
        <v>239</v>
      </c>
      <c r="P297" s="6" t="s">
        <v>239</v>
      </c>
      <c r="Q297" s="6" t="s">
        <v>236</v>
      </c>
      <c r="R297" s="6"/>
      <c r="S297" s="6">
        <f t="shared" si="4"/>
        <v>261</v>
      </c>
      <c r="T297" s="6"/>
      <c r="U297" s="6"/>
      <c r="V297" s="6"/>
      <c r="W297" s="6" t="s">
        <v>236</v>
      </c>
      <c r="X297" s="6" t="s">
        <v>236</v>
      </c>
      <c r="Y297" s="6" t="s">
        <v>236</v>
      </c>
      <c r="Z297" s="6" t="s">
        <v>236</v>
      </c>
      <c r="AA297" s="6" t="s">
        <v>236</v>
      </c>
    </row>
    <row r="298" spans="1:27">
      <c r="A298" s="6">
        <v>297</v>
      </c>
      <c r="B298" s="6" t="s">
        <v>225</v>
      </c>
      <c r="C298" s="7">
        <v>46102</v>
      </c>
      <c r="D298" s="6" t="s">
        <v>226</v>
      </c>
      <c r="E298" s="6" t="s">
        <v>29</v>
      </c>
      <c r="F298" s="6" t="s">
        <v>267</v>
      </c>
      <c r="G298" s="6">
        <v>21</v>
      </c>
      <c r="H298" s="11" t="s">
        <v>1194</v>
      </c>
      <c r="I298" s="11">
        <v>9040515085</v>
      </c>
      <c r="J298" s="10" t="s">
        <v>1195</v>
      </c>
      <c r="K298" s="10" t="s">
        <v>1195</v>
      </c>
      <c r="L298" s="6">
        <v>180</v>
      </c>
      <c r="M298" s="6">
        <v>180</v>
      </c>
      <c r="N298" s="7" t="s">
        <v>239</v>
      </c>
      <c r="O298" s="6" t="s">
        <v>239</v>
      </c>
      <c r="P298" s="6" t="s">
        <v>239</v>
      </c>
      <c r="Q298" s="6" t="s">
        <v>236</v>
      </c>
      <c r="R298" s="6"/>
      <c r="S298" s="6">
        <f t="shared" si="4"/>
        <v>180</v>
      </c>
      <c r="T298" s="6"/>
      <c r="U298" s="6"/>
      <c r="V298" s="6"/>
      <c r="W298" s="6" t="s">
        <v>236</v>
      </c>
      <c r="X298" s="6" t="s">
        <v>236</v>
      </c>
      <c r="Y298" s="6" t="s">
        <v>236</v>
      </c>
      <c r="Z298" s="6" t="s">
        <v>236</v>
      </c>
      <c r="AA298" s="6" t="s">
        <v>236</v>
      </c>
    </row>
    <row r="299" spans="1:27">
      <c r="A299" s="6">
        <v>298</v>
      </c>
      <c r="B299" s="6" t="s">
        <v>298</v>
      </c>
      <c r="C299" s="7">
        <v>46102</v>
      </c>
      <c r="D299" s="6" t="s">
        <v>226</v>
      </c>
      <c r="E299" s="6" t="s">
        <v>29</v>
      </c>
      <c r="F299" s="6" t="s">
        <v>267</v>
      </c>
      <c r="G299" s="6">
        <v>21</v>
      </c>
      <c r="H299" s="11" t="s">
        <v>1196</v>
      </c>
      <c r="I299" s="11">
        <v>8686280326</v>
      </c>
      <c r="J299" s="10" t="s">
        <v>1197</v>
      </c>
      <c r="K299" s="10" t="s">
        <v>1197</v>
      </c>
      <c r="L299" s="6">
        <v>300</v>
      </c>
      <c r="M299" s="6">
        <v>300</v>
      </c>
      <c r="N299" s="7" t="s">
        <v>239</v>
      </c>
      <c r="O299" s="6" t="s">
        <v>239</v>
      </c>
      <c r="P299" s="6" t="s">
        <v>239</v>
      </c>
      <c r="Q299" s="6" t="s">
        <v>236</v>
      </c>
      <c r="R299" s="6"/>
      <c r="S299" s="6">
        <f t="shared" si="4"/>
        <v>300</v>
      </c>
      <c r="T299" s="6"/>
      <c r="U299" s="6"/>
      <c r="V299" s="6"/>
      <c r="W299" s="6" t="s">
        <v>236</v>
      </c>
      <c r="X299" s="6" t="s">
        <v>236</v>
      </c>
      <c r="Y299" s="6" t="s">
        <v>236</v>
      </c>
      <c r="Z299" s="6" t="s">
        <v>236</v>
      </c>
      <c r="AA299" s="6" t="s">
        <v>236</v>
      </c>
    </row>
    <row r="300" spans="1:27">
      <c r="A300" s="6">
        <v>299</v>
      </c>
      <c r="B300" s="6" t="s">
        <v>225</v>
      </c>
      <c r="C300" s="7">
        <v>46102</v>
      </c>
      <c r="D300" s="6" t="s">
        <v>226</v>
      </c>
      <c r="E300" s="6" t="s">
        <v>29</v>
      </c>
      <c r="F300" s="6" t="s">
        <v>267</v>
      </c>
      <c r="G300" s="6">
        <v>21</v>
      </c>
      <c r="H300" s="11" t="s">
        <v>1198</v>
      </c>
      <c r="I300" s="11">
        <v>9985323940</v>
      </c>
      <c r="J300" s="10" t="s">
        <v>1199</v>
      </c>
      <c r="K300" s="10" t="s">
        <v>1199</v>
      </c>
      <c r="L300" s="6">
        <v>700</v>
      </c>
      <c r="M300" s="6">
        <v>700</v>
      </c>
      <c r="N300" s="7" t="s">
        <v>239</v>
      </c>
      <c r="O300" s="6" t="s">
        <v>239</v>
      </c>
      <c r="P300" s="6" t="s">
        <v>239</v>
      </c>
      <c r="Q300" s="6" t="s">
        <v>236</v>
      </c>
      <c r="R300" s="6"/>
      <c r="S300" s="6">
        <f t="shared" si="4"/>
        <v>700</v>
      </c>
      <c r="T300" s="6"/>
      <c r="U300" s="6"/>
      <c r="V300" s="6"/>
      <c r="W300" s="6" t="s">
        <v>236</v>
      </c>
      <c r="X300" s="6" t="s">
        <v>236</v>
      </c>
      <c r="Y300" s="6" t="s">
        <v>236</v>
      </c>
      <c r="Z300" s="6" t="s">
        <v>236</v>
      </c>
      <c r="AA300" s="6" t="s">
        <v>236</v>
      </c>
    </row>
    <row r="301" spans="1:27">
      <c r="A301" s="6">
        <v>300</v>
      </c>
      <c r="B301" s="6" t="s">
        <v>298</v>
      </c>
      <c r="C301" s="7">
        <v>46102</v>
      </c>
      <c r="D301" s="6" t="s">
        <v>226</v>
      </c>
      <c r="E301" s="6" t="s">
        <v>29</v>
      </c>
      <c r="F301" s="6" t="s">
        <v>267</v>
      </c>
      <c r="G301" s="6">
        <v>21</v>
      </c>
      <c r="H301" s="11" t="s">
        <v>1200</v>
      </c>
      <c r="I301" s="11">
        <v>9847423179</v>
      </c>
      <c r="J301" s="10" t="s">
        <v>1201</v>
      </c>
      <c r="K301" s="10" t="s">
        <v>1201</v>
      </c>
      <c r="L301" s="6">
        <v>88</v>
      </c>
      <c r="M301" s="6">
        <v>88</v>
      </c>
      <c r="N301" s="7" t="s">
        <v>239</v>
      </c>
      <c r="O301" s="6" t="s">
        <v>239</v>
      </c>
      <c r="P301" s="6" t="s">
        <v>239</v>
      </c>
      <c r="Q301" s="6" t="s">
        <v>236</v>
      </c>
      <c r="R301" s="6"/>
      <c r="S301" s="6">
        <f t="shared" si="4"/>
        <v>88</v>
      </c>
      <c r="T301" s="6"/>
      <c r="U301" s="6"/>
      <c r="V301" s="6"/>
      <c r="W301" s="6" t="s">
        <v>236</v>
      </c>
      <c r="X301" s="6" t="s">
        <v>236</v>
      </c>
      <c r="Y301" s="6" t="s">
        <v>236</v>
      </c>
      <c r="Z301" s="6" t="s">
        <v>236</v>
      </c>
      <c r="AA301" s="6" t="s">
        <v>236</v>
      </c>
    </row>
    <row r="302" spans="1:27">
      <c r="A302" s="6">
        <v>301</v>
      </c>
      <c r="B302" s="6" t="s">
        <v>225</v>
      </c>
      <c r="C302" s="7">
        <v>46102</v>
      </c>
      <c r="D302" s="6" t="s">
        <v>226</v>
      </c>
      <c r="E302" s="6" t="s">
        <v>29</v>
      </c>
      <c r="F302" s="6" t="s">
        <v>267</v>
      </c>
      <c r="G302" s="6">
        <v>21</v>
      </c>
      <c r="H302" s="11" t="s">
        <v>1202</v>
      </c>
      <c r="I302" s="11">
        <v>9066791786</v>
      </c>
      <c r="J302" s="10" t="s">
        <v>1203</v>
      </c>
      <c r="K302" s="10" t="s">
        <v>1203</v>
      </c>
      <c r="L302" s="6">
        <v>300</v>
      </c>
      <c r="M302" s="6">
        <v>300</v>
      </c>
      <c r="N302" s="7" t="s">
        <v>239</v>
      </c>
      <c r="O302" s="6" t="s">
        <v>239</v>
      </c>
      <c r="P302" s="6" t="s">
        <v>239</v>
      </c>
      <c r="Q302" s="6" t="s">
        <v>236</v>
      </c>
      <c r="R302" s="6"/>
      <c r="S302" s="6">
        <f t="shared" si="4"/>
        <v>300</v>
      </c>
      <c r="T302" s="6"/>
      <c r="U302" s="6"/>
      <c r="V302" s="6"/>
      <c r="W302" s="6" t="s">
        <v>236</v>
      </c>
      <c r="X302" s="6" t="s">
        <v>236</v>
      </c>
      <c r="Y302" s="6" t="s">
        <v>236</v>
      </c>
      <c r="Z302" s="6" t="s">
        <v>236</v>
      </c>
      <c r="AA302" s="6" t="s">
        <v>236</v>
      </c>
    </row>
    <row r="303" spans="1:27">
      <c r="A303" s="6">
        <v>302</v>
      </c>
      <c r="B303" s="6" t="s">
        <v>225</v>
      </c>
      <c r="C303" s="7">
        <v>46102</v>
      </c>
      <c r="D303" s="6" t="s">
        <v>226</v>
      </c>
      <c r="E303" s="6" t="s">
        <v>29</v>
      </c>
      <c r="F303" s="6" t="s">
        <v>364</v>
      </c>
      <c r="G303" s="6">
        <v>21</v>
      </c>
      <c r="H303" s="8" t="s">
        <v>1204</v>
      </c>
      <c r="I303" s="8" t="s">
        <v>1205</v>
      </c>
      <c r="J303" s="8" t="s">
        <v>1206</v>
      </c>
      <c r="K303" s="8" t="s">
        <v>1206</v>
      </c>
      <c r="L303" s="8">
        <v>23130</v>
      </c>
      <c r="M303" s="6">
        <v>7050</v>
      </c>
      <c r="N303" s="7">
        <v>46106</v>
      </c>
      <c r="O303" s="6" t="s">
        <v>367</v>
      </c>
      <c r="P303" s="6" t="s">
        <v>52</v>
      </c>
      <c r="Q303" s="6" t="s">
        <v>367</v>
      </c>
      <c r="R303" s="6"/>
      <c r="S303" s="6">
        <f t="shared" si="4"/>
        <v>7050</v>
      </c>
      <c r="T303" s="6"/>
      <c r="U303" s="6"/>
      <c r="V303" s="6"/>
      <c r="W303" s="6" t="s">
        <v>369</v>
      </c>
      <c r="X303" s="6" t="s">
        <v>225</v>
      </c>
      <c r="Y303" s="8" t="s">
        <v>1207</v>
      </c>
      <c r="Z303" s="6" t="s">
        <v>1208</v>
      </c>
      <c r="AA303" s="6" t="s">
        <v>373</v>
      </c>
    </row>
    <row r="304" spans="1:27">
      <c r="A304" s="6">
        <v>303</v>
      </c>
      <c r="B304" s="6" t="s">
        <v>225</v>
      </c>
      <c r="C304" s="7">
        <v>46102</v>
      </c>
      <c r="D304" s="6" t="s">
        <v>226</v>
      </c>
      <c r="E304" s="6" t="s">
        <v>29</v>
      </c>
      <c r="F304" s="6" t="s">
        <v>364</v>
      </c>
      <c r="G304" s="6">
        <v>21</v>
      </c>
      <c r="H304" s="8" t="s">
        <v>1209</v>
      </c>
      <c r="I304" s="8" t="s">
        <v>1210</v>
      </c>
      <c r="J304" s="8" t="s">
        <v>1211</v>
      </c>
      <c r="K304" s="8" t="s">
        <v>1211</v>
      </c>
      <c r="L304" s="8">
        <v>28570</v>
      </c>
      <c r="M304" s="6">
        <v>18600</v>
      </c>
      <c r="N304" s="7">
        <v>46106</v>
      </c>
      <c r="O304" s="6" t="s">
        <v>666</v>
      </c>
      <c r="P304" s="6" t="s">
        <v>52</v>
      </c>
      <c r="Q304" s="6" t="s">
        <v>367</v>
      </c>
      <c r="R304" s="6">
        <v>18600</v>
      </c>
      <c r="S304" s="6">
        <f t="shared" si="4"/>
        <v>0</v>
      </c>
      <c r="T304" s="7">
        <v>46113</v>
      </c>
      <c r="U304" s="6" t="s">
        <v>1212</v>
      </c>
      <c r="V304" s="6" t="s">
        <v>54</v>
      </c>
      <c r="W304" s="6" t="s">
        <v>369</v>
      </c>
      <c r="X304" s="6" t="s">
        <v>394</v>
      </c>
      <c r="Y304" s="8" t="s">
        <v>1213</v>
      </c>
      <c r="Z304" s="6" t="s">
        <v>373</v>
      </c>
      <c r="AA304" s="6" t="s">
        <v>373</v>
      </c>
    </row>
    <row r="305" spans="1:27">
      <c r="A305" s="6">
        <v>304</v>
      </c>
      <c r="B305" s="6" t="s">
        <v>225</v>
      </c>
      <c r="C305" s="7">
        <v>46102</v>
      </c>
      <c r="D305" s="6" t="s">
        <v>226</v>
      </c>
      <c r="E305" s="6" t="s">
        <v>29</v>
      </c>
      <c r="F305" s="6" t="s">
        <v>294</v>
      </c>
      <c r="G305" s="6">
        <v>21</v>
      </c>
      <c r="H305" s="19" t="s">
        <v>1214</v>
      </c>
      <c r="I305" s="19" t="s">
        <v>1215</v>
      </c>
      <c r="J305" s="19" t="s">
        <v>1216</v>
      </c>
      <c r="K305" s="19" t="s">
        <v>1216</v>
      </c>
      <c r="L305" s="20">
        <v>14460</v>
      </c>
      <c r="M305" s="20">
        <v>4460</v>
      </c>
      <c r="N305" s="7">
        <v>46105</v>
      </c>
      <c r="O305" s="12" t="s">
        <v>298</v>
      </c>
      <c r="P305" s="6" t="s">
        <v>52</v>
      </c>
      <c r="Q305" s="6" t="s">
        <v>298</v>
      </c>
      <c r="R305" s="6">
        <v>4460</v>
      </c>
      <c r="S305" s="6">
        <f t="shared" si="4"/>
        <v>0</v>
      </c>
      <c r="T305" s="7">
        <v>46105</v>
      </c>
      <c r="U305" s="6" t="s">
        <v>1217</v>
      </c>
      <c r="V305" s="6" t="s">
        <v>54</v>
      </c>
      <c r="W305" s="19" t="s">
        <v>1089</v>
      </c>
      <c r="X305" s="19" t="s">
        <v>782</v>
      </c>
      <c r="Y305" s="19" t="s">
        <v>1218</v>
      </c>
      <c r="Z305" s="19" t="s">
        <v>160</v>
      </c>
      <c r="AA305" s="6" t="s">
        <v>235</v>
      </c>
    </row>
    <row r="306" spans="1:27">
      <c r="A306" s="6">
        <v>305</v>
      </c>
      <c r="B306" s="6" t="s">
        <v>225</v>
      </c>
      <c r="C306" s="7">
        <v>46102</v>
      </c>
      <c r="D306" s="6" t="s">
        <v>226</v>
      </c>
      <c r="E306" s="6" t="s">
        <v>29</v>
      </c>
      <c r="F306" s="6" t="s">
        <v>294</v>
      </c>
      <c r="G306" s="6">
        <v>21</v>
      </c>
      <c r="H306" s="19" t="s">
        <v>1219</v>
      </c>
      <c r="I306" s="19" t="s">
        <v>1220</v>
      </c>
      <c r="J306" s="19" t="s">
        <v>1221</v>
      </c>
      <c r="K306" s="19" t="s">
        <v>1221</v>
      </c>
      <c r="L306" s="20">
        <v>30170</v>
      </c>
      <c r="M306" s="20">
        <v>10170</v>
      </c>
      <c r="N306" s="7">
        <v>46103</v>
      </c>
      <c r="O306" s="12" t="s">
        <v>1222</v>
      </c>
      <c r="P306" s="6" t="s">
        <v>52</v>
      </c>
      <c r="Q306" s="6" t="s">
        <v>298</v>
      </c>
      <c r="R306" s="6">
        <v>10000</v>
      </c>
      <c r="S306" s="6">
        <f t="shared" si="4"/>
        <v>170</v>
      </c>
      <c r="T306" s="7">
        <v>46103</v>
      </c>
      <c r="U306" s="6" t="s">
        <v>1223</v>
      </c>
      <c r="V306" s="6" t="s">
        <v>54</v>
      </c>
      <c r="W306" s="19" t="s">
        <v>298</v>
      </c>
      <c r="X306" s="19" t="s">
        <v>775</v>
      </c>
      <c r="Y306" s="19" t="s">
        <v>1224</v>
      </c>
      <c r="Z306" s="19" t="s">
        <v>582</v>
      </c>
      <c r="AA306" s="6" t="s">
        <v>235</v>
      </c>
    </row>
    <row r="307" spans="1:27">
      <c r="A307" s="6">
        <v>306</v>
      </c>
      <c r="B307" s="6" t="s">
        <v>225</v>
      </c>
      <c r="C307" s="7">
        <v>46102</v>
      </c>
      <c r="D307" s="6" t="s">
        <v>226</v>
      </c>
      <c r="E307" s="6" t="s">
        <v>29</v>
      </c>
      <c r="F307" s="6" t="s">
        <v>294</v>
      </c>
      <c r="G307" s="6">
        <v>21</v>
      </c>
      <c r="H307" s="19" t="s">
        <v>1225</v>
      </c>
      <c r="I307" s="19" t="s">
        <v>1226</v>
      </c>
      <c r="J307" s="19" t="s">
        <v>1227</v>
      </c>
      <c r="K307" s="19" t="s">
        <v>1227</v>
      </c>
      <c r="L307" s="20">
        <v>25040</v>
      </c>
      <c r="M307" s="20">
        <v>5840</v>
      </c>
      <c r="N307" s="7">
        <v>46115</v>
      </c>
      <c r="O307" s="12" t="s">
        <v>1222</v>
      </c>
      <c r="P307" s="6" t="s">
        <v>52</v>
      </c>
      <c r="Q307" s="6" t="s">
        <v>298</v>
      </c>
      <c r="R307" s="6">
        <f>1900+1100+1000+1040+800</f>
        <v>5840</v>
      </c>
      <c r="S307" s="6">
        <f t="shared" si="4"/>
        <v>0</v>
      </c>
      <c r="T307" s="7">
        <v>46105</v>
      </c>
      <c r="U307" s="6" t="s">
        <v>1228</v>
      </c>
      <c r="V307" s="6" t="s">
        <v>54</v>
      </c>
      <c r="W307" s="19" t="s">
        <v>298</v>
      </c>
      <c r="X307" s="19" t="s">
        <v>1229</v>
      </c>
      <c r="Y307" s="19" t="s">
        <v>1230</v>
      </c>
      <c r="Z307" s="19" t="s">
        <v>1231</v>
      </c>
      <c r="AA307" s="6" t="s">
        <v>235</v>
      </c>
    </row>
    <row r="308" spans="1:27">
      <c r="A308" s="6">
        <v>307</v>
      </c>
      <c r="B308" s="6" t="s">
        <v>225</v>
      </c>
      <c r="C308" s="7">
        <v>46102</v>
      </c>
      <c r="D308" s="6" t="s">
        <v>226</v>
      </c>
      <c r="E308" s="6" t="s">
        <v>29</v>
      </c>
      <c r="F308" s="6" t="s">
        <v>294</v>
      </c>
      <c r="G308" s="6">
        <v>21</v>
      </c>
      <c r="H308" s="19" t="s">
        <v>1232</v>
      </c>
      <c r="I308" s="19" t="s">
        <v>1233</v>
      </c>
      <c r="J308" s="19" t="s">
        <v>1234</v>
      </c>
      <c r="K308" s="19" t="s">
        <v>1234</v>
      </c>
      <c r="L308" s="20">
        <v>3160</v>
      </c>
      <c r="M308" s="20">
        <v>3160</v>
      </c>
      <c r="N308" s="7" t="s">
        <v>239</v>
      </c>
      <c r="O308" s="6" t="s">
        <v>239</v>
      </c>
      <c r="P308" s="6" t="s">
        <v>239</v>
      </c>
      <c r="Q308" s="6" t="s">
        <v>298</v>
      </c>
      <c r="R308" s="6"/>
      <c r="S308" s="6">
        <f t="shared" si="4"/>
        <v>3160</v>
      </c>
      <c r="T308" s="6"/>
      <c r="U308" s="6"/>
      <c r="V308" s="6"/>
      <c r="W308" s="19" t="s">
        <v>298</v>
      </c>
      <c r="X308" s="19" t="s">
        <v>832</v>
      </c>
      <c r="Y308" s="19" t="s">
        <v>1235</v>
      </c>
      <c r="Z308" s="19" t="s">
        <v>834</v>
      </c>
      <c r="AA308" s="6" t="s">
        <v>235</v>
      </c>
    </row>
    <row r="309" spans="1:27">
      <c r="A309" s="6">
        <v>308</v>
      </c>
      <c r="B309" s="6" t="s">
        <v>225</v>
      </c>
      <c r="C309" s="7">
        <v>46102</v>
      </c>
      <c r="D309" s="6" t="s">
        <v>226</v>
      </c>
      <c r="E309" s="6" t="s">
        <v>29</v>
      </c>
      <c r="F309" s="6" t="s">
        <v>294</v>
      </c>
      <c r="G309" s="6">
        <v>21</v>
      </c>
      <c r="H309" s="19" t="s">
        <v>1236</v>
      </c>
      <c r="I309" s="19" t="s">
        <v>1237</v>
      </c>
      <c r="J309" s="19" t="s">
        <v>1238</v>
      </c>
      <c r="K309" s="19" t="s">
        <v>1238</v>
      </c>
      <c r="L309" s="20">
        <v>1600</v>
      </c>
      <c r="M309" s="20">
        <v>1600</v>
      </c>
      <c r="N309" s="7" t="s">
        <v>239</v>
      </c>
      <c r="O309" s="6" t="s">
        <v>239</v>
      </c>
      <c r="P309" s="6" t="s">
        <v>239</v>
      </c>
      <c r="Q309" s="6" t="s">
        <v>298</v>
      </c>
      <c r="R309" s="6"/>
      <c r="S309" s="6">
        <f t="shared" si="4"/>
        <v>1600</v>
      </c>
      <c r="T309" s="6"/>
      <c r="U309" s="6"/>
      <c r="V309" s="6"/>
      <c r="W309" s="19" t="s">
        <v>298</v>
      </c>
      <c r="X309" s="19" t="s">
        <v>1229</v>
      </c>
      <c r="Y309" s="19" t="s">
        <v>1239</v>
      </c>
      <c r="Z309" s="19" t="s">
        <v>1240</v>
      </c>
      <c r="AA309" s="6" t="s">
        <v>235</v>
      </c>
    </row>
    <row r="310" spans="1:27">
      <c r="A310" s="6">
        <v>309</v>
      </c>
      <c r="B310" s="6" t="s">
        <v>225</v>
      </c>
      <c r="C310" s="7">
        <v>46102</v>
      </c>
      <c r="D310" s="6" t="s">
        <v>226</v>
      </c>
      <c r="E310" s="6" t="s">
        <v>29</v>
      </c>
      <c r="F310" s="6" t="s">
        <v>294</v>
      </c>
      <c r="G310" s="6">
        <v>21</v>
      </c>
      <c r="H310" s="19" t="s">
        <v>1241</v>
      </c>
      <c r="I310" s="19" t="s">
        <v>1242</v>
      </c>
      <c r="J310" s="19" t="s">
        <v>1243</v>
      </c>
      <c r="K310" s="19" t="s">
        <v>1243</v>
      </c>
      <c r="L310" s="20">
        <v>37968</v>
      </c>
      <c r="M310" s="20">
        <v>37968</v>
      </c>
      <c r="N310" s="7"/>
      <c r="O310" s="12" t="s">
        <v>1222</v>
      </c>
      <c r="P310" s="6" t="s">
        <v>52</v>
      </c>
      <c r="Q310" s="6" t="s">
        <v>298</v>
      </c>
      <c r="R310" s="6">
        <f>2639+8000</f>
        <v>10639</v>
      </c>
      <c r="S310" s="6">
        <f t="shared" si="4"/>
        <v>27329</v>
      </c>
      <c r="T310" s="7"/>
      <c r="U310" s="6" t="s">
        <v>1244</v>
      </c>
      <c r="V310" s="6"/>
      <c r="W310" s="19" t="s">
        <v>298</v>
      </c>
      <c r="X310" s="19" t="s">
        <v>178</v>
      </c>
      <c r="Y310" s="19" t="s">
        <v>1245</v>
      </c>
      <c r="Z310" s="19" t="s">
        <v>178</v>
      </c>
      <c r="AA310" s="6" t="s">
        <v>235</v>
      </c>
    </row>
    <row r="311" spans="1:27">
      <c r="A311" s="6">
        <v>310</v>
      </c>
      <c r="B311" s="6" t="s">
        <v>225</v>
      </c>
      <c r="C311" s="7">
        <v>46102</v>
      </c>
      <c r="D311" s="6" t="s">
        <v>226</v>
      </c>
      <c r="E311" s="6" t="s">
        <v>29</v>
      </c>
      <c r="F311" s="6" t="s">
        <v>294</v>
      </c>
      <c r="G311" s="6">
        <v>21</v>
      </c>
      <c r="H311" s="19" t="s">
        <v>1246</v>
      </c>
      <c r="I311" s="19" t="s">
        <v>1247</v>
      </c>
      <c r="J311" s="19" t="s">
        <v>1248</v>
      </c>
      <c r="K311" s="19" t="s">
        <v>1248</v>
      </c>
      <c r="L311" s="20">
        <v>25210</v>
      </c>
      <c r="M311" s="20">
        <v>25210</v>
      </c>
      <c r="N311" s="7">
        <v>46113</v>
      </c>
      <c r="O311" s="12" t="s">
        <v>298</v>
      </c>
      <c r="P311" s="6" t="s">
        <v>52</v>
      </c>
      <c r="Q311" s="6" t="s">
        <v>298</v>
      </c>
      <c r="R311" s="6">
        <f>10000+10000+4000+1210</f>
        <v>25210</v>
      </c>
      <c r="S311" s="6">
        <f t="shared" si="4"/>
        <v>0</v>
      </c>
      <c r="T311" s="7">
        <v>46134</v>
      </c>
      <c r="U311" s="6" t="s">
        <v>1249</v>
      </c>
      <c r="V311" s="6" t="s">
        <v>54</v>
      </c>
      <c r="W311" s="19" t="s">
        <v>1089</v>
      </c>
      <c r="X311" s="19" t="s">
        <v>782</v>
      </c>
      <c r="Y311" s="19" t="s">
        <v>1250</v>
      </c>
      <c r="Z311" s="19" t="s">
        <v>821</v>
      </c>
      <c r="AA311" s="6" t="s">
        <v>235</v>
      </c>
    </row>
    <row r="312" spans="1:27">
      <c r="A312" s="6">
        <v>311</v>
      </c>
      <c r="B312" s="6" t="s">
        <v>225</v>
      </c>
      <c r="C312" s="7">
        <v>46102</v>
      </c>
      <c r="D312" s="6" t="s">
        <v>226</v>
      </c>
      <c r="E312" s="6" t="s">
        <v>29</v>
      </c>
      <c r="F312" s="6" t="s">
        <v>294</v>
      </c>
      <c r="G312" s="6">
        <v>21</v>
      </c>
      <c r="H312" s="19" t="s">
        <v>1251</v>
      </c>
      <c r="I312" s="19" t="s">
        <v>1252</v>
      </c>
      <c r="J312" s="19" t="s">
        <v>1253</v>
      </c>
      <c r="K312" s="19" t="s">
        <v>1253</v>
      </c>
      <c r="L312" s="20">
        <v>1950</v>
      </c>
      <c r="M312" s="20">
        <v>1950</v>
      </c>
      <c r="N312" s="7" t="s">
        <v>239</v>
      </c>
      <c r="O312" s="6" t="s">
        <v>239</v>
      </c>
      <c r="P312" s="6" t="s">
        <v>239</v>
      </c>
      <c r="Q312" s="6" t="s">
        <v>298</v>
      </c>
      <c r="R312" s="6"/>
      <c r="S312" s="6">
        <f t="shared" si="4"/>
        <v>1950</v>
      </c>
      <c r="T312" s="6"/>
      <c r="U312" s="6"/>
      <c r="V312" s="6"/>
      <c r="W312" s="19" t="s">
        <v>298</v>
      </c>
      <c r="X312" s="19" t="s">
        <v>1254</v>
      </c>
      <c r="Y312" s="19" t="s">
        <v>1255</v>
      </c>
      <c r="Z312" s="19" t="s">
        <v>126</v>
      </c>
      <c r="AA312" s="6" t="s">
        <v>235</v>
      </c>
    </row>
    <row r="313" spans="1:27">
      <c r="A313" s="6">
        <v>312</v>
      </c>
      <c r="B313" s="6" t="s">
        <v>225</v>
      </c>
      <c r="C313" s="7">
        <v>46102</v>
      </c>
      <c r="D313" s="6" t="s">
        <v>226</v>
      </c>
      <c r="E313" s="6" t="s">
        <v>29</v>
      </c>
      <c r="F313" s="6" t="s">
        <v>294</v>
      </c>
      <c r="G313" s="6">
        <v>21</v>
      </c>
      <c r="H313" s="19" t="s">
        <v>1256</v>
      </c>
      <c r="I313" s="19" t="s">
        <v>1257</v>
      </c>
      <c r="J313" s="19" t="s">
        <v>1258</v>
      </c>
      <c r="K313" s="19" t="s">
        <v>1258</v>
      </c>
      <c r="L313" s="20">
        <v>4820</v>
      </c>
      <c r="M313" s="20">
        <v>4820</v>
      </c>
      <c r="N313" s="7" t="s">
        <v>239</v>
      </c>
      <c r="O313" s="6" t="s">
        <v>239</v>
      </c>
      <c r="P313" s="6" t="s">
        <v>239</v>
      </c>
      <c r="Q313" s="6" t="s">
        <v>298</v>
      </c>
      <c r="R313" s="6"/>
      <c r="S313" s="6">
        <f t="shared" si="4"/>
        <v>4820</v>
      </c>
      <c r="T313" s="6"/>
      <c r="U313" s="6"/>
      <c r="V313" s="6"/>
      <c r="W313" s="19" t="s">
        <v>298</v>
      </c>
      <c r="X313" s="19" t="s">
        <v>832</v>
      </c>
      <c r="Y313" s="19" t="s">
        <v>1259</v>
      </c>
      <c r="Z313" s="19" t="s">
        <v>834</v>
      </c>
      <c r="AA313" s="6" t="s">
        <v>235</v>
      </c>
    </row>
    <row r="314" spans="1:27">
      <c r="A314" s="6">
        <v>313</v>
      </c>
      <c r="B314" s="6" t="s">
        <v>225</v>
      </c>
      <c r="C314" s="7">
        <v>46102</v>
      </c>
      <c r="D314" s="6" t="s">
        <v>226</v>
      </c>
      <c r="E314" s="6" t="s">
        <v>29</v>
      </c>
      <c r="F314" s="6" t="s">
        <v>294</v>
      </c>
      <c r="G314" s="6">
        <v>21</v>
      </c>
      <c r="H314" s="19" t="s">
        <v>1260</v>
      </c>
      <c r="I314" s="19" t="s">
        <v>1261</v>
      </c>
      <c r="J314" s="19" t="s">
        <v>1262</v>
      </c>
      <c r="K314" s="19" t="s">
        <v>1262</v>
      </c>
      <c r="L314" s="20">
        <v>3730</v>
      </c>
      <c r="M314" s="20">
        <v>3730</v>
      </c>
      <c r="N314" s="7" t="s">
        <v>239</v>
      </c>
      <c r="O314" s="6" t="s">
        <v>239</v>
      </c>
      <c r="P314" s="6" t="s">
        <v>239</v>
      </c>
      <c r="Q314" s="6" t="s">
        <v>298</v>
      </c>
      <c r="R314" s="6"/>
      <c r="S314" s="6">
        <f t="shared" si="4"/>
        <v>3730</v>
      </c>
      <c r="T314" s="6"/>
      <c r="U314" s="6"/>
      <c r="V314" s="6"/>
      <c r="W314" s="19" t="s">
        <v>298</v>
      </c>
      <c r="X314" s="19" t="s">
        <v>796</v>
      </c>
      <c r="Y314" s="19" t="s">
        <v>1263</v>
      </c>
      <c r="Z314" s="19" t="s">
        <v>309</v>
      </c>
      <c r="AA314" s="6" t="s">
        <v>235</v>
      </c>
    </row>
    <row r="315" spans="1:27">
      <c r="A315" s="6">
        <v>314</v>
      </c>
      <c r="B315" s="6" t="s">
        <v>225</v>
      </c>
      <c r="C315" s="7">
        <v>46102</v>
      </c>
      <c r="D315" s="6" t="s">
        <v>226</v>
      </c>
      <c r="E315" s="6" t="s">
        <v>29</v>
      </c>
      <c r="F315" s="6" t="s">
        <v>294</v>
      </c>
      <c r="G315" s="6">
        <v>21</v>
      </c>
      <c r="H315" s="19" t="s">
        <v>1264</v>
      </c>
      <c r="I315" s="19" t="s">
        <v>1265</v>
      </c>
      <c r="J315" s="19" t="s">
        <v>1266</v>
      </c>
      <c r="K315" s="19" t="s">
        <v>1266</v>
      </c>
      <c r="L315" s="20">
        <v>3800</v>
      </c>
      <c r="M315" s="20">
        <v>3800</v>
      </c>
      <c r="N315" s="7" t="s">
        <v>239</v>
      </c>
      <c r="O315" s="6" t="s">
        <v>239</v>
      </c>
      <c r="P315" s="6" t="s">
        <v>239</v>
      </c>
      <c r="Q315" s="6" t="s">
        <v>298</v>
      </c>
      <c r="R315" s="6"/>
      <c r="S315" s="6">
        <f t="shared" si="4"/>
        <v>3800</v>
      </c>
      <c r="T315" s="6"/>
      <c r="U315" s="6"/>
      <c r="V315" s="6"/>
      <c r="W315" s="19" t="s">
        <v>298</v>
      </c>
      <c r="X315" s="19" t="s">
        <v>845</v>
      </c>
      <c r="Y315" s="19" t="s">
        <v>1267</v>
      </c>
      <c r="Z315" s="19" t="s">
        <v>1268</v>
      </c>
      <c r="AA315" s="6" t="s">
        <v>235</v>
      </c>
    </row>
    <row r="316" spans="1:27">
      <c r="A316" s="6">
        <v>315</v>
      </c>
      <c r="B316" s="6" t="s">
        <v>225</v>
      </c>
      <c r="C316" s="7">
        <v>46102</v>
      </c>
      <c r="D316" s="6" t="s">
        <v>226</v>
      </c>
      <c r="E316" s="6" t="s">
        <v>29</v>
      </c>
      <c r="F316" s="6" t="s">
        <v>294</v>
      </c>
      <c r="G316" s="6">
        <v>21</v>
      </c>
      <c r="H316" s="19" t="s">
        <v>1269</v>
      </c>
      <c r="I316" s="19" t="s">
        <v>1270</v>
      </c>
      <c r="J316" s="19" t="s">
        <v>1271</v>
      </c>
      <c r="K316" s="19" t="s">
        <v>1271</v>
      </c>
      <c r="L316" s="20">
        <v>10490</v>
      </c>
      <c r="M316" s="20">
        <v>10490</v>
      </c>
      <c r="N316" s="7" t="s">
        <v>239</v>
      </c>
      <c r="O316" s="6" t="s">
        <v>239</v>
      </c>
      <c r="P316" s="6" t="s">
        <v>239</v>
      </c>
      <c r="Q316" s="6" t="s">
        <v>298</v>
      </c>
      <c r="R316" s="6"/>
      <c r="S316" s="6">
        <f t="shared" si="4"/>
        <v>10490</v>
      </c>
      <c r="T316" s="6"/>
      <c r="U316" s="6"/>
      <c r="V316" s="6"/>
      <c r="W316" s="19" t="s">
        <v>298</v>
      </c>
      <c r="X316" s="19" t="s">
        <v>316</v>
      </c>
      <c r="Y316" s="19" t="s">
        <v>1272</v>
      </c>
      <c r="Z316" s="19" t="s">
        <v>318</v>
      </c>
      <c r="AA316" s="6" t="s">
        <v>235</v>
      </c>
    </row>
    <row r="317" spans="1:27">
      <c r="A317" s="6">
        <v>316</v>
      </c>
      <c r="B317" s="6" t="s">
        <v>225</v>
      </c>
      <c r="C317" s="7">
        <v>46102</v>
      </c>
      <c r="D317" s="6" t="s">
        <v>226</v>
      </c>
      <c r="E317" s="6" t="s">
        <v>29</v>
      </c>
      <c r="F317" s="6" t="s">
        <v>294</v>
      </c>
      <c r="G317" s="6">
        <v>21</v>
      </c>
      <c r="H317" s="19" t="s">
        <v>1273</v>
      </c>
      <c r="I317" s="19" t="s">
        <v>1274</v>
      </c>
      <c r="J317" s="19" t="s">
        <v>1275</v>
      </c>
      <c r="K317" s="19" t="s">
        <v>1275</v>
      </c>
      <c r="L317" s="20">
        <v>5000</v>
      </c>
      <c r="M317" s="20">
        <v>5000</v>
      </c>
      <c r="N317" s="7" t="s">
        <v>239</v>
      </c>
      <c r="O317" s="6" t="s">
        <v>239</v>
      </c>
      <c r="P317" s="6" t="s">
        <v>239</v>
      </c>
      <c r="Q317" s="6" t="s">
        <v>298</v>
      </c>
      <c r="R317" s="6"/>
      <c r="S317" s="6">
        <f t="shared" si="4"/>
        <v>5000</v>
      </c>
      <c r="T317" s="6"/>
      <c r="U317" s="6"/>
      <c r="V317" s="6"/>
      <c r="W317" s="19" t="s">
        <v>298</v>
      </c>
      <c r="X317" s="19" t="s">
        <v>300</v>
      </c>
      <c r="Y317" s="19" t="s">
        <v>1276</v>
      </c>
      <c r="Z317" s="19" t="s">
        <v>302</v>
      </c>
      <c r="AA317" s="6" t="s">
        <v>235</v>
      </c>
    </row>
    <row r="318" spans="1:27">
      <c r="A318" s="6">
        <v>317</v>
      </c>
      <c r="B318" s="6" t="s">
        <v>225</v>
      </c>
      <c r="C318" s="7">
        <v>46102</v>
      </c>
      <c r="D318" s="6" t="s">
        <v>226</v>
      </c>
      <c r="E318" s="6" t="s">
        <v>29</v>
      </c>
      <c r="F318" s="6" t="s">
        <v>294</v>
      </c>
      <c r="G318" s="6">
        <v>21</v>
      </c>
      <c r="H318" s="19" t="s">
        <v>1277</v>
      </c>
      <c r="I318" s="19" t="s">
        <v>1278</v>
      </c>
      <c r="J318" s="19" t="s">
        <v>1279</v>
      </c>
      <c r="K318" s="19" t="s">
        <v>1279</v>
      </c>
      <c r="L318" s="20">
        <v>3360</v>
      </c>
      <c r="M318" s="20">
        <v>3360</v>
      </c>
      <c r="N318" s="7" t="s">
        <v>239</v>
      </c>
      <c r="O318" s="6" t="s">
        <v>239</v>
      </c>
      <c r="P318" s="6" t="s">
        <v>239</v>
      </c>
      <c r="Q318" s="6" t="s">
        <v>298</v>
      </c>
      <c r="R318" s="6"/>
      <c r="S318" s="6">
        <f t="shared" si="4"/>
        <v>3360</v>
      </c>
      <c r="T318" s="6"/>
      <c r="U318" s="6"/>
      <c r="V318" s="6"/>
      <c r="W318" s="19" t="s">
        <v>298</v>
      </c>
      <c r="X318" s="19" t="s">
        <v>1280</v>
      </c>
      <c r="Y318" s="19" t="s">
        <v>1281</v>
      </c>
      <c r="Z318" s="19" t="s">
        <v>40</v>
      </c>
      <c r="AA318" s="6" t="s">
        <v>235</v>
      </c>
    </row>
    <row r="319" spans="1:27">
      <c r="A319" s="6">
        <v>318</v>
      </c>
      <c r="B319" s="6" t="s">
        <v>939</v>
      </c>
      <c r="C319" s="7">
        <v>46103</v>
      </c>
      <c r="D319" s="6" t="s">
        <v>933</v>
      </c>
      <c r="E319" s="6" t="s">
        <v>29</v>
      </c>
      <c r="F319" s="6" t="s">
        <v>336</v>
      </c>
      <c r="G319" s="6">
        <v>22</v>
      </c>
      <c r="H319" s="6" t="s">
        <v>1282</v>
      </c>
      <c r="I319" s="6" t="s">
        <v>1283</v>
      </c>
      <c r="J319" s="10" t="s">
        <v>1284</v>
      </c>
      <c r="K319" s="6" t="s">
        <v>1285</v>
      </c>
      <c r="L319" s="6">
        <v>2688</v>
      </c>
      <c r="M319" s="6">
        <v>2690</v>
      </c>
      <c r="N319" s="7" t="s">
        <v>239</v>
      </c>
      <c r="O319" s="6" t="s">
        <v>239</v>
      </c>
      <c r="P319" s="6" t="s">
        <v>239</v>
      </c>
      <c r="Q319" s="6" t="s">
        <v>939</v>
      </c>
      <c r="R319" s="6"/>
      <c r="S319" s="6">
        <f t="shared" si="4"/>
        <v>2690</v>
      </c>
      <c r="T319" s="6"/>
      <c r="U319" s="6"/>
      <c r="V319" s="6"/>
      <c r="W319" s="6" t="s">
        <v>1286</v>
      </c>
      <c r="X319" s="6" t="s">
        <v>1287</v>
      </c>
      <c r="Y319" s="6" t="s">
        <v>1288</v>
      </c>
      <c r="Z319" s="6" t="s">
        <v>1289</v>
      </c>
      <c r="AA319" s="6" t="s">
        <v>235</v>
      </c>
    </row>
    <row r="320" spans="1:27">
      <c r="A320" s="6">
        <v>319</v>
      </c>
      <c r="B320" s="6" t="s">
        <v>939</v>
      </c>
      <c r="C320" s="7">
        <v>46103</v>
      </c>
      <c r="D320" s="6" t="s">
        <v>933</v>
      </c>
      <c r="E320" s="6" t="s">
        <v>29</v>
      </c>
      <c r="F320" s="6" t="s">
        <v>336</v>
      </c>
      <c r="G320" s="6">
        <v>22</v>
      </c>
      <c r="H320" s="6" t="s">
        <v>1290</v>
      </c>
      <c r="I320" s="6" t="s">
        <v>1291</v>
      </c>
      <c r="J320" s="10" t="s">
        <v>1292</v>
      </c>
      <c r="K320" s="10" t="s">
        <v>1292</v>
      </c>
      <c r="L320" s="14">
        <v>2958</v>
      </c>
      <c r="M320" s="6">
        <v>960</v>
      </c>
      <c r="N320" s="7">
        <v>46109</v>
      </c>
      <c r="O320" s="6" t="s">
        <v>1286</v>
      </c>
      <c r="P320" s="6" t="s">
        <v>52</v>
      </c>
      <c r="Q320" s="6" t="s">
        <v>939</v>
      </c>
      <c r="R320" s="6">
        <v>960</v>
      </c>
      <c r="S320" s="6">
        <f t="shared" si="4"/>
        <v>0</v>
      </c>
      <c r="T320" s="7">
        <v>46109</v>
      </c>
      <c r="U320" s="6" t="s">
        <v>1293</v>
      </c>
      <c r="V320" s="6" t="s">
        <v>54</v>
      </c>
      <c r="W320" s="6" t="s">
        <v>1286</v>
      </c>
      <c r="X320" s="6" t="s">
        <v>1294</v>
      </c>
      <c r="Y320" s="6" t="s">
        <v>1295</v>
      </c>
      <c r="Z320" s="6" t="s">
        <v>119</v>
      </c>
      <c r="AA320" s="6" t="s">
        <v>235</v>
      </c>
    </row>
    <row r="321" spans="1:27">
      <c r="A321" s="6">
        <v>320</v>
      </c>
      <c r="B321" s="6" t="s">
        <v>225</v>
      </c>
      <c r="C321" s="7">
        <v>46103</v>
      </c>
      <c r="D321" s="6" t="s">
        <v>226</v>
      </c>
      <c r="E321" s="6" t="s">
        <v>29</v>
      </c>
      <c r="F321" s="6" t="s">
        <v>746</v>
      </c>
      <c r="G321" s="6">
        <v>23</v>
      </c>
      <c r="H321" s="11" t="s">
        <v>1296</v>
      </c>
      <c r="I321" s="11">
        <v>9700456151</v>
      </c>
      <c r="J321" s="10" t="s">
        <v>1297</v>
      </c>
      <c r="K321" s="10" t="s">
        <v>1297</v>
      </c>
      <c r="L321" s="6">
        <v>1955</v>
      </c>
      <c r="M321" s="6">
        <v>1955</v>
      </c>
      <c r="N321" s="7" t="s">
        <v>239</v>
      </c>
      <c r="O321" s="6" t="s">
        <v>239</v>
      </c>
      <c r="P321" s="6" t="s">
        <v>239</v>
      </c>
      <c r="Q321" s="6" t="s">
        <v>236</v>
      </c>
      <c r="R321" s="6"/>
      <c r="S321" s="6">
        <f t="shared" si="4"/>
        <v>1955</v>
      </c>
      <c r="T321" s="6"/>
      <c r="U321" s="6"/>
      <c r="V321" s="6"/>
      <c r="W321" s="6" t="s">
        <v>236</v>
      </c>
      <c r="X321" s="6" t="s">
        <v>236</v>
      </c>
      <c r="Y321" s="6" t="s">
        <v>236</v>
      </c>
      <c r="Z321" s="6" t="s">
        <v>236</v>
      </c>
      <c r="AA321" s="6" t="s">
        <v>236</v>
      </c>
    </row>
    <row r="322" spans="1:27">
      <c r="A322" s="6">
        <v>321</v>
      </c>
      <c r="B322" s="6" t="s">
        <v>225</v>
      </c>
      <c r="C322" s="7">
        <v>46103</v>
      </c>
      <c r="D322" s="6" t="s">
        <v>226</v>
      </c>
      <c r="E322" s="6" t="s">
        <v>29</v>
      </c>
      <c r="F322" s="6" t="s">
        <v>746</v>
      </c>
      <c r="G322" s="6">
        <v>23</v>
      </c>
      <c r="H322" s="11" t="s">
        <v>1298</v>
      </c>
      <c r="I322" s="11">
        <v>9885526364</v>
      </c>
      <c r="J322" s="10" t="s">
        <v>1299</v>
      </c>
      <c r="K322" s="10" t="s">
        <v>1299</v>
      </c>
      <c r="L322" s="6">
        <v>1910</v>
      </c>
      <c r="M322" s="6">
        <v>1910</v>
      </c>
      <c r="N322" s="7" t="s">
        <v>239</v>
      </c>
      <c r="O322" s="6" t="s">
        <v>239</v>
      </c>
      <c r="P322" s="6" t="s">
        <v>239</v>
      </c>
      <c r="Q322" s="6" t="s">
        <v>236</v>
      </c>
      <c r="R322" s="6"/>
      <c r="S322" s="6">
        <f t="shared" si="4"/>
        <v>1910</v>
      </c>
      <c r="T322" s="6"/>
      <c r="U322" s="6"/>
      <c r="V322" s="6"/>
      <c r="W322" s="6" t="s">
        <v>236</v>
      </c>
      <c r="X322" s="6" t="s">
        <v>236</v>
      </c>
      <c r="Y322" s="6" t="s">
        <v>236</v>
      </c>
      <c r="Z322" s="6" t="s">
        <v>236</v>
      </c>
      <c r="AA322" s="6" t="s">
        <v>236</v>
      </c>
    </row>
    <row r="323" spans="1:27">
      <c r="A323" s="6">
        <v>322</v>
      </c>
      <c r="B323" s="6" t="s">
        <v>225</v>
      </c>
      <c r="C323" s="7">
        <v>46103</v>
      </c>
      <c r="D323" s="6" t="s">
        <v>226</v>
      </c>
      <c r="E323" s="6" t="s">
        <v>29</v>
      </c>
      <c r="F323" s="6" t="s">
        <v>746</v>
      </c>
      <c r="G323" s="6">
        <v>23</v>
      </c>
      <c r="H323" s="11" t="s">
        <v>1300</v>
      </c>
      <c r="I323" s="11">
        <v>9952898887</v>
      </c>
      <c r="J323" s="10" t="s">
        <v>1301</v>
      </c>
      <c r="K323" s="10" t="s">
        <v>1301</v>
      </c>
      <c r="L323" s="6">
        <v>100</v>
      </c>
      <c r="M323" s="6">
        <v>100</v>
      </c>
      <c r="N323" s="7" t="s">
        <v>239</v>
      </c>
      <c r="O323" s="6" t="s">
        <v>239</v>
      </c>
      <c r="P323" s="6" t="s">
        <v>239</v>
      </c>
      <c r="Q323" s="6" t="s">
        <v>236</v>
      </c>
      <c r="R323" s="6"/>
      <c r="S323" s="6">
        <f t="shared" ref="S323:S386" si="5">M323-R323</f>
        <v>100</v>
      </c>
      <c r="T323" s="6"/>
      <c r="U323" s="6"/>
      <c r="V323" s="6"/>
      <c r="W323" s="6" t="s">
        <v>236</v>
      </c>
      <c r="X323" s="6" t="s">
        <v>236</v>
      </c>
      <c r="Y323" s="6" t="s">
        <v>236</v>
      </c>
      <c r="Z323" s="6" t="s">
        <v>236</v>
      </c>
      <c r="AA323" s="6" t="s">
        <v>236</v>
      </c>
    </row>
    <row r="324" spans="1:27">
      <c r="A324" s="6">
        <v>323</v>
      </c>
      <c r="B324" s="6" t="s">
        <v>225</v>
      </c>
      <c r="C324" s="7">
        <v>46103</v>
      </c>
      <c r="D324" s="6" t="s">
        <v>226</v>
      </c>
      <c r="E324" s="6" t="s">
        <v>29</v>
      </c>
      <c r="F324" s="6" t="s">
        <v>746</v>
      </c>
      <c r="G324" s="6">
        <v>23</v>
      </c>
      <c r="H324" s="11" t="s">
        <v>1302</v>
      </c>
      <c r="I324" s="11">
        <v>9551802684</v>
      </c>
      <c r="J324" s="10" t="s">
        <v>1303</v>
      </c>
      <c r="K324" s="10" t="s">
        <v>1303</v>
      </c>
      <c r="L324" s="6">
        <v>170</v>
      </c>
      <c r="M324" s="6">
        <v>170</v>
      </c>
      <c r="N324" s="7" t="s">
        <v>239</v>
      </c>
      <c r="O324" s="6" t="s">
        <v>239</v>
      </c>
      <c r="P324" s="6" t="s">
        <v>239</v>
      </c>
      <c r="Q324" s="6" t="s">
        <v>236</v>
      </c>
      <c r="R324" s="6"/>
      <c r="S324" s="6">
        <f t="shared" si="5"/>
        <v>170</v>
      </c>
      <c r="T324" s="6"/>
      <c r="U324" s="6"/>
      <c r="V324" s="6"/>
      <c r="W324" s="6" t="s">
        <v>236</v>
      </c>
      <c r="X324" s="6" t="s">
        <v>236</v>
      </c>
      <c r="Y324" s="6" t="s">
        <v>236</v>
      </c>
      <c r="Z324" s="6" t="s">
        <v>236</v>
      </c>
      <c r="AA324" s="6" t="s">
        <v>236</v>
      </c>
    </row>
    <row r="325" spans="1:27">
      <c r="A325" s="6">
        <v>324</v>
      </c>
      <c r="B325" s="6" t="s">
        <v>225</v>
      </c>
      <c r="C325" s="7">
        <v>46103</v>
      </c>
      <c r="D325" s="6" t="s">
        <v>226</v>
      </c>
      <c r="E325" s="6" t="s">
        <v>29</v>
      </c>
      <c r="F325" s="6" t="s">
        <v>746</v>
      </c>
      <c r="G325" s="6">
        <v>23</v>
      </c>
      <c r="H325" s="11" t="s">
        <v>1304</v>
      </c>
      <c r="I325" s="11">
        <v>9980690770</v>
      </c>
      <c r="J325" s="10" t="s">
        <v>1305</v>
      </c>
      <c r="K325" s="10" t="s">
        <v>1305</v>
      </c>
      <c r="L325" s="6">
        <v>904</v>
      </c>
      <c r="M325" s="6">
        <v>904</v>
      </c>
      <c r="N325" s="7" t="s">
        <v>239</v>
      </c>
      <c r="O325" s="6" t="s">
        <v>239</v>
      </c>
      <c r="P325" s="6" t="s">
        <v>239</v>
      </c>
      <c r="Q325" s="6" t="s">
        <v>236</v>
      </c>
      <c r="R325" s="6"/>
      <c r="S325" s="6">
        <f t="shared" si="5"/>
        <v>904</v>
      </c>
      <c r="T325" s="6"/>
      <c r="U325" s="6"/>
      <c r="V325" s="6"/>
      <c r="W325" s="6" t="s">
        <v>236</v>
      </c>
      <c r="X325" s="6" t="s">
        <v>236</v>
      </c>
      <c r="Y325" s="6" t="s">
        <v>236</v>
      </c>
      <c r="Z325" s="6" t="s">
        <v>236</v>
      </c>
      <c r="AA325" s="6" t="s">
        <v>236</v>
      </c>
    </row>
    <row r="326" spans="1:27">
      <c r="A326" s="6">
        <v>325</v>
      </c>
      <c r="B326" s="6" t="s">
        <v>225</v>
      </c>
      <c r="C326" s="7">
        <v>46103</v>
      </c>
      <c r="D326" s="6" t="s">
        <v>226</v>
      </c>
      <c r="E326" s="6" t="s">
        <v>29</v>
      </c>
      <c r="F326" s="6" t="s">
        <v>746</v>
      </c>
      <c r="G326" s="6">
        <v>23</v>
      </c>
      <c r="H326" s="11" t="s">
        <v>1306</v>
      </c>
      <c r="I326" s="11">
        <v>9396949957</v>
      </c>
      <c r="J326" s="10" t="s">
        <v>1307</v>
      </c>
      <c r="K326" s="10" t="s">
        <v>1307</v>
      </c>
      <c r="L326" s="6">
        <v>472</v>
      </c>
      <c r="M326" s="6">
        <v>472</v>
      </c>
      <c r="N326" s="7" t="s">
        <v>239</v>
      </c>
      <c r="O326" s="6" t="s">
        <v>239</v>
      </c>
      <c r="P326" s="6" t="s">
        <v>239</v>
      </c>
      <c r="Q326" s="6" t="s">
        <v>236</v>
      </c>
      <c r="R326" s="6"/>
      <c r="S326" s="6">
        <f t="shared" si="5"/>
        <v>472</v>
      </c>
      <c r="T326" s="6"/>
      <c r="U326" s="6"/>
      <c r="V326" s="6"/>
      <c r="W326" s="6" t="s">
        <v>236</v>
      </c>
      <c r="X326" s="6" t="s">
        <v>236</v>
      </c>
      <c r="Y326" s="6" t="s">
        <v>236</v>
      </c>
      <c r="Z326" s="6" t="s">
        <v>236</v>
      </c>
      <c r="AA326" s="6" t="s">
        <v>236</v>
      </c>
    </row>
    <row r="327" spans="1:27">
      <c r="A327" s="6">
        <v>326</v>
      </c>
      <c r="B327" s="6" t="s">
        <v>225</v>
      </c>
      <c r="C327" s="7">
        <v>46104</v>
      </c>
      <c r="D327" s="6" t="s">
        <v>226</v>
      </c>
      <c r="E327" s="6" t="s">
        <v>29</v>
      </c>
      <c r="F327" s="6" t="s">
        <v>294</v>
      </c>
      <c r="G327" s="6">
        <v>25</v>
      </c>
      <c r="H327" s="11" t="s">
        <v>1308</v>
      </c>
      <c r="I327" s="11">
        <v>9902514544</v>
      </c>
      <c r="J327" s="10" t="s">
        <v>1309</v>
      </c>
      <c r="K327" s="10" t="s">
        <v>1309</v>
      </c>
      <c r="L327" s="20">
        <v>36090</v>
      </c>
      <c r="M327" s="6">
        <v>6100</v>
      </c>
      <c r="N327" s="7">
        <v>46110</v>
      </c>
      <c r="O327" s="6" t="s">
        <v>813</v>
      </c>
      <c r="P327" s="6" t="s">
        <v>52</v>
      </c>
      <c r="Q327" s="6" t="s">
        <v>298</v>
      </c>
      <c r="R327" s="6">
        <v>6100</v>
      </c>
      <c r="S327" s="6">
        <f t="shared" si="5"/>
        <v>0</v>
      </c>
      <c r="T327" s="7">
        <v>46110</v>
      </c>
      <c r="U327" s="6" t="s">
        <v>1310</v>
      </c>
      <c r="V327" s="6" t="s">
        <v>54</v>
      </c>
      <c r="W327" s="19" t="s">
        <v>298</v>
      </c>
      <c r="X327" s="12" t="s">
        <v>1311</v>
      </c>
      <c r="Y327" s="19" t="s">
        <v>1312</v>
      </c>
      <c r="Z327" s="19" t="s">
        <v>215</v>
      </c>
      <c r="AA327" s="6" t="s">
        <v>235</v>
      </c>
    </row>
    <row r="328" spans="1:27">
      <c r="A328" s="6">
        <v>327</v>
      </c>
      <c r="B328" s="6" t="s">
        <v>225</v>
      </c>
      <c r="C328" s="7">
        <v>46106</v>
      </c>
      <c r="D328" s="6" t="s">
        <v>226</v>
      </c>
      <c r="E328" s="6" t="s">
        <v>29</v>
      </c>
      <c r="F328" s="6" t="s">
        <v>294</v>
      </c>
      <c r="G328" s="6">
        <v>25</v>
      </c>
      <c r="H328" s="19" t="s">
        <v>1313</v>
      </c>
      <c r="I328" s="19" t="s">
        <v>1314</v>
      </c>
      <c r="J328" s="12" t="s">
        <v>1315</v>
      </c>
      <c r="K328" s="12" t="s">
        <v>1315</v>
      </c>
      <c r="L328" s="20">
        <v>33472.94</v>
      </c>
      <c r="M328" s="20">
        <v>33475</v>
      </c>
      <c r="N328" s="7">
        <v>46134</v>
      </c>
      <c r="O328" s="6" t="s">
        <v>298</v>
      </c>
      <c r="P328" s="6" t="s">
        <v>52</v>
      </c>
      <c r="Q328" s="6" t="s">
        <v>298</v>
      </c>
      <c r="R328" s="6">
        <f>10000+10000+10000</f>
        <v>30000</v>
      </c>
      <c r="S328" s="6">
        <f t="shared" si="5"/>
        <v>3475</v>
      </c>
      <c r="T328" s="7">
        <v>46134</v>
      </c>
      <c r="U328" s="6" t="s">
        <v>1316</v>
      </c>
      <c r="V328" s="6"/>
      <c r="W328" s="19" t="s">
        <v>298</v>
      </c>
      <c r="X328" s="12" t="s">
        <v>1317</v>
      </c>
      <c r="Y328" s="19" t="s">
        <v>1318</v>
      </c>
      <c r="Z328" s="19" t="s">
        <v>851</v>
      </c>
      <c r="AA328" s="6" t="s">
        <v>235</v>
      </c>
    </row>
    <row r="329" spans="1:27">
      <c r="A329" s="6">
        <v>328</v>
      </c>
      <c r="B329" s="6" t="s">
        <v>298</v>
      </c>
      <c r="C329" s="7">
        <v>46106</v>
      </c>
      <c r="D329" s="6" t="s">
        <v>226</v>
      </c>
      <c r="E329" s="6" t="s">
        <v>29</v>
      </c>
      <c r="F329" s="6" t="s">
        <v>767</v>
      </c>
      <c r="G329" s="6">
        <v>25</v>
      </c>
      <c r="H329" s="12" t="s">
        <v>1319</v>
      </c>
      <c r="I329" s="12" t="s">
        <v>1320</v>
      </c>
      <c r="J329" s="10" t="s">
        <v>1321</v>
      </c>
      <c r="K329" s="10" t="s">
        <v>1321</v>
      </c>
      <c r="L329" s="6">
        <v>21290</v>
      </c>
      <c r="M329" s="6">
        <v>21290</v>
      </c>
      <c r="N329" s="7"/>
      <c r="O329" s="6" t="s">
        <v>790</v>
      </c>
      <c r="P329" s="6" t="s">
        <v>52</v>
      </c>
      <c r="Q329" s="6" t="s">
        <v>772</v>
      </c>
      <c r="R329" s="6"/>
      <c r="S329" s="6">
        <f t="shared" si="5"/>
        <v>21290</v>
      </c>
      <c r="T329" s="6"/>
      <c r="U329" s="6"/>
      <c r="V329" s="6"/>
      <c r="W329" s="6" t="s">
        <v>790</v>
      </c>
      <c r="X329" s="12" t="s">
        <v>832</v>
      </c>
      <c r="Y329" s="12" t="s">
        <v>1322</v>
      </c>
      <c r="Z329" s="6" t="s">
        <v>834</v>
      </c>
      <c r="AA329" s="6" t="s">
        <v>235</v>
      </c>
    </row>
    <row r="330" spans="1:27">
      <c r="A330" s="6">
        <v>329</v>
      </c>
      <c r="B330" s="6" t="s">
        <v>225</v>
      </c>
      <c r="C330" s="7">
        <v>46107</v>
      </c>
      <c r="D330" s="6" t="s">
        <v>933</v>
      </c>
      <c r="E330" s="6" t="s">
        <v>29</v>
      </c>
      <c r="F330" s="6" t="s">
        <v>1323</v>
      </c>
      <c r="G330" s="6">
        <v>25</v>
      </c>
      <c r="H330" s="12" t="s">
        <v>1324</v>
      </c>
      <c r="I330" s="12">
        <v>9642032106</v>
      </c>
      <c r="J330" s="10" t="s">
        <v>1325</v>
      </c>
      <c r="K330" s="10" t="s">
        <v>1325</v>
      </c>
      <c r="L330" s="6">
        <v>5315.89</v>
      </c>
      <c r="M330" s="6">
        <v>5315.89</v>
      </c>
      <c r="N330" s="7"/>
      <c r="O330" s="6" t="s">
        <v>1326</v>
      </c>
      <c r="P330" s="6" t="s">
        <v>52</v>
      </c>
      <c r="Q330" s="6" t="s">
        <v>1327</v>
      </c>
      <c r="R330" s="6"/>
      <c r="S330" s="6">
        <f t="shared" si="5"/>
        <v>5315.89</v>
      </c>
      <c r="T330" s="6"/>
      <c r="U330" s="6" t="s">
        <v>1328</v>
      </c>
      <c r="V330" s="6"/>
      <c r="W330" s="6" t="s">
        <v>1326</v>
      </c>
      <c r="X330" s="12"/>
      <c r="Y330" s="12"/>
      <c r="Z330" s="6"/>
      <c r="AA330" s="6" t="s">
        <v>235</v>
      </c>
    </row>
    <row r="331" spans="1:27">
      <c r="A331" s="6">
        <v>330</v>
      </c>
      <c r="B331" s="6" t="s">
        <v>225</v>
      </c>
      <c r="C331" s="7">
        <v>46109</v>
      </c>
      <c r="D331" s="6" t="s">
        <v>933</v>
      </c>
      <c r="E331" s="6" t="s">
        <v>29</v>
      </c>
      <c r="F331" s="6" t="s">
        <v>1329</v>
      </c>
      <c r="G331" s="12">
        <v>20</v>
      </c>
      <c r="H331" s="12" t="s">
        <v>1330</v>
      </c>
      <c r="I331" s="12" t="s">
        <v>1331</v>
      </c>
      <c r="J331" s="12" t="s">
        <v>1332</v>
      </c>
      <c r="K331" s="12" t="s">
        <v>1332</v>
      </c>
      <c r="L331" s="12">
        <v>30442</v>
      </c>
      <c r="M331" s="6">
        <v>442</v>
      </c>
      <c r="N331" s="7" t="s">
        <v>239</v>
      </c>
      <c r="O331" s="6" t="s">
        <v>239</v>
      </c>
      <c r="P331" s="6" t="s">
        <v>239</v>
      </c>
      <c r="Q331" s="6" t="s">
        <v>76</v>
      </c>
      <c r="R331" s="6"/>
      <c r="S331" s="6">
        <f t="shared" si="5"/>
        <v>442</v>
      </c>
      <c r="T331" s="6"/>
      <c r="U331" s="6"/>
      <c r="V331" s="6"/>
      <c r="W331" s="6" t="s">
        <v>1333</v>
      </c>
      <c r="X331" s="12" t="s">
        <v>1334</v>
      </c>
      <c r="Y331" s="12" t="s">
        <v>1335</v>
      </c>
      <c r="Z331" s="12" t="s">
        <v>1336</v>
      </c>
      <c r="AA331" s="6" t="s">
        <v>235</v>
      </c>
    </row>
    <row r="332" spans="1:27">
      <c r="A332" s="6">
        <v>331</v>
      </c>
      <c r="B332" s="6" t="s">
        <v>225</v>
      </c>
      <c r="C332" s="7">
        <v>46109</v>
      </c>
      <c r="D332" s="6" t="s">
        <v>933</v>
      </c>
      <c r="E332" s="6" t="s">
        <v>29</v>
      </c>
      <c r="F332" s="6" t="s">
        <v>1329</v>
      </c>
      <c r="G332" s="12">
        <v>5</v>
      </c>
      <c r="H332" s="12" t="s">
        <v>1337</v>
      </c>
      <c r="I332" s="12" t="s">
        <v>1338</v>
      </c>
      <c r="J332" s="12" t="s">
        <v>1339</v>
      </c>
      <c r="K332" s="12" t="s">
        <v>1339</v>
      </c>
      <c r="L332" s="12">
        <v>15535</v>
      </c>
      <c r="M332" s="12">
        <v>-695</v>
      </c>
      <c r="N332" s="7" t="s">
        <v>239</v>
      </c>
      <c r="O332" s="6" t="s">
        <v>239</v>
      </c>
      <c r="P332" s="6" t="s">
        <v>239</v>
      </c>
      <c r="Q332" s="6" t="s">
        <v>76</v>
      </c>
      <c r="R332" s="6"/>
      <c r="S332" s="6">
        <f t="shared" si="5"/>
        <v>-695</v>
      </c>
      <c r="T332" s="6"/>
      <c r="U332" s="6"/>
      <c r="V332" s="6"/>
      <c r="W332" s="12" t="s">
        <v>1340</v>
      </c>
      <c r="X332" s="12" t="s">
        <v>1341</v>
      </c>
      <c r="Y332" s="12" t="s">
        <v>1342</v>
      </c>
      <c r="Z332" s="12" t="s">
        <v>1343</v>
      </c>
      <c r="AA332" s="6" t="s">
        <v>235</v>
      </c>
    </row>
    <row r="333" spans="1:27">
      <c r="A333" s="6">
        <v>332</v>
      </c>
      <c r="B333" s="6" t="s">
        <v>225</v>
      </c>
      <c r="C333" s="7">
        <v>46109</v>
      </c>
      <c r="D333" s="6" t="s">
        <v>933</v>
      </c>
      <c r="E333" s="6" t="s">
        <v>29</v>
      </c>
      <c r="F333" s="6" t="s">
        <v>1329</v>
      </c>
      <c r="G333" s="12">
        <v>20</v>
      </c>
      <c r="H333" s="12" t="s">
        <v>1344</v>
      </c>
      <c r="I333" s="12" t="s">
        <v>1345</v>
      </c>
      <c r="J333" s="12" t="s">
        <v>1346</v>
      </c>
      <c r="K333" s="12" t="s">
        <v>1346</v>
      </c>
      <c r="L333" s="12">
        <v>14168</v>
      </c>
      <c r="M333" s="12">
        <v>-475.39999999999964</v>
      </c>
      <c r="N333" s="7" t="s">
        <v>239</v>
      </c>
      <c r="O333" s="6" t="s">
        <v>239</v>
      </c>
      <c r="P333" s="6" t="s">
        <v>239</v>
      </c>
      <c r="Q333" s="6" t="s">
        <v>76</v>
      </c>
      <c r="R333" s="6"/>
      <c r="S333" s="6">
        <f t="shared" si="5"/>
        <v>-475.39999999999964</v>
      </c>
      <c r="T333" s="6"/>
      <c r="U333" s="6"/>
      <c r="V333" s="6"/>
      <c r="W333" s="12" t="s">
        <v>1333</v>
      </c>
      <c r="X333" s="12" t="s">
        <v>1347</v>
      </c>
      <c r="Y333" s="12" t="s">
        <v>1348</v>
      </c>
      <c r="Z333" s="12" t="s">
        <v>1349</v>
      </c>
      <c r="AA333" s="6" t="s">
        <v>235</v>
      </c>
    </row>
    <row r="334" spans="1:27">
      <c r="A334" s="6">
        <v>333</v>
      </c>
      <c r="B334" s="6" t="s">
        <v>225</v>
      </c>
      <c r="C334" s="7">
        <v>46109</v>
      </c>
      <c r="D334" s="6" t="s">
        <v>933</v>
      </c>
      <c r="E334" s="6" t="s">
        <v>29</v>
      </c>
      <c r="F334" s="6" t="s">
        <v>1329</v>
      </c>
      <c r="G334" s="12">
        <v>20</v>
      </c>
      <c r="H334" s="12" t="s">
        <v>1350</v>
      </c>
      <c r="I334" s="12" t="s">
        <v>1351</v>
      </c>
      <c r="J334" s="12" t="s">
        <v>1352</v>
      </c>
      <c r="K334" s="12" t="s">
        <v>1352</v>
      </c>
      <c r="L334" s="12">
        <v>14619</v>
      </c>
      <c r="M334" s="12">
        <v>-296</v>
      </c>
      <c r="N334" s="7" t="s">
        <v>239</v>
      </c>
      <c r="O334" s="6" t="s">
        <v>239</v>
      </c>
      <c r="P334" s="6" t="s">
        <v>239</v>
      </c>
      <c r="Q334" s="6" t="s">
        <v>76</v>
      </c>
      <c r="R334" s="6"/>
      <c r="S334" s="6">
        <f t="shared" si="5"/>
        <v>-296</v>
      </c>
      <c r="T334" s="6"/>
      <c r="U334" s="6"/>
      <c r="V334" s="6"/>
      <c r="W334" s="12" t="s">
        <v>1333</v>
      </c>
      <c r="X334" s="12" t="s">
        <v>1353</v>
      </c>
      <c r="Y334" s="12" t="s">
        <v>1354</v>
      </c>
      <c r="Z334" s="12" t="s">
        <v>1355</v>
      </c>
      <c r="AA334" s="6" t="s">
        <v>235</v>
      </c>
    </row>
    <row r="335" spans="1:27">
      <c r="A335" s="6">
        <v>334</v>
      </c>
      <c r="B335" s="6" t="s">
        <v>298</v>
      </c>
      <c r="C335" s="7">
        <v>46109</v>
      </c>
      <c r="D335" s="6" t="s">
        <v>226</v>
      </c>
      <c r="E335" s="6" t="s">
        <v>29</v>
      </c>
      <c r="F335" s="6" t="s">
        <v>294</v>
      </c>
      <c r="G335" s="6">
        <v>28</v>
      </c>
      <c r="H335" s="19" t="s">
        <v>1356</v>
      </c>
      <c r="I335" s="19" t="s">
        <v>1357</v>
      </c>
      <c r="J335" s="19" t="s">
        <v>1358</v>
      </c>
      <c r="K335" s="19" t="s">
        <v>1358</v>
      </c>
      <c r="L335" s="20">
        <v>79681</v>
      </c>
      <c r="M335" s="20">
        <v>79681</v>
      </c>
      <c r="N335" s="7">
        <v>46115</v>
      </c>
      <c r="O335" s="6" t="s">
        <v>298</v>
      </c>
      <c r="P335" s="6" t="s">
        <v>52</v>
      </c>
      <c r="Q335" s="6" t="s">
        <v>298</v>
      </c>
      <c r="R335" s="6">
        <v>79685</v>
      </c>
      <c r="S335" s="6">
        <f t="shared" si="5"/>
        <v>-4</v>
      </c>
      <c r="T335" s="7">
        <v>46115</v>
      </c>
      <c r="U335" s="6" t="s">
        <v>1359</v>
      </c>
      <c r="V335" s="6" t="s">
        <v>54</v>
      </c>
      <c r="W335" s="19" t="s">
        <v>1360</v>
      </c>
      <c r="X335" s="19" t="s">
        <v>1361</v>
      </c>
      <c r="Y335" s="19" t="s">
        <v>1362</v>
      </c>
      <c r="Z335" s="19" t="s">
        <v>1363</v>
      </c>
      <c r="AA335" s="6" t="s">
        <v>235</v>
      </c>
    </row>
    <row r="336" spans="1:27">
      <c r="A336" s="6">
        <v>335</v>
      </c>
      <c r="B336" s="6" t="s">
        <v>225</v>
      </c>
      <c r="C336" s="7">
        <v>46109</v>
      </c>
      <c r="D336" s="6" t="s">
        <v>226</v>
      </c>
      <c r="E336" s="6" t="s">
        <v>29</v>
      </c>
      <c r="F336" s="6" t="s">
        <v>746</v>
      </c>
      <c r="G336" s="6">
        <v>28</v>
      </c>
      <c r="H336" s="11" t="s">
        <v>1364</v>
      </c>
      <c r="I336" s="11">
        <v>9652944343</v>
      </c>
      <c r="J336" s="10" t="s">
        <v>1365</v>
      </c>
      <c r="K336" s="10" t="s">
        <v>1365</v>
      </c>
      <c r="L336" s="6">
        <v>8040</v>
      </c>
      <c r="M336" s="6">
        <v>8040</v>
      </c>
      <c r="N336" s="7" t="s">
        <v>239</v>
      </c>
      <c r="O336" s="6" t="s">
        <v>239</v>
      </c>
      <c r="P336" s="6" t="s">
        <v>239</v>
      </c>
      <c r="Q336" s="6" t="s">
        <v>236</v>
      </c>
      <c r="R336" s="6"/>
      <c r="S336" s="6">
        <f t="shared" si="5"/>
        <v>8040</v>
      </c>
      <c r="T336" s="6"/>
      <c r="U336" s="6"/>
      <c r="V336" s="6"/>
      <c r="W336" s="6" t="s">
        <v>236</v>
      </c>
      <c r="X336" s="6" t="s">
        <v>236</v>
      </c>
      <c r="Y336" s="6" t="s">
        <v>236</v>
      </c>
      <c r="Z336" s="6" t="s">
        <v>236</v>
      </c>
      <c r="AA336" s="6" t="s">
        <v>236</v>
      </c>
    </row>
    <row r="337" spans="1:27">
      <c r="A337" s="6">
        <v>336</v>
      </c>
      <c r="B337" s="6" t="s">
        <v>225</v>
      </c>
      <c r="C337" s="7">
        <v>46109</v>
      </c>
      <c r="D337" s="6" t="s">
        <v>226</v>
      </c>
      <c r="E337" s="6" t="s">
        <v>29</v>
      </c>
      <c r="F337" s="6" t="s">
        <v>746</v>
      </c>
      <c r="G337" s="6">
        <v>28</v>
      </c>
      <c r="H337" s="11" t="s">
        <v>1366</v>
      </c>
      <c r="I337" s="11">
        <v>7083756735</v>
      </c>
      <c r="J337" s="10" t="s">
        <v>1367</v>
      </c>
      <c r="K337" s="10" t="s">
        <v>1367</v>
      </c>
      <c r="L337" s="6">
        <v>2500</v>
      </c>
      <c r="M337" s="6">
        <v>2500</v>
      </c>
      <c r="N337" s="7" t="s">
        <v>239</v>
      </c>
      <c r="O337" s="6" t="s">
        <v>239</v>
      </c>
      <c r="P337" s="6" t="s">
        <v>239</v>
      </c>
      <c r="Q337" s="6" t="s">
        <v>236</v>
      </c>
      <c r="R337" s="6"/>
      <c r="S337" s="6">
        <f t="shared" si="5"/>
        <v>2500</v>
      </c>
      <c r="T337" s="6"/>
      <c r="U337" s="6"/>
      <c r="V337" s="6"/>
      <c r="W337" s="6" t="s">
        <v>236</v>
      </c>
      <c r="X337" s="6" t="s">
        <v>236</v>
      </c>
      <c r="Y337" s="6" t="s">
        <v>236</v>
      </c>
      <c r="Z337" s="6" t="s">
        <v>236</v>
      </c>
      <c r="AA337" s="6" t="s">
        <v>236</v>
      </c>
    </row>
    <row r="338" spans="1:27">
      <c r="A338" s="6">
        <v>337</v>
      </c>
      <c r="B338" s="6" t="s">
        <v>225</v>
      </c>
      <c r="C338" s="7">
        <v>46109</v>
      </c>
      <c r="D338" s="6" t="s">
        <v>226</v>
      </c>
      <c r="E338" s="6" t="s">
        <v>29</v>
      </c>
      <c r="F338" s="6" t="s">
        <v>746</v>
      </c>
      <c r="G338" s="6">
        <v>28</v>
      </c>
      <c r="H338" s="11" t="s">
        <v>1368</v>
      </c>
      <c r="I338" s="11">
        <v>9666662805</v>
      </c>
      <c r="J338" s="10" t="s">
        <v>1369</v>
      </c>
      <c r="K338" s="10" t="s">
        <v>1369</v>
      </c>
      <c r="L338" s="6">
        <v>4370</v>
      </c>
      <c r="M338" s="6">
        <v>4370</v>
      </c>
      <c r="N338" s="7" t="s">
        <v>239</v>
      </c>
      <c r="O338" s="6" t="s">
        <v>239</v>
      </c>
      <c r="P338" s="6" t="s">
        <v>239</v>
      </c>
      <c r="Q338" s="6" t="s">
        <v>236</v>
      </c>
      <c r="R338" s="6"/>
      <c r="S338" s="6">
        <f t="shared" si="5"/>
        <v>4370</v>
      </c>
      <c r="T338" s="6"/>
      <c r="U338" s="6"/>
      <c r="V338" s="6"/>
      <c r="W338" s="6" t="s">
        <v>236</v>
      </c>
      <c r="X338" s="6" t="s">
        <v>236</v>
      </c>
      <c r="Y338" s="6" t="s">
        <v>236</v>
      </c>
      <c r="Z338" s="6" t="s">
        <v>236</v>
      </c>
      <c r="AA338" s="6" t="s">
        <v>236</v>
      </c>
    </row>
    <row r="339" spans="1:27">
      <c r="A339" s="6">
        <v>338</v>
      </c>
      <c r="B339" s="6" t="s">
        <v>225</v>
      </c>
      <c r="C339" s="7">
        <v>46109</v>
      </c>
      <c r="D339" s="6" t="s">
        <v>226</v>
      </c>
      <c r="E339" s="6" t="s">
        <v>29</v>
      </c>
      <c r="F339" s="6" t="s">
        <v>746</v>
      </c>
      <c r="G339" s="6">
        <v>28</v>
      </c>
      <c r="H339" s="11" t="s">
        <v>1370</v>
      </c>
      <c r="I339" s="11">
        <v>6281086630</v>
      </c>
      <c r="J339" s="10" t="s">
        <v>1371</v>
      </c>
      <c r="K339" s="10" t="s">
        <v>1371</v>
      </c>
      <c r="L339" s="6">
        <v>830</v>
      </c>
      <c r="M339" s="6">
        <v>830</v>
      </c>
      <c r="N339" s="7" t="s">
        <v>239</v>
      </c>
      <c r="O339" s="6" t="s">
        <v>239</v>
      </c>
      <c r="P339" s="6" t="s">
        <v>239</v>
      </c>
      <c r="Q339" s="6" t="s">
        <v>236</v>
      </c>
      <c r="R339" s="6"/>
      <c r="S339" s="6">
        <f t="shared" si="5"/>
        <v>830</v>
      </c>
      <c r="T339" s="6"/>
      <c r="U339" s="6"/>
      <c r="V339" s="6"/>
      <c r="W339" s="6" t="s">
        <v>236</v>
      </c>
      <c r="X339" s="6" t="s">
        <v>236</v>
      </c>
      <c r="Y339" s="6" t="s">
        <v>236</v>
      </c>
      <c r="Z339" s="6" t="s">
        <v>236</v>
      </c>
      <c r="AA339" s="6" t="s">
        <v>236</v>
      </c>
    </row>
    <row r="340" spans="1:27">
      <c r="A340" s="6">
        <v>339</v>
      </c>
      <c r="B340" s="6" t="s">
        <v>225</v>
      </c>
      <c r="C340" s="7">
        <v>46109</v>
      </c>
      <c r="D340" s="6" t="s">
        <v>226</v>
      </c>
      <c r="E340" s="6" t="s">
        <v>29</v>
      </c>
      <c r="F340" s="6" t="s">
        <v>746</v>
      </c>
      <c r="G340" s="6">
        <v>28</v>
      </c>
      <c r="H340" s="11" t="s">
        <v>1372</v>
      </c>
      <c r="I340" s="11">
        <v>7799689436</v>
      </c>
      <c r="J340" s="10" t="s">
        <v>1373</v>
      </c>
      <c r="K340" s="10" t="s">
        <v>1373</v>
      </c>
      <c r="L340" s="6">
        <v>2160</v>
      </c>
      <c r="M340" s="6">
        <v>2160</v>
      </c>
      <c r="N340" s="7" t="s">
        <v>239</v>
      </c>
      <c r="O340" s="6" t="s">
        <v>239</v>
      </c>
      <c r="P340" s="6" t="s">
        <v>239</v>
      </c>
      <c r="Q340" s="6" t="s">
        <v>236</v>
      </c>
      <c r="R340" s="6"/>
      <c r="S340" s="6">
        <f t="shared" si="5"/>
        <v>2160</v>
      </c>
      <c r="T340" s="6"/>
      <c r="U340" s="6"/>
      <c r="V340" s="6"/>
      <c r="W340" s="6" t="s">
        <v>236</v>
      </c>
      <c r="X340" s="6" t="s">
        <v>236</v>
      </c>
      <c r="Y340" s="6" t="s">
        <v>236</v>
      </c>
      <c r="Z340" s="6" t="s">
        <v>236</v>
      </c>
      <c r="AA340" s="6" t="s">
        <v>236</v>
      </c>
    </row>
    <row r="341" spans="1:27">
      <c r="A341" s="6">
        <v>340</v>
      </c>
      <c r="B341" s="6" t="s">
        <v>225</v>
      </c>
      <c r="C341" s="7">
        <v>46109</v>
      </c>
      <c r="D341" s="6" t="s">
        <v>226</v>
      </c>
      <c r="E341" s="6" t="s">
        <v>29</v>
      </c>
      <c r="F341" s="6" t="s">
        <v>746</v>
      </c>
      <c r="G341" s="6">
        <v>28</v>
      </c>
      <c r="H341" s="11" t="s">
        <v>1374</v>
      </c>
      <c r="I341" s="11">
        <v>9560592919</v>
      </c>
      <c r="J341" s="10" t="s">
        <v>1375</v>
      </c>
      <c r="K341" s="10" t="s">
        <v>1375</v>
      </c>
      <c r="L341" s="6">
        <v>1640</v>
      </c>
      <c r="M341" s="6">
        <v>1640</v>
      </c>
      <c r="N341" s="7" t="s">
        <v>239</v>
      </c>
      <c r="O341" s="6" t="s">
        <v>239</v>
      </c>
      <c r="P341" s="6" t="s">
        <v>239</v>
      </c>
      <c r="Q341" s="6" t="s">
        <v>236</v>
      </c>
      <c r="R341" s="6"/>
      <c r="S341" s="6">
        <f t="shared" si="5"/>
        <v>1640</v>
      </c>
      <c r="T341" s="6"/>
      <c r="U341" s="6"/>
      <c r="V341" s="6"/>
      <c r="W341" s="6" t="s">
        <v>236</v>
      </c>
      <c r="X341" s="6" t="s">
        <v>236</v>
      </c>
      <c r="Y341" s="6" t="s">
        <v>236</v>
      </c>
      <c r="Z341" s="6" t="s">
        <v>236</v>
      </c>
      <c r="AA341" s="6" t="s">
        <v>236</v>
      </c>
    </row>
    <row r="342" spans="1:27">
      <c r="A342" s="6">
        <v>341</v>
      </c>
      <c r="B342" s="6" t="s">
        <v>225</v>
      </c>
      <c r="C342" s="7">
        <v>46109</v>
      </c>
      <c r="D342" s="6" t="s">
        <v>226</v>
      </c>
      <c r="E342" s="6" t="s">
        <v>29</v>
      </c>
      <c r="F342" s="6" t="s">
        <v>746</v>
      </c>
      <c r="G342" s="6">
        <v>28</v>
      </c>
      <c r="H342" s="11" t="s">
        <v>1376</v>
      </c>
      <c r="I342" s="11">
        <v>8867675691</v>
      </c>
      <c r="J342" s="10" t="s">
        <v>1377</v>
      </c>
      <c r="K342" s="10" t="s">
        <v>1377</v>
      </c>
      <c r="L342" s="6">
        <v>1420</v>
      </c>
      <c r="M342" s="6">
        <v>1420</v>
      </c>
      <c r="N342" s="7" t="s">
        <v>239</v>
      </c>
      <c r="O342" s="6" t="s">
        <v>239</v>
      </c>
      <c r="P342" s="6" t="s">
        <v>239</v>
      </c>
      <c r="Q342" s="6" t="s">
        <v>236</v>
      </c>
      <c r="R342" s="6"/>
      <c r="S342" s="6">
        <f t="shared" si="5"/>
        <v>1420</v>
      </c>
      <c r="T342" s="6"/>
      <c r="U342" s="6"/>
      <c r="V342" s="6"/>
      <c r="W342" s="6" t="s">
        <v>236</v>
      </c>
      <c r="X342" s="6" t="s">
        <v>236</v>
      </c>
      <c r="Y342" s="6" t="s">
        <v>236</v>
      </c>
      <c r="Z342" s="6" t="s">
        <v>236</v>
      </c>
      <c r="AA342" s="6" t="s">
        <v>236</v>
      </c>
    </row>
    <row r="343" spans="1:27">
      <c r="A343" s="6">
        <v>342</v>
      </c>
      <c r="B343" s="6" t="s">
        <v>225</v>
      </c>
      <c r="C343" s="7">
        <v>46109</v>
      </c>
      <c r="D343" s="6" t="s">
        <v>226</v>
      </c>
      <c r="E343" s="6" t="s">
        <v>29</v>
      </c>
      <c r="F343" s="6" t="s">
        <v>746</v>
      </c>
      <c r="G343" s="6">
        <v>28</v>
      </c>
      <c r="H343" s="11" t="s">
        <v>1378</v>
      </c>
      <c r="I343" s="11">
        <v>9741884008</v>
      </c>
      <c r="J343" s="10" t="s">
        <v>1379</v>
      </c>
      <c r="K343" s="10" t="s">
        <v>1379</v>
      </c>
      <c r="L343" s="6">
        <v>900</v>
      </c>
      <c r="M343" s="6">
        <v>900</v>
      </c>
      <c r="N343" s="7" t="s">
        <v>239</v>
      </c>
      <c r="O343" s="6" t="s">
        <v>239</v>
      </c>
      <c r="P343" s="6" t="s">
        <v>239</v>
      </c>
      <c r="Q343" s="6" t="s">
        <v>236</v>
      </c>
      <c r="R343" s="6"/>
      <c r="S343" s="6">
        <f t="shared" si="5"/>
        <v>900</v>
      </c>
      <c r="T343" s="6"/>
      <c r="U343" s="6"/>
      <c r="V343" s="6"/>
      <c r="W343" s="6" t="s">
        <v>236</v>
      </c>
      <c r="X343" s="6" t="s">
        <v>236</v>
      </c>
      <c r="Y343" s="6" t="s">
        <v>236</v>
      </c>
      <c r="Z343" s="6" t="s">
        <v>236</v>
      </c>
      <c r="AA343" s="6" t="s">
        <v>236</v>
      </c>
    </row>
    <row r="344" spans="1:27">
      <c r="A344" s="6">
        <v>343</v>
      </c>
      <c r="B344" s="6" t="s">
        <v>225</v>
      </c>
      <c r="C344" s="7">
        <v>46109</v>
      </c>
      <c r="D344" s="6" t="s">
        <v>226</v>
      </c>
      <c r="E344" s="6" t="s">
        <v>29</v>
      </c>
      <c r="F344" s="6" t="s">
        <v>267</v>
      </c>
      <c r="G344" s="6">
        <v>28</v>
      </c>
      <c r="H344" s="11" t="s">
        <v>1380</v>
      </c>
      <c r="I344" s="11">
        <v>9809933072</v>
      </c>
      <c r="J344" s="10" t="s">
        <v>1381</v>
      </c>
      <c r="K344" s="10" t="s">
        <v>1381</v>
      </c>
      <c r="L344" s="6">
        <v>3440</v>
      </c>
      <c r="M344" s="6">
        <v>3440</v>
      </c>
      <c r="N344" s="7" t="s">
        <v>239</v>
      </c>
      <c r="O344" s="6" t="s">
        <v>239</v>
      </c>
      <c r="P344" s="6" t="s">
        <v>239</v>
      </c>
      <c r="Q344" s="6" t="s">
        <v>236</v>
      </c>
      <c r="R344" s="6"/>
      <c r="S344" s="6">
        <f t="shared" si="5"/>
        <v>3440</v>
      </c>
      <c r="T344" s="6"/>
      <c r="U344" s="6"/>
      <c r="V344" s="6"/>
      <c r="W344" s="6" t="s">
        <v>236</v>
      </c>
      <c r="X344" s="6" t="s">
        <v>236</v>
      </c>
      <c r="Y344" s="6" t="s">
        <v>236</v>
      </c>
      <c r="Z344" s="6" t="s">
        <v>236</v>
      </c>
      <c r="AA344" s="6" t="s">
        <v>236</v>
      </c>
    </row>
    <row r="345" spans="1:27">
      <c r="A345" s="6">
        <v>344</v>
      </c>
      <c r="B345" s="6" t="s">
        <v>225</v>
      </c>
      <c r="C345" s="7">
        <v>46109</v>
      </c>
      <c r="D345" s="6" t="s">
        <v>226</v>
      </c>
      <c r="E345" s="6" t="s">
        <v>29</v>
      </c>
      <c r="F345" s="6" t="s">
        <v>267</v>
      </c>
      <c r="G345" s="6">
        <v>28</v>
      </c>
      <c r="H345" s="11" t="s">
        <v>1382</v>
      </c>
      <c r="I345" s="11">
        <v>8886724249</v>
      </c>
      <c r="J345" s="10" t="s">
        <v>1383</v>
      </c>
      <c r="K345" s="10" t="s">
        <v>1383</v>
      </c>
      <c r="L345" s="6">
        <v>460</v>
      </c>
      <c r="M345" s="6">
        <v>460</v>
      </c>
      <c r="N345" s="7" t="s">
        <v>239</v>
      </c>
      <c r="O345" s="6" t="s">
        <v>239</v>
      </c>
      <c r="P345" s="6" t="s">
        <v>239</v>
      </c>
      <c r="Q345" s="6" t="s">
        <v>236</v>
      </c>
      <c r="R345" s="6"/>
      <c r="S345" s="6">
        <f t="shared" si="5"/>
        <v>460</v>
      </c>
      <c r="T345" s="6"/>
      <c r="U345" s="6"/>
      <c r="V345" s="6"/>
      <c r="W345" s="6" t="s">
        <v>236</v>
      </c>
      <c r="X345" s="6" t="s">
        <v>236</v>
      </c>
      <c r="Y345" s="6" t="s">
        <v>236</v>
      </c>
      <c r="Z345" s="6" t="s">
        <v>236</v>
      </c>
      <c r="AA345" s="6" t="s">
        <v>236</v>
      </c>
    </row>
    <row r="346" spans="1:27">
      <c r="A346" s="6">
        <v>345</v>
      </c>
      <c r="B346" s="6" t="s">
        <v>225</v>
      </c>
      <c r="C346" s="7">
        <v>46109</v>
      </c>
      <c r="D346" s="6" t="s">
        <v>226</v>
      </c>
      <c r="E346" s="6" t="s">
        <v>29</v>
      </c>
      <c r="F346" s="6" t="s">
        <v>267</v>
      </c>
      <c r="G346" s="6">
        <v>28</v>
      </c>
      <c r="H346" s="11" t="s">
        <v>1384</v>
      </c>
      <c r="I346" s="11">
        <v>9052081135</v>
      </c>
      <c r="J346" s="10" t="s">
        <v>1385</v>
      </c>
      <c r="K346" s="10" t="s">
        <v>1385</v>
      </c>
      <c r="L346" s="6">
        <v>590</v>
      </c>
      <c r="M346" s="6">
        <v>590</v>
      </c>
      <c r="N346" s="7" t="s">
        <v>239</v>
      </c>
      <c r="O346" s="6" t="s">
        <v>239</v>
      </c>
      <c r="P346" s="6" t="s">
        <v>239</v>
      </c>
      <c r="Q346" s="6" t="s">
        <v>236</v>
      </c>
      <c r="R346" s="6"/>
      <c r="S346" s="6">
        <f t="shared" si="5"/>
        <v>590</v>
      </c>
      <c r="T346" s="6"/>
      <c r="U346" s="6"/>
      <c r="V346" s="6"/>
      <c r="W346" s="6" t="s">
        <v>236</v>
      </c>
      <c r="X346" s="6" t="s">
        <v>236</v>
      </c>
      <c r="Y346" s="6" t="s">
        <v>236</v>
      </c>
      <c r="Z346" s="6" t="s">
        <v>236</v>
      </c>
      <c r="AA346" s="6" t="s">
        <v>236</v>
      </c>
    </row>
    <row r="347" spans="1:27">
      <c r="A347" s="6">
        <v>346</v>
      </c>
      <c r="B347" s="6" t="s">
        <v>225</v>
      </c>
      <c r="C347" s="7">
        <v>46109</v>
      </c>
      <c r="D347" s="6" t="s">
        <v>226</v>
      </c>
      <c r="E347" s="6" t="s">
        <v>29</v>
      </c>
      <c r="F347" s="6" t="s">
        <v>267</v>
      </c>
      <c r="G347" s="6">
        <v>28</v>
      </c>
      <c r="H347" s="11" t="s">
        <v>1386</v>
      </c>
      <c r="I347" s="11">
        <v>9177610307</v>
      </c>
      <c r="J347" s="10" t="s">
        <v>1387</v>
      </c>
      <c r="K347" s="10" t="s">
        <v>1387</v>
      </c>
      <c r="L347" s="6">
        <v>3280</v>
      </c>
      <c r="M347" s="6">
        <v>3280</v>
      </c>
      <c r="N347" s="7" t="s">
        <v>239</v>
      </c>
      <c r="O347" s="6" t="s">
        <v>239</v>
      </c>
      <c r="P347" s="6" t="s">
        <v>239</v>
      </c>
      <c r="Q347" s="6" t="s">
        <v>236</v>
      </c>
      <c r="R347" s="6"/>
      <c r="S347" s="6">
        <f t="shared" si="5"/>
        <v>3280</v>
      </c>
      <c r="T347" s="6"/>
      <c r="U347" s="6"/>
      <c r="V347" s="6"/>
      <c r="W347" s="6" t="s">
        <v>236</v>
      </c>
      <c r="X347" s="6" t="s">
        <v>236</v>
      </c>
      <c r="Y347" s="6" t="s">
        <v>236</v>
      </c>
      <c r="Z347" s="6" t="s">
        <v>236</v>
      </c>
      <c r="AA347" s="6" t="s">
        <v>236</v>
      </c>
    </row>
    <row r="348" spans="1:27">
      <c r="A348" s="6">
        <v>347</v>
      </c>
      <c r="B348" s="6" t="s">
        <v>225</v>
      </c>
      <c r="C348" s="7">
        <v>46109</v>
      </c>
      <c r="D348" s="6" t="s">
        <v>226</v>
      </c>
      <c r="E348" s="6" t="s">
        <v>29</v>
      </c>
      <c r="F348" s="6" t="s">
        <v>267</v>
      </c>
      <c r="G348" s="6">
        <v>28</v>
      </c>
      <c r="H348" s="11" t="s">
        <v>1388</v>
      </c>
      <c r="I348" s="11">
        <v>9133311199</v>
      </c>
      <c r="J348" s="10" t="s">
        <v>1389</v>
      </c>
      <c r="K348" s="10" t="s">
        <v>1389</v>
      </c>
      <c r="L348" s="6">
        <v>3865</v>
      </c>
      <c r="M348" s="6">
        <v>3865</v>
      </c>
      <c r="N348" s="7" t="s">
        <v>239</v>
      </c>
      <c r="O348" s="6" t="s">
        <v>239</v>
      </c>
      <c r="P348" s="6" t="s">
        <v>239</v>
      </c>
      <c r="Q348" s="6" t="s">
        <v>236</v>
      </c>
      <c r="R348" s="6"/>
      <c r="S348" s="6">
        <f t="shared" si="5"/>
        <v>3865</v>
      </c>
      <c r="T348" s="6"/>
      <c r="U348" s="6"/>
      <c r="V348" s="6"/>
      <c r="W348" s="6" t="s">
        <v>236</v>
      </c>
      <c r="X348" s="6" t="s">
        <v>236</v>
      </c>
      <c r="Y348" s="6" t="s">
        <v>236</v>
      </c>
      <c r="Z348" s="6" t="s">
        <v>236</v>
      </c>
      <c r="AA348" s="6" t="s">
        <v>236</v>
      </c>
    </row>
    <row r="349" spans="1:27">
      <c r="A349" s="6">
        <v>348</v>
      </c>
      <c r="B349" s="6" t="s">
        <v>225</v>
      </c>
      <c r="C349" s="7">
        <v>46109</v>
      </c>
      <c r="D349" s="6" t="s">
        <v>226</v>
      </c>
      <c r="E349" s="6" t="s">
        <v>29</v>
      </c>
      <c r="F349" s="6" t="s">
        <v>267</v>
      </c>
      <c r="G349" s="6">
        <v>28</v>
      </c>
      <c r="H349" s="11" t="s">
        <v>1390</v>
      </c>
      <c r="I349" s="11">
        <v>9900974854</v>
      </c>
      <c r="J349" s="10" t="s">
        <v>1391</v>
      </c>
      <c r="K349" s="10" t="s">
        <v>1391</v>
      </c>
      <c r="L349" s="6">
        <v>890</v>
      </c>
      <c r="M349" s="6">
        <v>890</v>
      </c>
      <c r="N349" s="7" t="s">
        <v>239</v>
      </c>
      <c r="O349" s="6" t="s">
        <v>239</v>
      </c>
      <c r="P349" s="6" t="s">
        <v>239</v>
      </c>
      <c r="Q349" s="6" t="s">
        <v>236</v>
      </c>
      <c r="R349" s="6"/>
      <c r="S349" s="6">
        <f t="shared" si="5"/>
        <v>890</v>
      </c>
      <c r="T349" s="6"/>
      <c r="U349" s="6"/>
      <c r="V349" s="6"/>
      <c r="W349" s="6" t="s">
        <v>236</v>
      </c>
      <c r="X349" s="6" t="s">
        <v>236</v>
      </c>
      <c r="Y349" s="6" t="s">
        <v>236</v>
      </c>
      <c r="Z349" s="6" t="s">
        <v>236</v>
      </c>
      <c r="AA349" s="6" t="s">
        <v>236</v>
      </c>
    </row>
    <row r="350" spans="1:27">
      <c r="A350" s="6">
        <v>349</v>
      </c>
      <c r="B350" s="6" t="s">
        <v>225</v>
      </c>
      <c r="C350" s="7">
        <v>46109</v>
      </c>
      <c r="D350" s="6" t="s">
        <v>226</v>
      </c>
      <c r="E350" s="6" t="s">
        <v>29</v>
      </c>
      <c r="F350" s="6" t="s">
        <v>267</v>
      </c>
      <c r="G350" s="6">
        <v>28</v>
      </c>
      <c r="H350" s="11" t="s">
        <v>1392</v>
      </c>
      <c r="I350" s="11">
        <v>9949447124</v>
      </c>
      <c r="J350" s="10" t="s">
        <v>1393</v>
      </c>
      <c r="K350" s="10" t="s">
        <v>1393</v>
      </c>
      <c r="L350" s="6">
        <v>2450</v>
      </c>
      <c r="M350" s="6">
        <v>2450</v>
      </c>
      <c r="N350" s="7" t="s">
        <v>239</v>
      </c>
      <c r="O350" s="6" t="s">
        <v>239</v>
      </c>
      <c r="P350" s="6" t="s">
        <v>239</v>
      </c>
      <c r="Q350" s="6" t="s">
        <v>236</v>
      </c>
      <c r="R350" s="6"/>
      <c r="S350" s="6">
        <f t="shared" si="5"/>
        <v>2450</v>
      </c>
      <c r="T350" s="6"/>
      <c r="U350" s="6"/>
      <c r="V350" s="6"/>
      <c r="W350" s="6" t="s">
        <v>236</v>
      </c>
      <c r="X350" s="6" t="s">
        <v>236</v>
      </c>
      <c r="Y350" s="6" t="s">
        <v>236</v>
      </c>
      <c r="Z350" s="6" t="s">
        <v>236</v>
      </c>
      <c r="AA350" s="6" t="s">
        <v>236</v>
      </c>
    </row>
    <row r="351" spans="1:27">
      <c r="A351" s="6">
        <v>350</v>
      </c>
      <c r="B351" s="6" t="s">
        <v>225</v>
      </c>
      <c r="C351" s="7">
        <v>46109</v>
      </c>
      <c r="D351" s="6" t="s">
        <v>226</v>
      </c>
      <c r="E351" s="6" t="s">
        <v>29</v>
      </c>
      <c r="F351" s="6" t="s">
        <v>267</v>
      </c>
      <c r="G351" s="6">
        <v>28</v>
      </c>
      <c r="H351" s="11" t="s">
        <v>1394</v>
      </c>
      <c r="I351" s="11">
        <v>8281293335</v>
      </c>
      <c r="J351" s="10" t="s">
        <v>1395</v>
      </c>
      <c r="K351" s="10" t="s">
        <v>1395</v>
      </c>
      <c r="L351" s="6">
        <v>980</v>
      </c>
      <c r="M351" s="6">
        <v>980</v>
      </c>
      <c r="N351" s="7" t="s">
        <v>239</v>
      </c>
      <c r="O351" s="6" t="s">
        <v>239</v>
      </c>
      <c r="P351" s="6" t="s">
        <v>239</v>
      </c>
      <c r="Q351" s="6" t="s">
        <v>236</v>
      </c>
      <c r="R351" s="6"/>
      <c r="S351" s="6">
        <f t="shared" si="5"/>
        <v>980</v>
      </c>
      <c r="T351" s="6"/>
      <c r="U351" s="6"/>
      <c r="V351" s="6"/>
      <c r="W351" s="6" t="s">
        <v>236</v>
      </c>
      <c r="X351" s="6" t="s">
        <v>236</v>
      </c>
      <c r="Y351" s="6" t="s">
        <v>236</v>
      </c>
      <c r="Z351" s="6" t="s">
        <v>236</v>
      </c>
      <c r="AA351" s="6" t="s">
        <v>236</v>
      </c>
    </row>
    <row r="352" spans="1:27">
      <c r="A352" s="6">
        <v>351</v>
      </c>
      <c r="B352" s="6" t="s">
        <v>225</v>
      </c>
      <c r="C352" s="7">
        <v>46109</v>
      </c>
      <c r="D352" s="6" t="s">
        <v>226</v>
      </c>
      <c r="E352" s="6" t="s">
        <v>29</v>
      </c>
      <c r="F352" s="6" t="s">
        <v>267</v>
      </c>
      <c r="G352" s="6">
        <v>28</v>
      </c>
      <c r="H352" s="11" t="s">
        <v>1396</v>
      </c>
      <c r="I352" s="11">
        <v>8428468622</v>
      </c>
      <c r="J352" s="10" t="s">
        <v>1397</v>
      </c>
      <c r="K352" s="10" t="s">
        <v>1397</v>
      </c>
      <c r="L352" s="6">
        <v>1180</v>
      </c>
      <c r="M352" s="6">
        <v>1180</v>
      </c>
      <c r="N352" s="7" t="s">
        <v>239</v>
      </c>
      <c r="O352" s="6" t="s">
        <v>239</v>
      </c>
      <c r="P352" s="6" t="s">
        <v>239</v>
      </c>
      <c r="Q352" s="6" t="s">
        <v>236</v>
      </c>
      <c r="R352" s="6"/>
      <c r="S352" s="6">
        <f t="shared" si="5"/>
        <v>1180</v>
      </c>
      <c r="T352" s="6"/>
      <c r="U352" s="6"/>
      <c r="V352" s="6"/>
      <c r="W352" s="6" t="s">
        <v>236</v>
      </c>
      <c r="X352" s="6" t="s">
        <v>236</v>
      </c>
      <c r="Y352" s="6" t="s">
        <v>236</v>
      </c>
      <c r="Z352" s="6" t="s">
        <v>236</v>
      </c>
      <c r="AA352" s="6" t="s">
        <v>236</v>
      </c>
    </row>
    <row r="353" spans="1:27">
      <c r="A353" s="6">
        <v>352</v>
      </c>
      <c r="B353" s="6" t="s">
        <v>1398</v>
      </c>
      <c r="C353" s="6"/>
      <c r="D353" s="6" t="s">
        <v>933</v>
      </c>
      <c r="E353" s="6" t="s">
        <v>29</v>
      </c>
      <c r="F353" s="6" t="s">
        <v>934</v>
      </c>
      <c r="G353" s="8">
        <v>20</v>
      </c>
      <c r="H353" s="8" t="s">
        <v>1399</v>
      </c>
      <c r="I353" s="8">
        <v>9160661235</v>
      </c>
      <c r="J353" s="24" t="s">
        <v>1400</v>
      </c>
      <c r="K353" s="8" t="s">
        <v>1401</v>
      </c>
      <c r="L353" s="25">
        <v>16400</v>
      </c>
      <c r="M353" s="25">
        <v>16400</v>
      </c>
      <c r="N353" s="7">
        <v>46095</v>
      </c>
      <c r="O353" s="6" t="s">
        <v>1398</v>
      </c>
      <c r="P353" s="6" t="s">
        <v>52</v>
      </c>
      <c r="Q353" s="6" t="s">
        <v>1398</v>
      </c>
      <c r="R353" s="6">
        <v>16400</v>
      </c>
      <c r="S353" s="6">
        <f t="shared" si="5"/>
        <v>0</v>
      </c>
      <c r="T353" s="7">
        <v>46095</v>
      </c>
      <c r="U353" s="6" t="s">
        <v>1402</v>
      </c>
      <c r="V353" s="6" t="s">
        <v>54</v>
      </c>
      <c r="W353" s="26" t="s">
        <v>1398</v>
      </c>
      <c r="X353" s="26" t="s">
        <v>1403</v>
      </c>
      <c r="Y353" s="8" t="s">
        <v>1404</v>
      </c>
      <c r="Z353" s="6" t="s">
        <v>215</v>
      </c>
      <c r="AA353" s="6" t="s">
        <v>40</v>
      </c>
    </row>
    <row r="354" spans="1:27">
      <c r="A354" s="6">
        <v>353</v>
      </c>
      <c r="B354" s="6" t="s">
        <v>1398</v>
      </c>
      <c r="C354" s="6"/>
      <c r="D354" s="6" t="s">
        <v>933</v>
      </c>
      <c r="E354" s="6" t="s">
        <v>29</v>
      </c>
      <c r="F354" s="6" t="s">
        <v>934</v>
      </c>
      <c r="G354" s="8">
        <v>20</v>
      </c>
      <c r="H354" s="8" t="s">
        <v>1405</v>
      </c>
      <c r="I354" s="8" t="s">
        <v>1406</v>
      </c>
      <c r="J354" s="24" t="s">
        <v>1407</v>
      </c>
      <c r="K354" s="8" t="s">
        <v>1408</v>
      </c>
      <c r="L354" s="25">
        <v>16200</v>
      </c>
      <c r="M354" s="25">
        <v>16200</v>
      </c>
      <c r="N354" s="7">
        <v>46166</v>
      </c>
      <c r="O354" s="6" t="s">
        <v>1409</v>
      </c>
      <c r="P354" s="6" t="s">
        <v>52</v>
      </c>
      <c r="Q354" s="6" t="s">
        <v>1398</v>
      </c>
      <c r="R354" s="6">
        <v>16200</v>
      </c>
      <c r="S354" s="6">
        <f t="shared" si="5"/>
        <v>0</v>
      </c>
      <c r="T354" s="7">
        <v>46166</v>
      </c>
      <c r="U354" s="6" t="s">
        <v>1410</v>
      </c>
      <c r="V354" s="6" t="s">
        <v>54</v>
      </c>
      <c r="W354" s="26" t="s">
        <v>1411</v>
      </c>
      <c r="X354" s="26" t="s">
        <v>1411</v>
      </c>
      <c r="Y354" s="8" t="s">
        <v>1412</v>
      </c>
      <c r="Z354" s="6" t="s">
        <v>40</v>
      </c>
      <c r="AA354" s="6" t="s">
        <v>40</v>
      </c>
    </row>
    <row r="355" spans="1:27">
      <c r="A355" s="6">
        <v>354</v>
      </c>
      <c r="B355" s="6" t="s">
        <v>1398</v>
      </c>
      <c r="C355" s="6"/>
      <c r="D355" s="6" t="s">
        <v>933</v>
      </c>
      <c r="E355" s="6" t="s">
        <v>29</v>
      </c>
      <c r="F355" s="6" t="s">
        <v>1413</v>
      </c>
      <c r="G355" s="8">
        <v>20</v>
      </c>
      <c r="H355" s="8" t="s">
        <v>1414</v>
      </c>
      <c r="I355" s="8" t="s">
        <v>1415</v>
      </c>
      <c r="J355" s="24" t="s">
        <v>1416</v>
      </c>
      <c r="K355" s="8" t="s">
        <v>1417</v>
      </c>
      <c r="L355" s="25">
        <v>10200</v>
      </c>
      <c r="M355" s="25">
        <v>10200</v>
      </c>
      <c r="N355" s="7" t="s">
        <v>239</v>
      </c>
      <c r="O355" s="6" t="s">
        <v>239</v>
      </c>
      <c r="P355" s="6" t="s">
        <v>239</v>
      </c>
      <c r="Q355" s="6" t="s">
        <v>1398</v>
      </c>
      <c r="R355" s="6"/>
      <c r="S355" s="6">
        <f t="shared" si="5"/>
        <v>10200</v>
      </c>
      <c r="T355" s="6"/>
      <c r="U355" s="6"/>
      <c r="V355" s="6"/>
      <c r="W355" s="26" t="s">
        <v>1418</v>
      </c>
      <c r="X355" s="26" t="s">
        <v>1418</v>
      </c>
      <c r="Y355" s="8" t="s">
        <v>1419</v>
      </c>
      <c r="Z355" s="6" t="s">
        <v>1420</v>
      </c>
      <c r="AA355" s="6" t="s">
        <v>40</v>
      </c>
    </row>
    <row r="356" spans="1:27">
      <c r="A356" s="6">
        <v>355</v>
      </c>
      <c r="B356" s="6" t="s">
        <v>1398</v>
      </c>
      <c r="C356" s="6"/>
      <c r="D356" s="6" t="s">
        <v>933</v>
      </c>
      <c r="E356" s="6" t="s">
        <v>29</v>
      </c>
      <c r="F356" s="6" t="s">
        <v>934</v>
      </c>
      <c r="G356" s="12">
        <v>20</v>
      </c>
      <c r="H356" s="12" t="s">
        <v>1421</v>
      </c>
      <c r="I356" s="12">
        <v>9666509125</v>
      </c>
      <c r="J356" s="23" t="s">
        <v>1422</v>
      </c>
      <c r="K356" s="12" t="s">
        <v>1423</v>
      </c>
      <c r="L356" s="12">
        <v>1700</v>
      </c>
      <c r="M356" s="12">
        <v>1700</v>
      </c>
      <c r="N356" s="7" t="s">
        <v>239</v>
      </c>
      <c r="O356" s="6" t="s">
        <v>239</v>
      </c>
      <c r="P356" s="6" t="s">
        <v>239</v>
      </c>
      <c r="Q356" s="6" t="s">
        <v>1398</v>
      </c>
      <c r="R356" s="6"/>
      <c r="S356" s="6">
        <f t="shared" si="5"/>
        <v>1700</v>
      </c>
      <c r="T356" s="6"/>
      <c r="U356" s="6"/>
      <c r="V356" s="6"/>
      <c r="W356" s="26" t="s">
        <v>1418</v>
      </c>
      <c r="X356" s="26" t="s">
        <v>1418</v>
      </c>
      <c r="Y356" s="8" t="s">
        <v>1424</v>
      </c>
      <c r="Z356" s="6" t="s">
        <v>1420</v>
      </c>
      <c r="AA356" s="6" t="s">
        <v>40</v>
      </c>
    </row>
    <row r="357" spans="1:27">
      <c r="A357" s="6">
        <v>356</v>
      </c>
      <c r="B357" s="6" t="s">
        <v>1425</v>
      </c>
      <c r="C357" s="7">
        <v>46111</v>
      </c>
      <c r="D357" s="6" t="s">
        <v>933</v>
      </c>
      <c r="E357" s="6" t="s">
        <v>29</v>
      </c>
      <c r="F357" s="6" t="s">
        <v>1426</v>
      </c>
      <c r="G357" s="8">
        <v>20</v>
      </c>
      <c r="H357" s="8" t="s">
        <v>1427</v>
      </c>
      <c r="I357" s="27" t="s">
        <v>1428</v>
      </c>
      <c r="J357" s="27" t="s">
        <v>1429</v>
      </c>
      <c r="K357" s="27" t="s">
        <v>1429</v>
      </c>
      <c r="L357" s="8">
        <v>978</v>
      </c>
      <c r="M357" s="6">
        <v>978</v>
      </c>
      <c r="N357" s="7" t="s">
        <v>239</v>
      </c>
      <c r="O357" s="6" t="s">
        <v>239</v>
      </c>
      <c r="P357" s="6" t="s">
        <v>239</v>
      </c>
      <c r="Q357" s="6" t="s">
        <v>1425</v>
      </c>
      <c r="R357" s="6"/>
      <c r="S357" s="6">
        <f t="shared" si="5"/>
        <v>978</v>
      </c>
      <c r="T357" s="6"/>
      <c r="U357" s="6"/>
      <c r="V357" s="6"/>
      <c r="W357" s="8" t="s">
        <v>1430</v>
      </c>
      <c r="X357" s="8" t="s">
        <v>1431</v>
      </c>
      <c r="Y357" s="6" t="s">
        <v>1432</v>
      </c>
      <c r="Z357" s="6" t="s">
        <v>1433</v>
      </c>
      <c r="AA357" s="6" t="s">
        <v>373</v>
      </c>
    </row>
    <row r="358" spans="1:27">
      <c r="A358" s="6">
        <v>357</v>
      </c>
      <c r="B358" s="6" t="s">
        <v>1425</v>
      </c>
      <c r="C358" s="7">
        <v>46111</v>
      </c>
      <c r="D358" s="6" t="s">
        <v>933</v>
      </c>
      <c r="E358" s="6" t="s">
        <v>29</v>
      </c>
      <c r="F358" s="6" t="s">
        <v>1426</v>
      </c>
      <c r="G358" s="6">
        <v>20</v>
      </c>
      <c r="H358" s="8" t="s">
        <v>1434</v>
      </c>
      <c r="I358" s="27" t="s">
        <v>1435</v>
      </c>
      <c r="J358" s="27" t="s">
        <v>1436</v>
      </c>
      <c r="K358" s="27" t="s">
        <v>1436</v>
      </c>
      <c r="L358" s="8">
        <v>477.11</v>
      </c>
      <c r="M358" s="6">
        <v>478</v>
      </c>
      <c r="N358" s="7" t="s">
        <v>239</v>
      </c>
      <c r="O358" s="6" t="s">
        <v>239</v>
      </c>
      <c r="P358" s="6" t="s">
        <v>239</v>
      </c>
      <c r="Q358" s="6" t="s">
        <v>1425</v>
      </c>
      <c r="R358" s="6"/>
      <c r="S358" s="6">
        <f t="shared" si="5"/>
        <v>478</v>
      </c>
      <c r="T358" s="6"/>
      <c r="U358" s="6"/>
      <c r="V358" s="6"/>
      <c r="W358" s="8" t="s">
        <v>1437</v>
      </c>
      <c r="X358" s="8" t="s">
        <v>1438</v>
      </c>
      <c r="Y358" s="6" t="s">
        <v>1439</v>
      </c>
      <c r="Z358" s="6" t="s">
        <v>1440</v>
      </c>
      <c r="AA358" s="6" t="s">
        <v>373</v>
      </c>
    </row>
    <row r="359" spans="1:27">
      <c r="A359" s="6">
        <v>358</v>
      </c>
      <c r="B359" s="6" t="s">
        <v>1425</v>
      </c>
      <c r="C359" s="7">
        <v>46111</v>
      </c>
      <c r="D359" s="6" t="s">
        <v>933</v>
      </c>
      <c r="E359" s="6" t="s">
        <v>29</v>
      </c>
      <c r="F359" s="6" t="s">
        <v>1426</v>
      </c>
      <c r="G359" s="6">
        <v>20</v>
      </c>
      <c r="H359" s="8" t="s">
        <v>1441</v>
      </c>
      <c r="I359" s="27" t="s">
        <v>1442</v>
      </c>
      <c r="J359" s="27" t="s">
        <v>1443</v>
      </c>
      <c r="K359" s="27" t="s">
        <v>1443</v>
      </c>
      <c r="L359" s="8">
        <v>42.44</v>
      </c>
      <c r="M359" s="6">
        <v>43</v>
      </c>
      <c r="N359" s="7" t="s">
        <v>239</v>
      </c>
      <c r="O359" s="6" t="s">
        <v>239</v>
      </c>
      <c r="P359" s="6" t="s">
        <v>239</v>
      </c>
      <c r="Q359" s="6" t="s">
        <v>1425</v>
      </c>
      <c r="R359" s="6"/>
      <c r="S359" s="6">
        <f t="shared" si="5"/>
        <v>43</v>
      </c>
      <c r="T359" s="6"/>
      <c r="U359" s="6"/>
      <c r="V359" s="6"/>
      <c r="W359" s="8" t="s">
        <v>1437</v>
      </c>
      <c r="X359" s="8" t="s">
        <v>1444</v>
      </c>
      <c r="Y359" s="6" t="s">
        <v>1445</v>
      </c>
      <c r="Z359" s="6" t="s">
        <v>1446</v>
      </c>
      <c r="AA359" s="6" t="s">
        <v>373</v>
      </c>
    </row>
    <row r="360" spans="1:27">
      <c r="A360" s="6">
        <v>359</v>
      </c>
      <c r="B360" s="6" t="s">
        <v>1425</v>
      </c>
      <c r="C360" s="7">
        <v>46112</v>
      </c>
      <c r="D360" s="6" t="s">
        <v>933</v>
      </c>
      <c r="E360" s="6" t="s">
        <v>29</v>
      </c>
      <c r="F360" s="6" t="s">
        <v>1426</v>
      </c>
      <c r="G360" s="6">
        <v>20</v>
      </c>
      <c r="H360" s="27" t="s">
        <v>1447</v>
      </c>
      <c r="I360" s="27" t="s">
        <v>1448</v>
      </c>
      <c r="J360" s="27" t="s">
        <v>1449</v>
      </c>
      <c r="K360" s="27" t="s">
        <v>1449</v>
      </c>
      <c r="L360" s="6">
        <v>30599</v>
      </c>
      <c r="M360" s="6">
        <v>600</v>
      </c>
      <c r="N360" s="7" t="s">
        <v>239</v>
      </c>
      <c r="O360" s="6" t="s">
        <v>239</v>
      </c>
      <c r="P360" s="6" t="s">
        <v>239</v>
      </c>
      <c r="Q360" s="6" t="s">
        <v>1425</v>
      </c>
      <c r="R360" s="6"/>
      <c r="S360" s="6">
        <f t="shared" si="5"/>
        <v>600</v>
      </c>
      <c r="T360" s="6"/>
      <c r="U360" s="6"/>
      <c r="V360" s="6"/>
      <c r="W360" s="8" t="s">
        <v>1437</v>
      </c>
      <c r="X360" s="8" t="s">
        <v>1450</v>
      </c>
      <c r="Y360" s="6" t="s">
        <v>1451</v>
      </c>
      <c r="Z360" s="6" t="s">
        <v>669</v>
      </c>
      <c r="AA360" s="6" t="s">
        <v>373</v>
      </c>
    </row>
    <row r="361" spans="1:27">
      <c r="A361" s="6">
        <v>360</v>
      </c>
      <c r="B361" s="6" t="s">
        <v>1452</v>
      </c>
      <c r="C361" s="7">
        <v>46112</v>
      </c>
      <c r="D361" s="6" t="s">
        <v>933</v>
      </c>
      <c r="E361" s="6" t="s">
        <v>29</v>
      </c>
      <c r="F361" s="6" t="s">
        <v>1453</v>
      </c>
      <c r="G361" s="6">
        <v>10</v>
      </c>
      <c r="H361" s="12" t="s">
        <v>1454</v>
      </c>
      <c r="I361" s="12" t="s">
        <v>1455</v>
      </c>
      <c r="J361" s="27" t="s">
        <v>1456</v>
      </c>
      <c r="K361" s="27" t="s">
        <v>1456</v>
      </c>
      <c r="L361" s="6">
        <v>11165</v>
      </c>
      <c r="M361" s="6">
        <v>255.2</v>
      </c>
      <c r="N361" s="7" t="s">
        <v>239</v>
      </c>
      <c r="O361" s="6" t="s">
        <v>239</v>
      </c>
      <c r="P361" s="6" t="s">
        <v>239</v>
      </c>
      <c r="Q361" s="6" t="s">
        <v>76</v>
      </c>
      <c r="R361" s="6"/>
      <c r="S361" s="6">
        <f t="shared" si="5"/>
        <v>255.2</v>
      </c>
      <c r="T361" s="6"/>
      <c r="U361" s="6"/>
      <c r="V361" s="6"/>
      <c r="W361" s="12" t="s">
        <v>1028</v>
      </c>
      <c r="X361" s="12" t="s">
        <v>660</v>
      </c>
      <c r="Y361" s="12" t="s">
        <v>1457</v>
      </c>
      <c r="Z361" s="6" t="s">
        <v>1420</v>
      </c>
      <c r="AA361" s="6" t="s">
        <v>235</v>
      </c>
    </row>
    <row r="362" spans="1:27">
      <c r="A362" s="6">
        <v>361</v>
      </c>
      <c r="B362" s="6" t="s">
        <v>1452</v>
      </c>
      <c r="C362" s="7">
        <v>46112</v>
      </c>
      <c r="D362" s="6" t="s">
        <v>933</v>
      </c>
      <c r="E362" s="6" t="s">
        <v>29</v>
      </c>
      <c r="F362" s="6" t="s">
        <v>1453</v>
      </c>
      <c r="G362" s="6">
        <v>5</v>
      </c>
      <c r="H362" s="12" t="s">
        <v>1458</v>
      </c>
      <c r="I362" s="12" t="s">
        <v>1459</v>
      </c>
      <c r="J362" s="27" t="s">
        <v>1460</v>
      </c>
      <c r="K362" s="27" t="s">
        <v>1460</v>
      </c>
      <c r="L362" s="12">
        <v>1571.7</v>
      </c>
      <c r="M362" s="12">
        <v>1571.7</v>
      </c>
      <c r="N362" s="7" t="s">
        <v>239</v>
      </c>
      <c r="O362" s="6" t="s">
        <v>239</v>
      </c>
      <c r="P362" s="6" t="s">
        <v>239</v>
      </c>
      <c r="Q362" s="6" t="s">
        <v>76</v>
      </c>
      <c r="R362" s="6"/>
      <c r="S362" s="6">
        <f t="shared" si="5"/>
        <v>1571.7</v>
      </c>
      <c r="T362" s="6"/>
      <c r="U362" s="6"/>
      <c r="V362" s="6"/>
      <c r="W362" s="12" t="s">
        <v>1095</v>
      </c>
      <c r="X362" s="12" t="s">
        <v>1334</v>
      </c>
      <c r="Y362" s="12" t="s">
        <v>1461</v>
      </c>
      <c r="Z362" s="6" t="s">
        <v>571</v>
      </c>
      <c r="AA362" s="6" t="s">
        <v>235</v>
      </c>
    </row>
    <row r="363" spans="1:27">
      <c r="A363" s="6">
        <v>362</v>
      </c>
      <c r="B363" s="6" t="s">
        <v>1452</v>
      </c>
      <c r="C363" s="7">
        <v>46112</v>
      </c>
      <c r="D363" s="6" t="s">
        <v>933</v>
      </c>
      <c r="E363" s="6" t="s">
        <v>29</v>
      </c>
      <c r="F363" s="6" t="s">
        <v>1453</v>
      </c>
      <c r="G363" s="6">
        <v>5</v>
      </c>
      <c r="H363" s="12" t="s">
        <v>1462</v>
      </c>
      <c r="I363" s="12" t="s">
        <v>1463</v>
      </c>
      <c r="J363" s="27" t="s">
        <v>1464</v>
      </c>
      <c r="K363" s="27" t="s">
        <v>1464</v>
      </c>
      <c r="L363" s="12">
        <v>1423.46</v>
      </c>
      <c r="M363" s="12">
        <v>1423.46</v>
      </c>
      <c r="N363" s="7" t="s">
        <v>239</v>
      </c>
      <c r="O363" s="6" t="s">
        <v>239</v>
      </c>
      <c r="P363" s="6" t="s">
        <v>239</v>
      </c>
      <c r="Q363" s="6" t="s">
        <v>76</v>
      </c>
      <c r="R363" s="6"/>
      <c r="S363" s="6">
        <f t="shared" si="5"/>
        <v>1423.46</v>
      </c>
      <c r="T363" s="6"/>
      <c r="U363" s="6"/>
      <c r="V363" s="6"/>
      <c r="W363" s="12" t="s">
        <v>1095</v>
      </c>
      <c r="X363" s="12" t="s">
        <v>1465</v>
      </c>
      <c r="Y363" s="12" t="s">
        <v>1466</v>
      </c>
      <c r="Z363" s="6" t="s">
        <v>215</v>
      </c>
      <c r="AA363" s="6" t="s">
        <v>235</v>
      </c>
    </row>
    <row r="364" spans="1:27">
      <c r="A364" s="6">
        <v>363</v>
      </c>
      <c r="B364" s="6" t="s">
        <v>1452</v>
      </c>
      <c r="C364" s="7">
        <v>46112</v>
      </c>
      <c r="D364" s="6" t="s">
        <v>933</v>
      </c>
      <c r="E364" s="6" t="s">
        <v>29</v>
      </c>
      <c r="F364" s="6" t="s">
        <v>1453</v>
      </c>
      <c r="G364" s="12">
        <v>5</v>
      </c>
      <c r="H364" s="12" t="s">
        <v>1467</v>
      </c>
      <c r="I364" s="12" t="s">
        <v>1468</v>
      </c>
      <c r="J364" s="27" t="s">
        <v>1469</v>
      </c>
      <c r="K364" s="27" t="s">
        <v>1469</v>
      </c>
      <c r="L364" s="12">
        <v>1005.58</v>
      </c>
      <c r="M364" s="12">
        <v>1005.58</v>
      </c>
      <c r="N364" s="7" t="s">
        <v>239</v>
      </c>
      <c r="O364" s="6" t="s">
        <v>239</v>
      </c>
      <c r="P364" s="6" t="s">
        <v>239</v>
      </c>
      <c r="Q364" s="6" t="s">
        <v>76</v>
      </c>
      <c r="R364" s="6"/>
      <c r="S364" s="6">
        <f t="shared" si="5"/>
        <v>1005.58</v>
      </c>
      <c r="T364" s="6"/>
      <c r="U364" s="6"/>
      <c r="V364" s="6"/>
      <c r="W364" s="12" t="s">
        <v>1470</v>
      </c>
      <c r="X364" s="12" t="s">
        <v>1341</v>
      </c>
      <c r="Y364" s="12" t="s">
        <v>1471</v>
      </c>
      <c r="Z364" s="6" t="s">
        <v>1208</v>
      </c>
      <c r="AA364" s="6" t="s">
        <v>235</v>
      </c>
    </row>
    <row r="365" spans="1:27">
      <c r="A365" s="6">
        <v>364</v>
      </c>
      <c r="B365" s="6" t="s">
        <v>1452</v>
      </c>
      <c r="C365" s="7">
        <v>46112</v>
      </c>
      <c r="D365" s="6" t="s">
        <v>933</v>
      </c>
      <c r="E365" s="6" t="s">
        <v>29</v>
      </c>
      <c r="F365" s="6" t="s">
        <v>1472</v>
      </c>
      <c r="G365" s="6">
        <v>5</v>
      </c>
      <c r="H365" s="6" t="s">
        <v>1473</v>
      </c>
      <c r="I365" s="12" t="s">
        <v>1474</v>
      </c>
      <c r="J365" s="27" t="s">
        <v>1475</v>
      </c>
      <c r="K365" s="27" t="s">
        <v>1475</v>
      </c>
      <c r="L365" s="6">
        <v>610</v>
      </c>
      <c r="M365" s="6">
        <v>610</v>
      </c>
      <c r="N365" s="7" t="s">
        <v>239</v>
      </c>
      <c r="O365" s="6" t="s">
        <v>239</v>
      </c>
      <c r="P365" s="6" t="s">
        <v>239</v>
      </c>
      <c r="Q365" s="6" t="s">
        <v>76</v>
      </c>
      <c r="R365" s="6"/>
      <c r="S365" s="6">
        <f t="shared" si="5"/>
        <v>610</v>
      </c>
      <c r="T365" s="6"/>
      <c r="U365" s="6"/>
      <c r="V365" s="6"/>
      <c r="W365" s="12" t="s">
        <v>1333</v>
      </c>
      <c r="X365" s="12" t="s">
        <v>1334</v>
      </c>
      <c r="Y365" s="12" t="s">
        <v>1476</v>
      </c>
      <c r="Z365" s="6" t="s">
        <v>215</v>
      </c>
      <c r="AA365" s="6" t="s">
        <v>235</v>
      </c>
    </row>
    <row r="366" spans="1:27">
      <c r="A366" s="6">
        <v>365</v>
      </c>
      <c r="B366" s="6"/>
      <c r="C366" s="7">
        <v>46112</v>
      </c>
      <c r="D366" s="6" t="s">
        <v>28</v>
      </c>
      <c r="E366" s="6" t="s">
        <v>1477</v>
      </c>
      <c r="F366" s="6" t="s">
        <v>30</v>
      </c>
      <c r="G366" s="6">
        <v>12</v>
      </c>
      <c r="H366" s="6" t="s">
        <v>1478</v>
      </c>
      <c r="I366" s="6" t="s">
        <v>1479</v>
      </c>
      <c r="J366" s="6" t="s">
        <v>1480</v>
      </c>
      <c r="K366" s="6" t="s">
        <v>1481</v>
      </c>
      <c r="L366" s="6">
        <v>25710.74</v>
      </c>
      <c r="M366" s="6">
        <v>25710.74</v>
      </c>
      <c r="N366" s="7" t="s">
        <v>35</v>
      </c>
      <c r="O366" s="6" t="s">
        <v>35</v>
      </c>
      <c r="P366" s="6" t="s">
        <v>35</v>
      </c>
      <c r="Q366" s="6" t="s">
        <v>27</v>
      </c>
      <c r="R366" s="6"/>
      <c r="S366" s="6">
        <f t="shared" si="5"/>
        <v>25710.74</v>
      </c>
      <c r="T366" s="6"/>
      <c r="U366" s="6"/>
      <c r="V366" s="6"/>
      <c r="W366" s="6" t="s">
        <v>444</v>
      </c>
      <c r="X366" s="6" t="s">
        <v>444</v>
      </c>
      <c r="Y366" s="6" t="s">
        <v>1482</v>
      </c>
      <c r="Z366" s="6" t="s">
        <v>1483</v>
      </c>
      <c r="AA366" s="6" t="s">
        <v>40</v>
      </c>
    </row>
    <row r="367" spans="1:27">
      <c r="A367" s="6">
        <v>366</v>
      </c>
      <c r="B367" s="6"/>
      <c r="C367" s="7">
        <v>46112</v>
      </c>
      <c r="D367" s="6" t="s">
        <v>28</v>
      </c>
      <c r="E367" s="6" t="s">
        <v>1477</v>
      </c>
      <c r="F367" s="6" t="s">
        <v>30</v>
      </c>
      <c r="G367" s="6">
        <v>12</v>
      </c>
      <c r="H367" s="6" t="s">
        <v>220</v>
      </c>
      <c r="I367" s="6" t="s">
        <v>1484</v>
      </c>
      <c r="J367" s="6" t="s">
        <v>221</v>
      </c>
      <c r="K367" s="6" t="s">
        <v>222</v>
      </c>
      <c r="L367" s="6">
        <v>22692.45</v>
      </c>
      <c r="M367" s="6">
        <v>22692.45</v>
      </c>
      <c r="N367" s="7" t="s">
        <v>35</v>
      </c>
      <c r="O367" s="6" t="s">
        <v>35</v>
      </c>
      <c r="P367" s="6" t="s">
        <v>35</v>
      </c>
      <c r="Q367" s="6" t="s">
        <v>27</v>
      </c>
      <c r="R367" s="6"/>
      <c r="S367" s="6">
        <f t="shared" si="5"/>
        <v>22692.45</v>
      </c>
      <c r="T367" s="6"/>
      <c r="U367" s="6"/>
      <c r="V367" s="6"/>
      <c r="W367" s="6" t="s">
        <v>89</v>
      </c>
      <c r="X367" s="6" t="s">
        <v>89</v>
      </c>
      <c r="Y367" s="6" t="s">
        <v>1485</v>
      </c>
      <c r="Z367" s="6" t="s">
        <v>1486</v>
      </c>
      <c r="AA367" s="6" t="s">
        <v>40</v>
      </c>
    </row>
    <row r="368" spans="1:27">
      <c r="A368" s="6">
        <v>367</v>
      </c>
      <c r="B368" s="6"/>
      <c r="C368" s="7">
        <v>46112</v>
      </c>
      <c r="D368" s="6" t="s">
        <v>28</v>
      </c>
      <c r="E368" s="6" t="s">
        <v>1477</v>
      </c>
      <c r="F368" s="6" t="s">
        <v>30</v>
      </c>
      <c r="G368" s="6">
        <v>12</v>
      </c>
      <c r="H368" s="6" t="s">
        <v>216</v>
      </c>
      <c r="I368" s="6" t="s">
        <v>1487</v>
      </c>
      <c r="J368" s="6" t="s">
        <v>217</v>
      </c>
      <c r="K368" s="6" t="s">
        <v>218</v>
      </c>
      <c r="L368" s="6">
        <v>21973.34</v>
      </c>
      <c r="M368" s="6">
        <v>21973.34</v>
      </c>
      <c r="N368" s="7" t="s">
        <v>35</v>
      </c>
      <c r="O368" s="6" t="s">
        <v>35</v>
      </c>
      <c r="P368" s="6" t="s">
        <v>35</v>
      </c>
      <c r="Q368" s="6" t="s">
        <v>27</v>
      </c>
      <c r="R368" s="6"/>
      <c r="S368" s="6">
        <f t="shared" si="5"/>
        <v>21973.34</v>
      </c>
      <c r="T368" s="6"/>
      <c r="U368" s="6"/>
      <c r="V368" s="6"/>
      <c r="W368" s="6" t="s">
        <v>96</v>
      </c>
      <c r="X368" s="6" t="s">
        <v>1488</v>
      </c>
      <c r="Y368" s="6" t="s">
        <v>1489</v>
      </c>
      <c r="Z368" s="6" t="s">
        <v>1336</v>
      </c>
      <c r="AA368" s="6" t="s">
        <v>40</v>
      </c>
    </row>
    <row r="369" spans="1:27">
      <c r="A369" s="6">
        <v>368</v>
      </c>
      <c r="B369" s="6"/>
      <c r="C369" s="7">
        <v>46112</v>
      </c>
      <c r="D369" s="6" t="s">
        <v>28</v>
      </c>
      <c r="E369" s="6" t="s">
        <v>1477</v>
      </c>
      <c r="F369" s="6" t="s">
        <v>30</v>
      </c>
      <c r="G369" s="6">
        <v>12</v>
      </c>
      <c r="H369" s="6" t="s">
        <v>207</v>
      </c>
      <c r="I369" s="6" t="s">
        <v>1490</v>
      </c>
      <c r="J369" s="6" t="s">
        <v>208</v>
      </c>
      <c r="K369" s="6" t="s">
        <v>209</v>
      </c>
      <c r="L369" s="6">
        <v>15763.56</v>
      </c>
      <c r="M369" s="6">
        <v>15763.56</v>
      </c>
      <c r="N369" s="7"/>
      <c r="O369" s="6" t="s">
        <v>35</v>
      </c>
      <c r="P369" s="6" t="s">
        <v>35</v>
      </c>
      <c r="Q369" s="6" t="s">
        <v>27</v>
      </c>
      <c r="R369" s="6">
        <f>4000+2000+2000</f>
        <v>8000</v>
      </c>
      <c r="S369" s="6">
        <f t="shared" si="5"/>
        <v>7763.5599999999995</v>
      </c>
      <c r="T369" s="6"/>
      <c r="U369" s="6" t="s">
        <v>1491</v>
      </c>
      <c r="V369" s="6" t="s">
        <v>54</v>
      </c>
      <c r="W369" s="6" t="s">
        <v>37</v>
      </c>
      <c r="X369" s="6" t="s">
        <v>37</v>
      </c>
      <c r="Y369" s="6" t="s">
        <v>1492</v>
      </c>
      <c r="Z369" s="6" t="s">
        <v>1493</v>
      </c>
      <c r="AA369" s="6" t="s">
        <v>40</v>
      </c>
    </row>
    <row r="370" spans="1:27">
      <c r="A370" s="6">
        <v>369</v>
      </c>
      <c r="B370" s="6"/>
      <c r="C370" s="7">
        <v>46112</v>
      </c>
      <c r="D370" s="6" t="s">
        <v>28</v>
      </c>
      <c r="E370" s="6" t="s">
        <v>1477</v>
      </c>
      <c r="F370" s="6" t="s">
        <v>30</v>
      </c>
      <c r="G370" s="6">
        <v>12</v>
      </c>
      <c r="H370" s="6" t="s">
        <v>202</v>
      </c>
      <c r="I370" s="6" t="s">
        <v>203</v>
      </c>
      <c r="J370" s="6" t="s">
        <v>204</v>
      </c>
      <c r="K370" s="6" t="s">
        <v>205</v>
      </c>
      <c r="L370" s="6">
        <v>14772.5</v>
      </c>
      <c r="M370" s="6">
        <v>14772.5</v>
      </c>
      <c r="N370" s="7" t="s">
        <v>35</v>
      </c>
      <c r="O370" s="6" t="s">
        <v>35</v>
      </c>
      <c r="P370" s="6" t="s">
        <v>35</v>
      </c>
      <c r="Q370" s="6" t="s">
        <v>27</v>
      </c>
      <c r="R370" s="6"/>
      <c r="S370" s="6">
        <f t="shared" si="5"/>
        <v>14772.5</v>
      </c>
      <c r="T370" s="6"/>
      <c r="U370" s="6"/>
      <c r="V370" s="6"/>
      <c r="W370" s="6" t="s">
        <v>76</v>
      </c>
      <c r="X370" s="6" t="s">
        <v>76</v>
      </c>
      <c r="Y370" s="6" t="s">
        <v>1494</v>
      </c>
      <c r="Z370" s="6" t="s">
        <v>1493</v>
      </c>
      <c r="AA370" s="6" t="s">
        <v>40</v>
      </c>
    </row>
    <row r="371" spans="1:27">
      <c r="A371" s="6">
        <v>370</v>
      </c>
      <c r="B371" s="6"/>
      <c r="C371" s="7">
        <v>46112</v>
      </c>
      <c r="D371" s="6" t="s">
        <v>28</v>
      </c>
      <c r="E371" s="6" t="s">
        <v>1477</v>
      </c>
      <c r="F371" s="6" t="s">
        <v>30</v>
      </c>
      <c r="G371" s="6">
        <v>12</v>
      </c>
      <c r="H371" s="6" t="s">
        <v>1495</v>
      </c>
      <c r="I371" s="6" t="s">
        <v>1496</v>
      </c>
      <c r="J371" s="6" t="s">
        <v>1497</v>
      </c>
      <c r="K371" s="6" t="s">
        <v>1498</v>
      </c>
      <c r="L371" s="6">
        <v>14297.76</v>
      </c>
      <c r="M371" s="6">
        <v>14297.76</v>
      </c>
      <c r="N371" s="7" t="s">
        <v>35</v>
      </c>
      <c r="O371" s="6" t="s">
        <v>35</v>
      </c>
      <c r="P371" s="6" t="s">
        <v>35</v>
      </c>
      <c r="Q371" s="6" t="s">
        <v>27</v>
      </c>
      <c r="R371" s="6"/>
      <c r="S371" s="6">
        <f t="shared" si="5"/>
        <v>14297.76</v>
      </c>
      <c r="T371" s="6"/>
      <c r="U371" s="6"/>
      <c r="V371" s="6"/>
      <c r="W371" s="6" t="s">
        <v>55</v>
      </c>
      <c r="X371" s="6" t="s">
        <v>55</v>
      </c>
      <c r="Y371" s="6" t="s">
        <v>1499</v>
      </c>
      <c r="Z371" s="6" t="s">
        <v>1500</v>
      </c>
      <c r="AA371" s="6" t="s">
        <v>40</v>
      </c>
    </row>
    <row r="372" spans="1:27">
      <c r="A372" s="6">
        <v>371</v>
      </c>
      <c r="B372" s="6"/>
      <c r="C372" s="7">
        <v>46112</v>
      </c>
      <c r="D372" s="6" t="s">
        <v>28</v>
      </c>
      <c r="E372" s="6" t="s">
        <v>1477</v>
      </c>
      <c r="F372" s="6" t="s">
        <v>30</v>
      </c>
      <c r="G372" s="6">
        <v>12</v>
      </c>
      <c r="H372" s="6" t="s">
        <v>197</v>
      </c>
      <c r="I372" s="6" t="s">
        <v>1501</v>
      </c>
      <c r="J372" s="6" t="s">
        <v>198</v>
      </c>
      <c r="K372" s="6" t="s">
        <v>199</v>
      </c>
      <c r="L372" s="6">
        <v>13629.62</v>
      </c>
      <c r="M372" s="6">
        <v>13629.62</v>
      </c>
      <c r="N372" s="7" t="s">
        <v>35</v>
      </c>
      <c r="O372" s="6" t="s">
        <v>35</v>
      </c>
      <c r="P372" s="6" t="s">
        <v>35</v>
      </c>
      <c r="Q372" s="6" t="s">
        <v>27</v>
      </c>
      <c r="R372" s="6"/>
      <c r="S372" s="6">
        <f t="shared" si="5"/>
        <v>13629.62</v>
      </c>
      <c r="T372" s="6"/>
      <c r="U372" s="6"/>
      <c r="V372" s="6"/>
      <c r="W372" s="6" t="s">
        <v>62</v>
      </c>
      <c r="X372" s="6" t="s">
        <v>62</v>
      </c>
      <c r="Y372" s="6" t="s">
        <v>1502</v>
      </c>
      <c r="Z372" s="6" t="s">
        <v>1493</v>
      </c>
      <c r="AA372" s="6" t="s">
        <v>40</v>
      </c>
    </row>
    <row r="373" spans="1:27">
      <c r="A373" s="6">
        <v>372</v>
      </c>
      <c r="B373" s="6"/>
      <c r="C373" s="7">
        <v>46112</v>
      </c>
      <c r="D373" s="6" t="s">
        <v>28</v>
      </c>
      <c r="E373" s="6" t="s">
        <v>1477</v>
      </c>
      <c r="F373" s="6" t="s">
        <v>30</v>
      </c>
      <c r="G373" s="6">
        <v>12</v>
      </c>
      <c r="H373" s="6" t="s">
        <v>1503</v>
      </c>
      <c r="I373" s="6" t="s">
        <v>1504</v>
      </c>
      <c r="J373" s="6" t="s">
        <v>1505</v>
      </c>
      <c r="K373" s="6"/>
      <c r="L373" s="6">
        <v>13586.27</v>
      </c>
      <c r="M373" s="6">
        <v>13586.27</v>
      </c>
      <c r="N373" s="7" t="s">
        <v>35</v>
      </c>
      <c r="O373" s="6" t="s">
        <v>35</v>
      </c>
      <c r="P373" s="6" t="s">
        <v>35</v>
      </c>
      <c r="Q373" s="6" t="s">
        <v>27</v>
      </c>
      <c r="R373" s="6"/>
      <c r="S373" s="6">
        <f t="shared" si="5"/>
        <v>13586.27</v>
      </c>
      <c r="T373" s="6"/>
      <c r="U373" s="6"/>
      <c r="V373" s="6"/>
      <c r="W373" s="6" t="s">
        <v>774</v>
      </c>
      <c r="X373" s="6" t="s">
        <v>774</v>
      </c>
      <c r="Y373" s="6" t="s">
        <v>1506</v>
      </c>
      <c r="Z373" s="6" t="s">
        <v>235</v>
      </c>
      <c r="AA373" s="6" t="s">
        <v>40</v>
      </c>
    </row>
    <row r="374" spans="1:27">
      <c r="A374" s="6">
        <v>373</v>
      </c>
      <c r="B374" s="6"/>
      <c r="C374" s="7">
        <v>46112</v>
      </c>
      <c r="D374" s="6" t="s">
        <v>28</v>
      </c>
      <c r="E374" s="6" t="s">
        <v>1477</v>
      </c>
      <c r="F374" s="6" t="s">
        <v>30</v>
      </c>
      <c r="G374" s="6">
        <v>12</v>
      </c>
      <c r="H374" s="6" t="s">
        <v>1507</v>
      </c>
      <c r="I374" s="6" t="s">
        <v>1508</v>
      </c>
      <c r="J374" s="6" t="s">
        <v>1509</v>
      </c>
      <c r="K374" s="6" t="s">
        <v>1510</v>
      </c>
      <c r="L374" s="6">
        <v>12983.33</v>
      </c>
      <c r="M374" s="6">
        <v>12983.33</v>
      </c>
      <c r="N374" s="7" t="s">
        <v>35</v>
      </c>
      <c r="O374" s="6" t="s">
        <v>35</v>
      </c>
      <c r="P374" s="6" t="s">
        <v>35</v>
      </c>
      <c r="Q374" s="6" t="s">
        <v>27</v>
      </c>
      <c r="R374" s="6"/>
      <c r="S374" s="6">
        <f t="shared" si="5"/>
        <v>12983.33</v>
      </c>
      <c r="T374" s="6"/>
      <c r="U374" s="6"/>
      <c r="V374" s="6"/>
      <c r="W374" s="6" t="s">
        <v>117</v>
      </c>
      <c r="X374" s="6" t="s">
        <v>117</v>
      </c>
      <c r="Y374" s="6" t="s">
        <v>1511</v>
      </c>
      <c r="Z374" s="6" t="s">
        <v>1486</v>
      </c>
      <c r="AA374" s="6" t="s">
        <v>40</v>
      </c>
    </row>
    <row r="375" spans="1:27">
      <c r="A375" s="6">
        <v>374</v>
      </c>
      <c r="B375" s="6"/>
      <c r="C375" s="7">
        <v>46112</v>
      </c>
      <c r="D375" s="6" t="s">
        <v>28</v>
      </c>
      <c r="E375" s="6" t="s">
        <v>1477</v>
      </c>
      <c r="F375" s="6" t="s">
        <v>30</v>
      </c>
      <c r="G375" s="6">
        <v>12</v>
      </c>
      <c r="H375" s="6" t="s">
        <v>1512</v>
      </c>
      <c r="I375" s="6" t="s">
        <v>1513</v>
      </c>
      <c r="J375" s="6" t="s">
        <v>1514</v>
      </c>
      <c r="K375" s="6" t="s">
        <v>1515</v>
      </c>
      <c r="L375" s="6">
        <v>12406.18</v>
      </c>
      <c r="M375" s="6">
        <v>12406.18</v>
      </c>
      <c r="N375" s="7" t="s">
        <v>35</v>
      </c>
      <c r="O375" s="6" t="s">
        <v>35</v>
      </c>
      <c r="P375" s="6" t="s">
        <v>35</v>
      </c>
      <c r="Q375" s="6" t="s">
        <v>27</v>
      </c>
      <c r="R375" s="6"/>
      <c r="S375" s="6">
        <f t="shared" si="5"/>
        <v>12406.18</v>
      </c>
      <c r="T375" s="6"/>
      <c r="U375" s="6"/>
      <c r="V375" s="6"/>
      <c r="W375" s="6" t="s">
        <v>82</v>
      </c>
      <c r="X375" s="6" t="s">
        <v>1516</v>
      </c>
      <c r="Y375" s="6" t="s">
        <v>1517</v>
      </c>
      <c r="Z375" s="6" t="s">
        <v>1500</v>
      </c>
      <c r="AA375" s="6" t="s">
        <v>40</v>
      </c>
    </row>
    <row r="376" spans="1:27">
      <c r="A376" s="6">
        <v>375</v>
      </c>
      <c r="B376" s="6"/>
      <c r="C376" s="7">
        <v>46112</v>
      </c>
      <c r="D376" s="6" t="s">
        <v>28</v>
      </c>
      <c r="E376" s="6" t="s">
        <v>1477</v>
      </c>
      <c r="F376" s="6" t="s">
        <v>30</v>
      </c>
      <c r="G376" s="6">
        <v>12</v>
      </c>
      <c r="H376" s="6" t="s">
        <v>1518</v>
      </c>
      <c r="I376" s="6" t="s">
        <v>1519</v>
      </c>
      <c r="J376" s="6" t="s">
        <v>1520</v>
      </c>
      <c r="K376" s="6" t="s">
        <v>1521</v>
      </c>
      <c r="L376" s="6">
        <v>12182.44</v>
      </c>
      <c r="M376" s="6">
        <v>12182.44</v>
      </c>
      <c r="N376" s="7" t="s">
        <v>35</v>
      </c>
      <c r="O376" s="6" t="s">
        <v>35</v>
      </c>
      <c r="P376" s="6" t="s">
        <v>35</v>
      </c>
      <c r="Q376" s="6" t="s">
        <v>27</v>
      </c>
      <c r="R376" s="6"/>
      <c r="S376" s="6">
        <f t="shared" si="5"/>
        <v>12182.44</v>
      </c>
      <c r="T376" s="6"/>
      <c r="U376" s="6"/>
      <c r="V376" s="6"/>
      <c r="W376" s="6" t="s">
        <v>69</v>
      </c>
      <c r="X376" s="6" t="s">
        <v>69</v>
      </c>
      <c r="Y376" s="6" t="s">
        <v>1522</v>
      </c>
      <c r="Z376" s="6" t="s">
        <v>1483</v>
      </c>
      <c r="AA376" s="6" t="s">
        <v>40</v>
      </c>
    </row>
    <row r="377" spans="1:27">
      <c r="A377" s="6">
        <v>376</v>
      </c>
      <c r="B377" s="6"/>
      <c r="C377" s="7">
        <v>46112</v>
      </c>
      <c r="D377" s="6" t="s">
        <v>28</v>
      </c>
      <c r="E377" s="6" t="s">
        <v>1477</v>
      </c>
      <c r="F377" s="6" t="s">
        <v>30</v>
      </c>
      <c r="G377" s="6">
        <v>12</v>
      </c>
      <c r="H377" s="6" t="s">
        <v>1523</v>
      </c>
      <c r="I377" s="6" t="s">
        <v>1524</v>
      </c>
      <c r="J377" s="6" t="s">
        <v>1525</v>
      </c>
      <c r="K377" s="6" t="s">
        <v>1526</v>
      </c>
      <c r="L377" s="6">
        <v>12160.6</v>
      </c>
      <c r="M377" s="6">
        <v>12160.6</v>
      </c>
      <c r="N377" s="7" t="s">
        <v>35</v>
      </c>
      <c r="O377" s="6" t="s">
        <v>35</v>
      </c>
      <c r="P377" s="6" t="s">
        <v>35</v>
      </c>
      <c r="Q377" s="6" t="s">
        <v>27</v>
      </c>
      <c r="R377" s="6"/>
      <c r="S377" s="6">
        <f t="shared" si="5"/>
        <v>12160.6</v>
      </c>
      <c r="T377" s="6"/>
      <c r="U377" s="6"/>
      <c r="V377" s="6"/>
      <c r="W377" s="6" t="s">
        <v>124</v>
      </c>
      <c r="X377" s="6" t="s">
        <v>1516</v>
      </c>
      <c r="Y377" s="6" t="s">
        <v>1527</v>
      </c>
      <c r="Z377" s="6" t="s">
        <v>1500</v>
      </c>
      <c r="AA377" s="6" t="s">
        <v>40</v>
      </c>
    </row>
    <row r="378" spans="1:27">
      <c r="A378" s="6">
        <v>377</v>
      </c>
      <c r="B378" s="6"/>
      <c r="C378" s="7">
        <v>46112</v>
      </c>
      <c r="D378" s="6" t="s">
        <v>28</v>
      </c>
      <c r="E378" s="6" t="s">
        <v>1477</v>
      </c>
      <c r="F378" s="6" t="s">
        <v>30</v>
      </c>
      <c r="G378" s="6">
        <v>12</v>
      </c>
      <c r="H378" s="6" t="s">
        <v>1528</v>
      </c>
      <c r="I378" s="6" t="s">
        <v>1529</v>
      </c>
      <c r="J378" s="6" t="s">
        <v>1530</v>
      </c>
      <c r="K378" s="6" t="s">
        <v>1531</v>
      </c>
      <c r="L378" s="6">
        <v>11989.44</v>
      </c>
      <c r="M378" s="6">
        <v>11989.44</v>
      </c>
      <c r="N378" s="7" t="s">
        <v>35</v>
      </c>
      <c r="O378" s="6" t="s">
        <v>35</v>
      </c>
      <c r="P378" s="6" t="s">
        <v>35</v>
      </c>
      <c r="Q378" s="6" t="s">
        <v>27</v>
      </c>
      <c r="R378" s="6"/>
      <c r="S378" s="6">
        <f t="shared" si="5"/>
        <v>11989.44</v>
      </c>
      <c r="T378" s="6"/>
      <c r="U378" s="6"/>
      <c r="V378" s="6"/>
      <c r="W378" s="6" t="s">
        <v>103</v>
      </c>
      <c r="X378" s="6" t="s">
        <v>103</v>
      </c>
      <c r="Y378" s="6" t="s">
        <v>1532</v>
      </c>
      <c r="Z378" s="6" t="s">
        <v>1483</v>
      </c>
      <c r="AA378" s="6" t="s">
        <v>40</v>
      </c>
    </row>
    <row r="379" spans="1:27">
      <c r="A379" s="6">
        <v>378</v>
      </c>
      <c r="B379" s="6"/>
      <c r="C379" s="7">
        <v>46112</v>
      </c>
      <c r="D379" s="6" t="s">
        <v>28</v>
      </c>
      <c r="E379" s="6" t="s">
        <v>1477</v>
      </c>
      <c r="F379" s="6" t="s">
        <v>30</v>
      </c>
      <c r="G379" s="6">
        <v>12</v>
      </c>
      <c r="H379" s="6" t="s">
        <v>179</v>
      </c>
      <c r="I379" s="6" t="s">
        <v>180</v>
      </c>
      <c r="J379" s="6" t="s">
        <v>181</v>
      </c>
      <c r="K379" s="6" t="s">
        <v>182</v>
      </c>
      <c r="L379" s="6">
        <v>11331.87</v>
      </c>
      <c r="M379" s="6">
        <v>11331.87</v>
      </c>
      <c r="N379" s="7" t="s">
        <v>35</v>
      </c>
      <c r="O379" s="6" t="s">
        <v>35</v>
      </c>
      <c r="P379" s="6" t="s">
        <v>35</v>
      </c>
      <c r="Q379" s="6" t="s">
        <v>27</v>
      </c>
      <c r="R379" s="6"/>
      <c r="S379" s="6">
        <f t="shared" si="5"/>
        <v>11331.87</v>
      </c>
      <c r="T379" s="6"/>
      <c r="U379" s="6"/>
      <c r="V379" s="6"/>
      <c r="W379" s="6" t="s">
        <v>45</v>
      </c>
      <c r="X379" s="6" t="s">
        <v>1516</v>
      </c>
      <c r="Y379" s="6" t="s">
        <v>1533</v>
      </c>
      <c r="Z379" s="6" t="s">
        <v>1500</v>
      </c>
      <c r="AA379" s="6" t="s">
        <v>40</v>
      </c>
    </row>
    <row r="380" spans="1:27">
      <c r="A380" s="6">
        <v>379</v>
      </c>
      <c r="B380" s="6"/>
      <c r="C380" s="7">
        <v>46112</v>
      </c>
      <c r="D380" s="6" t="s">
        <v>28</v>
      </c>
      <c r="E380" s="6" t="s">
        <v>1477</v>
      </c>
      <c r="F380" s="6" t="s">
        <v>30</v>
      </c>
      <c r="G380" s="6">
        <v>12</v>
      </c>
      <c r="H380" s="6" t="s">
        <v>1534</v>
      </c>
      <c r="I380" s="6" t="s">
        <v>1535</v>
      </c>
      <c r="J380" s="6" t="s">
        <v>1536</v>
      </c>
      <c r="K380" s="6" t="s">
        <v>1537</v>
      </c>
      <c r="L380" s="6">
        <v>11095.7</v>
      </c>
      <c r="M380" s="6">
        <v>11095.7</v>
      </c>
      <c r="N380" s="7" t="s">
        <v>35</v>
      </c>
      <c r="O380" s="6" t="s">
        <v>35</v>
      </c>
      <c r="P380" s="6" t="s">
        <v>35</v>
      </c>
      <c r="Q380" s="6" t="s">
        <v>27</v>
      </c>
      <c r="R380" s="6"/>
      <c r="S380" s="6">
        <f t="shared" si="5"/>
        <v>11095.7</v>
      </c>
      <c r="T380" s="6"/>
      <c r="U380" s="6"/>
      <c r="V380" s="6"/>
      <c r="W380" s="6" t="s">
        <v>55</v>
      </c>
      <c r="X380" s="6" t="s">
        <v>55</v>
      </c>
      <c r="Y380" s="6" t="s">
        <v>1538</v>
      </c>
      <c r="Z380" s="6" t="s">
        <v>1539</v>
      </c>
      <c r="AA380" s="6" t="s">
        <v>40</v>
      </c>
    </row>
    <row r="381" spans="1:27">
      <c r="A381" s="6">
        <v>380</v>
      </c>
      <c r="B381" s="6"/>
      <c r="C381" s="7">
        <v>46112</v>
      </c>
      <c r="D381" s="6" t="s">
        <v>28</v>
      </c>
      <c r="E381" s="6" t="s">
        <v>1477</v>
      </c>
      <c r="F381" s="6" t="s">
        <v>30</v>
      </c>
      <c r="G381" s="6">
        <v>12</v>
      </c>
      <c r="H381" s="6" t="s">
        <v>191</v>
      </c>
      <c r="I381" s="6" t="s">
        <v>192</v>
      </c>
      <c r="J381" s="6" t="s">
        <v>193</v>
      </c>
      <c r="K381" s="6" t="s">
        <v>194</v>
      </c>
      <c r="L381" s="6">
        <v>10693.73</v>
      </c>
      <c r="M381" s="6">
        <v>10693.73</v>
      </c>
      <c r="N381" s="7" t="s">
        <v>35</v>
      </c>
      <c r="O381" s="6" t="s">
        <v>35</v>
      </c>
      <c r="P381" s="6" t="s">
        <v>35</v>
      </c>
      <c r="Q381" s="6" t="s">
        <v>27</v>
      </c>
      <c r="R381" s="6"/>
      <c r="S381" s="6">
        <f t="shared" si="5"/>
        <v>10693.73</v>
      </c>
      <c r="T381" s="6"/>
      <c r="U381" s="6"/>
      <c r="V381" s="6"/>
      <c r="W381" s="6" t="s">
        <v>45</v>
      </c>
      <c r="X381" s="6" t="s">
        <v>45</v>
      </c>
      <c r="Y381" s="6" t="s">
        <v>1540</v>
      </c>
      <c r="Z381" s="6" t="s">
        <v>1541</v>
      </c>
      <c r="AA381" s="6" t="s">
        <v>40</v>
      </c>
    </row>
    <row r="382" spans="1:27">
      <c r="A382" s="6">
        <v>381</v>
      </c>
      <c r="B382" s="6"/>
      <c r="C382" s="7">
        <v>46112</v>
      </c>
      <c r="D382" s="6" t="s">
        <v>28</v>
      </c>
      <c r="E382" s="6" t="s">
        <v>1477</v>
      </c>
      <c r="F382" s="6" t="s">
        <v>30</v>
      </c>
      <c r="G382" s="6">
        <v>12</v>
      </c>
      <c r="H382" s="6" t="s">
        <v>1542</v>
      </c>
      <c r="I382" s="6" t="s">
        <v>1543</v>
      </c>
      <c r="J382" s="6" t="s">
        <v>1544</v>
      </c>
      <c r="K382" s="6"/>
      <c r="L382" s="6">
        <v>10466.4</v>
      </c>
      <c r="M382" s="6">
        <v>10466.4</v>
      </c>
      <c r="N382" s="7" t="s">
        <v>35</v>
      </c>
      <c r="O382" s="6" t="s">
        <v>35</v>
      </c>
      <c r="P382" s="6" t="s">
        <v>35</v>
      </c>
      <c r="Q382" s="6" t="s">
        <v>27</v>
      </c>
      <c r="R382" s="6"/>
      <c r="S382" s="6">
        <f t="shared" si="5"/>
        <v>10466.4</v>
      </c>
      <c r="T382" s="6"/>
      <c r="U382" s="6"/>
      <c r="V382" s="6"/>
      <c r="W382" s="6" t="s">
        <v>69</v>
      </c>
      <c r="X382" s="6" t="s">
        <v>1516</v>
      </c>
      <c r="Y382" s="6" t="s">
        <v>1545</v>
      </c>
      <c r="Z382" s="6" t="s">
        <v>1500</v>
      </c>
      <c r="AA382" s="6" t="s">
        <v>40</v>
      </c>
    </row>
    <row r="383" spans="1:27">
      <c r="A383" s="6">
        <v>382</v>
      </c>
      <c r="B383" s="6"/>
      <c r="C383" s="7">
        <v>46112</v>
      </c>
      <c r="D383" s="6" t="s">
        <v>28</v>
      </c>
      <c r="E383" s="6" t="s">
        <v>1477</v>
      </c>
      <c r="F383" s="6" t="s">
        <v>30</v>
      </c>
      <c r="G383" s="6">
        <v>12</v>
      </c>
      <c r="H383" s="6" t="s">
        <v>1546</v>
      </c>
      <c r="I383" s="6" t="s">
        <v>1547</v>
      </c>
      <c r="J383" s="6" t="s">
        <v>1548</v>
      </c>
      <c r="K383" s="6"/>
      <c r="L383" s="6">
        <v>8670.34</v>
      </c>
      <c r="M383" s="6">
        <v>8670.34</v>
      </c>
      <c r="N383" s="7" t="s">
        <v>35</v>
      </c>
      <c r="O383" s="6" t="s">
        <v>35</v>
      </c>
      <c r="P383" s="6" t="s">
        <v>35</v>
      </c>
      <c r="Q383" s="6" t="s">
        <v>27</v>
      </c>
      <c r="R383" s="6"/>
      <c r="S383" s="6">
        <f t="shared" si="5"/>
        <v>8670.34</v>
      </c>
      <c r="T383" s="6"/>
      <c r="U383" s="6"/>
      <c r="V383" s="6"/>
      <c r="W383" s="6" t="s">
        <v>972</v>
      </c>
      <c r="X383" s="6" t="s">
        <v>698</v>
      </c>
      <c r="Y383" s="6" t="s">
        <v>1549</v>
      </c>
      <c r="Z383" s="6" t="s">
        <v>235</v>
      </c>
      <c r="AA383" s="6" t="s">
        <v>40</v>
      </c>
    </row>
    <row r="384" spans="1:27">
      <c r="A384" s="6">
        <v>383</v>
      </c>
      <c r="B384" s="6"/>
      <c r="C384" s="7">
        <v>46112</v>
      </c>
      <c r="D384" s="6" t="s">
        <v>28</v>
      </c>
      <c r="E384" s="6" t="s">
        <v>1477</v>
      </c>
      <c r="F384" s="6" t="s">
        <v>30</v>
      </c>
      <c r="G384" s="6">
        <v>12</v>
      </c>
      <c r="H384" s="6" t="s">
        <v>1550</v>
      </c>
      <c r="I384" s="6" t="s">
        <v>1551</v>
      </c>
      <c r="J384" s="6" t="s">
        <v>1552</v>
      </c>
      <c r="K384" s="6" t="s">
        <v>1553</v>
      </c>
      <c r="L384" s="6">
        <v>7114.92</v>
      </c>
      <c r="M384" s="6">
        <v>7114.92</v>
      </c>
      <c r="N384" s="7" t="s">
        <v>35</v>
      </c>
      <c r="O384" s="6" t="s">
        <v>35</v>
      </c>
      <c r="P384" s="6" t="s">
        <v>35</v>
      </c>
      <c r="Q384" s="6" t="s">
        <v>27</v>
      </c>
      <c r="R384" s="6"/>
      <c r="S384" s="6">
        <f t="shared" si="5"/>
        <v>7114.92</v>
      </c>
      <c r="T384" s="6"/>
      <c r="U384" s="6"/>
      <c r="V384" s="6"/>
      <c r="W384" s="6" t="s">
        <v>124</v>
      </c>
      <c r="X384" s="6" t="s">
        <v>124</v>
      </c>
      <c r="Y384" s="6" t="s">
        <v>1554</v>
      </c>
      <c r="Z384" s="6" t="s">
        <v>1555</v>
      </c>
      <c r="AA384" s="6" t="s">
        <v>40</v>
      </c>
    </row>
    <row r="385" spans="1:27">
      <c r="A385" s="6">
        <v>384</v>
      </c>
      <c r="B385" s="6"/>
      <c r="C385" s="7">
        <v>46112</v>
      </c>
      <c r="D385" s="6" t="s">
        <v>28</v>
      </c>
      <c r="E385" s="6" t="s">
        <v>1477</v>
      </c>
      <c r="F385" s="6" t="s">
        <v>30</v>
      </c>
      <c r="G385" s="6">
        <v>12</v>
      </c>
      <c r="H385" s="6" t="s">
        <v>1556</v>
      </c>
      <c r="I385" s="6" t="s">
        <v>1557</v>
      </c>
      <c r="J385" s="6" t="s">
        <v>1558</v>
      </c>
      <c r="K385" s="6" t="s">
        <v>1559</v>
      </c>
      <c r="L385" s="6">
        <v>6831.75</v>
      </c>
      <c r="M385" s="6">
        <v>6831.75</v>
      </c>
      <c r="N385" s="7" t="s">
        <v>35</v>
      </c>
      <c r="O385" s="6" t="s">
        <v>35</v>
      </c>
      <c r="P385" s="6" t="s">
        <v>35</v>
      </c>
      <c r="Q385" s="6" t="s">
        <v>27</v>
      </c>
      <c r="R385" s="6"/>
      <c r="S385" s="6">
        <f t="shared" si="5"/>
        <v>6831.75</v>
      </c>
      <c r="T385" s="6"/>
      <c r="U385" s="6"/>
      <c r="V385" s="6"/>
      <c r="W385" s="6" t="s">
        <v>117</v>
      </c>
      <c r="X385" s="6" t="s">
        <v>117</v>
      </c>
      <c r="Y385" s="6" t="s">
        <v>1560</v>
      </c>
      <c r="Z385" s="6" t="s">
        <v>1539</v>
      </c>
      <c r="AA385" s="6" t="s">
        <v>40</v>
      </c>
    </row>
    <row r="386" spans="1:27">
      <c r="A386" s="6">
        <v>385</v>
      </c>
      <c r="B386" s="6"/>
      <c r="C386" s="7">
        <v>46112</v>
      </c>
      <c r="D386" s="6" t="s">
        <v>28</v>
      </c>
      <c r="E386" s="6" t="s">
        <v>1477</v>
      </c>
      <c r="F386" s="6" t="s">
        <v>30</v>
      </c>
      <c r="G386" s="6">
        <v>12</v>
      </c>
      <c r="H386" s="6" t="s">
        <v>1561</v>
      </c>
      <c r="I386" s="6" t="s">
        <v>1562</v>
      </c>
      <c r="J386" s="6" t="s">
        <v>1563</v>
      </c>
      <c r="K386" s="6" t="s">
        <v>1564</v>
      </c>
      <c r="L386" s="6">
        <v>6496.71</v>
      </c>
      <c r="M386" s="6">
        <v>6496.71</v>
      </c>
      <c r="N386" s="7" t="s">
        <v>35</v>
      </c>
      <c r="O386" s="6" t="s">
        <v>35</v>
      </c>
      <c r="P386" s="6" t="s">
        <v>35</v>
      </c>
      <c r="Q386" s="6" t="s">
        <v>27</v>
      </c>
      <c r="R386" s="6"/>
      <c r="S386" s="6">
        <f t="shared" si="5"/>
        <v>6496.71</v>
      </c>
      <c r="T386" s="6"/>
      <c r="U386" s="6"/>
      <c r="V386" s="6"/>
      <c r="W386" s="6" t="s">
        <v>774</v>
      </c>
      <c r="X386" s="6" t="s">
        <v>698</v>
      </c>
      <c r="Y386" s="6" t="s">
        <v>1565</v>
      </c>
      <c r="Z386" s="6" t="s">
        <v>235</v>
      </c>
      <c r="AA386" s="6" t="s">
        <v>40</v>
      </c>
    </row>
    <row r="387" spans="1:27">
      <c r="A387" s="6">
        <v>386</v>
      </c>
      <c r="B387" s="6"/>
      <c r="C387" s="7">
        <v>46112</v>
      </c>
      <c r="D387" s="6" t="s">
        <v>28</v>
      </c>
      <c r="E387" s="6" t="s">
        <v>1477</v>
      </c>
      <c r="F387" s="6" t="s">
        <v>30</v>
      </c>
      <c r="G387" s="6">
        <v>12</v>
      </c>
      <c r="H387" s="6" t="s">
        <v>167</v>
      </c>
      <c r="I387" s="6" t="s">
        <v>168</v>
      </c>
      <c r="J387" s="6" t="s">
        <v>169</v>
      </c>
      <c r="K387" s="6" t="s">
        <v>170</v>
      </c>
      <c r="L387" s="6">
        <v>6240.78</v>
      </c>
      <c r="M387" s="6">
        <v>6240.78</v>
      </c>
      <c r="N387" s="7" t="s">
        <v>35</v>
      </c>
      <c r="O387" s="6" t="s">
        <v>35</v>
      </c>
      <c r="P387" s="6" t="s">
        <v>35</v>
      </c>
      <c r="Q387" s="6" t="s">
        <v>27</v>
      </c>
      <c r="R387" s="6"/>
      <c r="S387" s="6">
        <f t="shared" ref="S387:S450" si="6">M387-R387</f>
        <v>6240.78</v>
      </c>
      <c r="T387" s="6"/>
      <c r="U387" s="6"/>
      <c r="V387" s="6"/>
      <c r="W387" s="6" t="s">
        <v>45</v>
      </c>
      <c r="X387" s="6" t="s">
        <v>45</v>
      </c>
      <c r="Y387" s="6" t="s">
        <v>1566</v>
      </c>
      <c r="Z387" s="6" t="s">
        <v>1539</v>
      </c>
      <c r="AA387" s="6" t="s">
        <v>40</v>
      </c>
    </row>
    <row r="388" spans="1:27">
      <c r="A388" s="6">
        <v>387</v>
      </c>
      <c r="B388" s="6"/>
      <c r="C388" s="7">
        <v>46112</v>
      </c>
      <c r="D388" s="6" t="s">
        <v>28</v>
      </c>
      <c r="E388" s="6" t="s">
        <v>1477</v>
      </c>
      <c r="F388" s="6" t="s">
        <v>30</v>
      </c>
      <c r="G388" s="6">
        <v>12</v>
      </c>
      <c r="H388" s="6" t="s">
        <v>1567</v>
      </c>
      <c r="I388" s="6" t="s">
        <v>1568</v>
      </c>
      <c r="J388" s="6" t="s">
        <v>1569</v>
      </c>
      <c r="K388" s="6" t="s">
        <v>1570</v>
      </c>
      <c r="L388" s="6">
        <v>5608.46</v>
      </c>
      <c r="M388" s="6">
        <v>5608.46</v>
      </c>
      <c r="N388" s="7" t="s">
        <v>35</v>
      </c>
      <c r="O388" s="6" t="s">
        <v>35</v>
      </c>
      <c r="P388" s="6" t="s">
        <v>35</v>
      </c>
      <c r="Q388" s="6" t="s">
        <v>27</v>
      </c>
      <c r="R388" s="6"/>
      <c r="S388" s="6">
        <f t="shared" si="6"/>
        <v>5608.46</v>
      </c>
      <c r="T388" s="6"/>
      <c r="U388" s="6"/>
      <c r="V388" s="6"/>
      <c r="W388" s="6" t="s">
        <v>972</v>
      </c>
      <c r="X388" s="6" t="s">
        <v>972</v>
      </c>
      <c r="Y388" s="6" t="s">
        <v>1571</v>
      </c>
      <c r="Z388" s="6" t="s">
        <v>235</v>
      </c>
      <c r="AA388" s="6" t="s">
        <v>40</v>
      </c>
    </row>
    <row r="389" spans="1:27">
      <c r="A389" s="6">
        <v>388</v>
      </c>
      <c r="B389" s="6"/>
      <c r="C389" s="7">
        <v>46112</v>
      </c>
      <c r="D389" s="6" t="s">
        <v>28</v>
      </c>
      <c r="E389" s="6" t="s">
        <v>1477</v>
      </c>
      <c r="F389" s="6" t="s">
        <v>30</v>
      </c>
      <c r="G389" s="6">
        <v>12</v>
      </c>
      <c r="H389" s="6" t="s">
        <v>1572</v>
      </c>
      <c r="I389" s="6" t="s">
        <v>1573</v>
      </c>
      <c r="J389" s="6" t="s">
        <v>1574</v>
      </c>
      <c r="K389" s="6" t="s">
        <v>1575</v>
      </c>
      <c r="L389" s="6">
        <v>5592.51</v>
      </c>
      <c r="M389" s="6">
        <v>5592.51</v>
      </c>
      <c r="N389" s="7" t="s">
        <v>35</v>
      </c>
      <c r="O389" s="6" t="s">
        <v>35</v>
      </c>
      <c r="P389" s="6" t="s">
        <v>35</v>
      </c>
      <c r="Q389" s="6" t="s">
        <v>27</v>
      </c>
      <c r="R389" s="6"/>
      <c r="S389" s="6">
        <f t="shared" si="6"/>
        <v>5592.51</v>
      </c>
      <c r="T389" s="6"/>
      <c r="U389" s="6"/>
      <c r="V389" s="6"/>
      <c r="W389" s="6" t="s">
        <v>790</v>
      </c>
      <c r="X389" s="6" t="s">
        <v>790</v>
      </c>
      <c r="Y389" s="6" t="s">
        <v>1576</v>
      </c>
      <c r="Z389" s="6" t="s">
        <v>1577</v>
      </c>
      <c r="AA389" s="6" t="s">
        <v>40</v>
      </c>
    </row>
    <row r="390" spans="1:27">
      <c r="A390" s="6">
        <v>389</v>
      </c>
      <c r="B390" s="6"/>
      <c r="C390" s="7">
        <v>46112</v>
      </c>
      <c r="D390" s="6" t="s">
        <v>28</v>
      </c>
      <c r="E390" s="6" t="s">
        <v>1477</v>
      </c>
      <c r="F390" s="6" t="s">
        <v>30</v>
      </c>
      <c r="G390" s="6">
        <v>12</v>
      </c>
      <c r="H390" s="6" t="s">
        <v>1578</v>
      </c>
      <c r="I390" s="6" t="s">
        <v>1579</v>
      </c>
      <c r="J390" s="6" t="s">
        <v>1580</v>
      </c>
      <c r="K390" s="6" t="s">
        <v>1581</v>
      </c>
      <c r="L390" s="6">
        <v>5231.67</v>
      </c>
      <c r="M390" s="6">
        <v>5231.67</v>
      </c>
      <c r="N390" s="7" t="s">
        <v>35</v>
      </c>
      <c r="O390" s="6" t="s">
        <v>35</v>
      </c>
      <c r="P390" s="6" t="s">
        <v>35</v>
      </c>
      <c r="Q390" s="6" t="s">
        <v>27</v>
      </c>
      <c r="R390" s="6"/>
      <c r="S390" s="6">
        <f t="shared" si="6"/>
        <v>5231.67</v>
      </c>
      <c r="T390" s="6"/>
      <c r="U390" s="6"/>
      <c r="V390" s="6"/>
      <c r="W390" s="6" t="s">
        <v>89</v>
      </c>
      <c r="X390" s="6" t="s">
        <v>89</v>
      </c>
      <c r="Y390" s="6" t="s">
        <v>1582</v>
      </c>
      <c r="Z390" s="6" t="s">
        <v>1555</v>
      </c>
      <c r="AA390" s="6" t="s">
        <v>40</v>
      </c>
    </row>
    <row r="391" spans="1:27">
      <c r="A391" s="6">
        <v>390</v>
      </c>
      <c r="B391" s="6"/>
      <c r="C391" s="7">
        <v>46112</v>
      </c>
      <c r="D391" s="6" t="s">
        <v>28</v>
      </c>
      <c r="E391" s="6" t="s">
        <v>1477</v>
      </c>
      <c r="F391" s="6" t="s">
        <v>30</v>
      </c>
      <c r="G391" s="6">
        <v>12</v>
      </c>
      <c r="H391" s="6" t="s">
        <v>1583</v>
      </c>
      <c r="I391" s="6" t="s">
        <v>1584</v>
      </c>
      <c r="J391" s="6" t="s">
        <v>1585</v>
      </c>
      <c r="K391" s="6"/>
      <c r="L391" s="6">
        <v>5079.6499999999996</v>
      </c>
      <c r="M391" s="6">
        <v>5079.6499999999996</v>
      </c>
      <c r="N391" s="7" t="s">
        <v>35</v>
      </c>
      <c r="O391" s="6" t="s">
        <v>35</v>
      </c>
      <c r="P391" s="6" t="s">
        <v>35</v>
      </c>
      <c r="Q391" s="6" t="s">
        <v>27</v>
      </c>
      <c r="R391" s="6"/>
      <c r="S391" s="6">
        <f t="shared" si="6"/>
        <v>5079.6499999999996</v>
      </c>
      <c r="T391" s="6"/>
      <c r="U391" s="6"/>
      <c r="V391" s="6"/>
      <c r="W391" s="6" t="s">
        <v>117</v>
      </c>
      <c r="X391" s="6" t="s">
        <v>117</v>
      </c>
      <c r="Y391" s="6" t="s">
        <v>1586</v>
      </c>
      <c r="Z391" s="6" t="s">
        <v>1336</v>
      </c>
      <c r="AA391" s="6" t="s">
        <v>40</v>
      </c>
    </row>
    <row r="392" spans="1:27">
      <c r="A392" s="6">
        <v>391</v>
      </c>
      <c r="B392" s="6"/>
      <c r="C392" s="7">
        <v>46112</v>
      </c>
      <c r="D392" s="6" t="s">
        <v>28</v>
      </c>
      <c r="E392" s="6" t="s">
        <v>1477</v>
      </c>
      <c r="F392" s="6" t="s">
        <v>30</v>
      </c>
      <c r="G392" s="6">
        <v>12</v>
      </c>
      <c r="H392" s="6" t="s">
        <v>1587</v>
      </c>
      <c r="I392" s="6" t="s">
        <v>1588</v>
      </c>
      <c r="J392" s="6" t="s">
        <v>1589</v>
      </c>
      <c r="K392" s="6" t="s">
        <v>1590</v>
      </c>
      <c r="L392" s="6">
        <v>5052.79</v>
      </c>
      <c r="M392" s="6">
        <v>5052.79</v>
      </c>
      <c r="N392" s="7">
        <v>46120</v>
      </c>
      <c r="O392" s="6" t="s">
        <v>772</v>
      </c>
      <c r="P392" s="6" t="s">
        <v>52</v>
      </c>
      <c r="Q392" s="6" t="s">
        <v>27</v>
      </c>
      <c r="R392" s="6">
        <v>4000</v>
      </c>
      <c r="S392" s="6">
        <f t="shared" si="6"/>
        <v>1052.79</v>
      </c>
      <c r="T392" s="7">
        <v>46120</v>
      </c>
      <c r="U392" s="6" t="s">
        <v>1591</v>
      </c>
      <c r="V392" s="6"/>
      <c r="W392" s="6" t="s">
        <v>790</v>
      </c>
      <c r="X392" s="6" t="s">
        <v>790</v>
      </c>
      <c r="Y392" s="6" t="s">
        <v>1592</v>
      </c>
      <c r="Z392" s="6" t="s">
        <v>1577</v>
      </c>
      <c r="AA392" s="6" t="s">
        <v>40</v>
      </c>
    </row>
    <row r="393" spans="1:27">
      <c r="A393" s="6">
        <v>392</v>
      </c>
      <c r="B393" s="6"/>
      <c r="C393" s="7">
        <v>46112</v>
      </c>
      <c r="D393" s="6" t="s">
        <v>28</v>
      </c>
      <c r="E393" s="6" t="s">
        <v>1477</v>
      </c>
      <c r="F393" s="6" t="s">
        <v>30</v>
      </c>
      <c r="G393" s="6">
        <v>12</v>
      </c>
      <c r="H393" s="6" t="s">
        <v>1593</v>
      </c>
      <c r="I393" s="6" t="s">
        <v>1594</v>
      </c>
      <c r="J393" s="6" t="s">
        <v>1595</v>
      </c>
      <c r="K393" s="6" t="s">
        <v>1596</v>
      </c>
      <c r="L393" s="6">
        <v>4935.03</v>
      </c>
      <c r="M393" s="6">
        <v>4935.03</v>
      </c>
      <c r="N393" s="7" t="s">
        <v>35</v>
      </c>
      <c r="O393" s="6" t="s">
        <v>35</v>
      </c>
      <c r="P393" s="6" t="s">
        <v>35</v>
      </c>
      <c r="Q393" s="6" t="s">
        <v>27</v>
      </c>
      <c r="R393" s="6"/>
      <c r="S393" s="6">
        <f t="shared" si="6"/>
        <v>4935.03</v>
      </c>
      <c r="T393" s="6"/>
      <c r="U393" s="6"/>
      <c r="V393" s="6"/>
      <c r="W393" s="6" t="s">
        <v>972</v>
      </c>
      <c r="X393" s="6" t="s">
        <v>698</v>
      </c>
      <c r="Y393" s="6" t="s">
        <v>1597</v>
      </c>
      <c r="Z393" s="6" t="s">
        <v>235</v>
      </c>
      <c r="AA393" s="6" t="s">
        <v>40</v>
      </c>
    </row>
    <row r="394" spans="1:27">
      <c r="A394" s="6">
        <v>393</v>
      </c>
      <c r="B394" s="6"/>
      <c r="C394" s="7">
        <v>46112</v>
      </c>
      <c r="D394" s="6" t="s">
        <v>28</v>
      </c>
      <c r="E394" s="6" t="s">
        <v>1477</v>
      </c>
      <c r="F394" s="6" t="s">
        <v>30</v>
      </c>
      <c r="G394" s="6">
        <v>12</v>
      </c>
      <c r="H394" s="6" t="s">
        <v>1598</v>
      </c>
      <c r="I394" s="6" t="s">
        <v>1599</v>
      </c>
      <c r="J394" s="6" t="s">
        <v>1600</v>
      </c>
      <c r="K394" s="6" t="s">
        <v>1601</v>
      </c>
      <c r="L394" s="6">
        <v>4234.93</v>
      </c>
      <c r="M394" s="6">
        <v>4234.93</v>
      </c>
      <c r="N394" s="7" t="s">
        <v>35</v>
      </c>
      <c r="O394" s="6" t="s">
        <v>35</v>
      </c>
      <c r="P394" s="6" t="s">
        <v>35</v>
      </c>
      <c r="Q394" s="6" t="s">
        <v>27</v>
      </c>
      <c r="R394" s="6"/>
      <c r="S394" s="6">
        <f t="shared" si="6"/>
        <v>4234.93</v>
      </c>
      <c r="T394" s="6"/>
      <c r="U394" s="6"/>
      <c r="V394" s="6"/>
      <c r="W394" s="6" t="s">
        <v>55</v>
      </c>
      <c r="X394" s="6" t="s">
        <v>55</v>
      </c>
      <c r="Y394" s="6" t="s">
        <v>1602</v>
      </c>
      <c r="Z394" s="6" t="s">
        <v>1500</v>
      </c>
      <c r="AA394" s="6" t="s">
        <v>40</v>
      </c>
    </row>
    <row r="395" spans="1:27">
      <c r="A395" s="6">
        <v>394</v>
      </c>
      <c r="B395" s="6"/>
      <c r="C395" s="7">
        <v>46112</v>
      </c>
      <c r="D395" s="6" t="s">
        <v>28</v>
      </c>
      <c r="E395" s="6" t="s">
        <v>1477</v>
      </c>
      <c r="F395" s="6" t="s">
        <v>30</v>
      </c>
      <c r="G395" s="6">
        <v>12</v>
      </c>
      <c r="H395" s="6" t="s">
        <v>1603</v>
      </c>
      <c r="I395" s="6" t="s">
        <v>1604</v>
      </c>
      <c r="J395" s="6" t="s">
        <v>1605</v>
      </c>
      <c r="K395" s="6"/>
      <c r="L395" s="6">
        <v>4144.25</v>
      </c>
      <c r="M395" s="6">
        <v>4144.25</v>
      </c>
      <c r="N395" s="7" t="s">
        <v>35</v>
      </c>
      <c r="O395" s="6" t="s">
        <v>35</v>
      </c>
      <c r="P395" s="6" t="s">
        <v>35</v>
      </c>
      <c r="Q395" s="6" t="s">
        <v>27</v>
      </c>
      <c r="R395" s="6"/>
      <c r="S395" s="6">
        <f t="shared" si="6"/>
        <v>4144.25</v>
      </c>
      <c r="T395" s="6"/>
      <c r="U395" s="6"/>
      <c r="V395" s="6"/>
      <c r="W395" s="6" t="s">
        <v>774</v>
      </c>
      <c r="X395" s="6" t="s">
        <v>774</v>
      </c>
      <c r="Y395" s="6" t="s">
        <v>1606</v>
      </c>
      <c r="Z395" s="6" t="s">
        <v>1577</v>
      </c>
      <c r="AA395" s="6" t="s">
        <v>40</v>
      </c>
    </row>
    <row r="396" spans="1:27">
      <c r="A396" s="6">
        <v>395</v>
      </c>
      <c r="B396" s="6"/>
      <c r="C396" s="7">
        <v>46112</v>
      </c>
      <c r="D396" s="6" t="s">
        <v>28</v>
      </c>
      <c r="E396" s="6" t="s">
        <v>1477</v>
      </c>
      <c r="F396" s="6" t="s">
        <v>30</v>
      </c>
      <c r="G396" s="6">
        <v>12</v>
      </c>
      <c r="H396" s="6" t="s">
        <v>1607</v>
      </c>
      <c r="I396" s="6" t="s">
        <v>1608</v>
      </c>
      <c r="J396" s="6" t="s">
        <v>1609</v>
      </c>
      <c r="K396" s="6" t="s">
        <v>1610</v>
      </c>
      <c r="L396" s="6">
        <v>4083.99</v>
      </c>
      <c r="M396" s="6">
        <v>4083.99</v>
      </c>
      <c r="N396" s="7" t="s">
        <v>35</v>
      </c>
      <c r="O396" s="6" t="s">
        <v>35</v>
      </c>
      <c r="P396" s="6" t="s">
        <v>35</v>
      </c>
      <c r="Q396" s="6" t="s">
        <v>27</v>
      </c>
      <c r="R396" s="6"/>
      <c r="S396" s="6">
        <f t="shared" si="6"/>
        <v>4083.99</v>
      </c>
      <c r="T396" s="6"/>
      <c r="U396" s="6"/>
      <c r="V396" s="6"/>
      <c r="W396" s="6" t="s">
        <v>45</v>
      </c>
      <c r="X396" s="6" t="s">
        <v>45</v>
      </c>
      <c r="Y396" s="6" t="s">
        <v>1611</v>
      </c>
      <c r="Z396" s="6" t="s">
        <v>1493</v>
      </c>
      <c r="AA396" s="6" t="s">
        <v>40</v>
      </c>
    </row>
    <row r="397" spans="1:27">
      <c r="A397" s="6">
        <v>396</v>
      </c>
      <c r="B397" s="6"/>
      <c r="C397" s="7">
        <v>46112</v>
      </c>
      <c r="D397" s="6" t="s">
        <v>28</v>
      </c>
      <c r="E397" s="6" t="s">
        <v>1477</v>
      </c>
      <c r="F397" s="6" t="s">
        <v>30</v>
      </c>
      <c r="G397" s="6">
        <v>12</v>
      </c>
      <c r="H397" s="6" t="s">
        <v>1612</v>
      </c>
      <c r="I397" s="6" t="s">
        <v>1613</v>
      </c>
      <c r="J397" s="6" t="s">
        <v>1614</v>
      </c>
      <c r="K397" s="6" t="s">
        <v>1615</v>
      </c>
      <c r="L397" s="6">
        <v>3962.75</v>
      </c>
      <c r="M397" s="6">
        <v>3962.75</v>
      </c>
      <c r="N397" s="7" t="s">
        <v>35</v>
      </c>
      <c r="O397" s="6" t="s">
        <v>35</v>
      </c>
      <c r="P397" s="6" t="s">
        <v>35</v>
      </c>
      <c r="Q397" s="6" t="s">
        <v>27</v>
      </c>
      <c r="R397" s="6"/>
      <c r="S397" s="6">
        <f t="shared" si="6"/>
        <v>3962.75</v>
      </c>
      <c r="T397" s="6"/>
      <c r="U397" s="6"/>
      <c r="V397" s="6"/>
      <c r="W397" s="6" t="s">
        <v>774</v>
      </c>
      <c r="X397" s="6" t="s">
        <v>774</v>
      </c>
      <c r="Y397" s="6" t="s">
        <v>1616</v>
      </c>
      <c r="Z397" s="6" t="s">
        <v>235</v>
      </c>
      <c r="AA397" s="6" t="s">
        <v>40</v>
      </c>
    </row>
    <row r="398" spans="1:27">
      <c r="A398" s="6">
        <v>397</v>
      </c>
      <c r="B398" s="6"/>
      <c r="C398" s="7">
        <v>46112</v>
      </c>
      <c r="D398" s="6" t="s">
        <v>28</v>
      </c>
      <c r="E398" s="6" t="s">
        <v>1477</v>
      </c>
      <c r="F398" s="6" t="s">
        <v>30</v>
      </c>
      <c r="G398" s="6">
        <v>12</v>
      </c>
      <c r="H398" s="6" t="s">
        <v>1617</v>
      </c>
      <c r="I398" s="6" t="s">
        <v>1618</v>
      </c>
      <c r="J398" s="6" t="s">
        <v>1619</v>
      </c>
      <c r="K398" s="6" t="s">
        <v>1620</v>
      </c>
      <c r="L398" s="6">
        <v>3840.58</v>
      </c>
      <c r="M398" s="6">
        <v>3840.58</v>
      </c>
      <c r="N398" s="7" t="s">
        <v>35</v>
      </c>
      <c r="O398" s="6" t="s">
        <v>35</v>
      </c>
      <c r="P398" s="6" t="s">
        <v>35</v>
      </c>
      <c r="Q398" s="6" t="s">
        <v>27</v>
      </c>
      <c r="R398" s="6"/>
      <c r="S398" s="6">
        <f t="shared" si="6"/>
        <v>3840.58</v>
      </c>
      <c r="T398" s="6"/>
      <c r="U398" s="6"/>
      <c r="V398" s="6"/>
      <c r="W398" s="6" t="s">
        <v>82</v>
      </c>
      <c r="X398" s="6" t="s">
        <v>82</v>
      </c>
      <c r="Y398" s="6" t="s">
        <v>1621</v>
      </c>
      <c r="Z398" s="6" t="s">
        <v>1493</v>
      </c>
      <c r="AA398" s="6" t="s">
        <v>40</v>
      </c>
    </row>
    <row r="399" spans="1:27">
      <c r="A399" s="6">
        <v>398</v>
      </c>
      <c r="B399" s="6"/>
      <c r="C399" s="7">
        <v>46112</v>
      </c>
      <c r="D399" s="6" t="s">
        <v>28</v>
      </c>
      <c r="E399" s="6" t="s">
        <v>1477</v>
      </c>
      <c r="F399" s="6" t="s">
        <v>30</v>
      </c>
      <c r="G399" s="6">
        <v>12</v>
      </c>
      <c r="H399" s="6" t="s">
        <v>1622</v>
      </c>
      <c r="I399" s="6" t="s">
        <v>1623</v>
      </c>
      <c r="J399" s="6" t="s">
        <v>1624</v>
      </c>
      <c r="K399" s="6" t="s">
        <v>1625</v>
      </c>
      <c r="L399" s="6">
        <v>3644.82</v>
      </c>
      <c r="M399" s="6">
        <v>3644.82</v>
      </c>
      <c r="N399" s="7" t="s">
        <v>35</v>
      </c>
      <c r="O399" s="6" t="s">
        <v>35</v>
      </c>
      <c r="P399" s="6" t="s">
        <v>35</v>
      </c>
      <c r="Q399" s="6" t="s">
        <v>27</v>
      </c>
      <c r="R399" s="6"/>
      <c r="S399" s="6">
        <f t="shared" si="6"/>
        <v>3644.82</v>
      </c>
      <c r="T399" s="6"/>
      <c r="U399" s="6"/>
      <c r="V399" s="6"/>
      <c r="W399" s="6" t="s">
        <v>55</v>
      </c>
      <c r="X399" s="6" t="s">
        <v>55</v>
      </c>
      <c r="Y399" s="6" t="s">
        <v>1626</v>
      </c>
      <c r="Z399" s="6" t="s">
        <v>1500</v>
      </c>
      <c r="AA399" s="6" t="s">
        <v>40</v>
      </c>
    </row>
    <row r="400" spans="1:27">
      <c r="A400" s="6">
        <v>399</v>
      </c>
      <c r="B400" s="6"/>
      <c r="C400" s="7">
        <v>46112</v>
      </c>
      <c r="D400" s="6" t="s">
        <v>28</v>
      </c>
      <c r="E400" s="6" t="s">
        <v>1477</v>
      </c>
      <c r="F400" s="6" t="s">
        <v>30</v>
      </c>
      <c r="G400" s="6">
        <v>12</v>
      </c>
      <c r="H400" s="6" t="s">
        <v>1627</v>
      </c>
      <c r="I400" s="6" t="s">
        <v>1628</v>
      </c>
      <c r="J400" s="6" t="s">
        <v>1629</v>
      </c>
      <c r="K400" s="6" t="s">
        <v>1630</v>
      </c>
      <c r="L400" s="6">
        <v>3613.09</v>
      </c>
      <c r="M400" s="6">
        <v>3613.09</v>
      </c>
      <c r="N400" s="7" t="s">
        <v>35</v>
      </c>
      <c r="O400" s="6" t="s">
        <v>35</v>
      </c>
      <c r="P400" s="6" t="s">
        <v>35</v>
      </c>
      <c r="Q400" s="6" t="s">
        <v>27</v>
      </c>
      <c r="R400" s="6"/>
      <c r="S400" s="6">
        <f t="shared" si="6"/>
        <v>3613.09</v>
      </c>
      <c r="T400" s="6"/>
      <c r="U400" s="6"/>
      <c r="V400" s="6"/>
      <c r="W400" s="6" t="s">
        <v>117</v>
      </c>
      <c r="X400" s="6" t="s">
        <v>117</v>
      </c>
      <c r="Y400" s="6" t="s">
        <v>1631</v>
      </c>
      <c r="Z400" s="6" t="s">
        <v>1483</v>
      </c>
      <c r="AA400" s="6" t="s">
        <v>40</v>
      </c>
    </row>
    <row r="401" spans="1:27">
      <c r="A401" s="6">
        <v>400</v>
      </c>
      <c r="B401" s="6"/>
      <c r="C401" s="7">
        <v>46112</v>
      </c>
      <c r="D401" s="6" t="s">
        <v>28</v>
      </c>
      <c r="E401" s="6" t="s">
        <v>1477</v>
      </c>
      <c r="F401" s="6" t="s">
        <v>30</v>
      </c>
      <c r="G401" s="6">
        <v>12</v>
      </c>
      <c r="H401" s="6" t="s">
        <v>1632</v>
      </c>
      <c r="I401" s="6" t="s">
        <v>1633</v>
      </c>
      <c r="J401" s="6" t="s">
        <v>1634</v>
      </c>
      <c r="K401" s="6" t="s">
        <v>1635</v>
      </c>
      <c r="L401" s="6">
        <v>3492.95</v>
      </c>
      <c r="M401" s="6">
        <v>3492.95</v>
      </c>
      <c r="N401" s="7" t="s">
        <v>35</v>
      </c>
      <c r="O401" s="6" t="s">
        <v>35</v>
      </c>
      <c r="P401" s="6" t="s">
        <v>35</v>
      </c>
      <c r="Q401" s="6" t="s">
        <v>27</v>
      </c>
      <c r="R401" s="6"/>
      <c r="S401" s="6">
        <f t="shared" si="6"/>
        <v>3492.95</v>
      </c>
      <c r="T401" s="6"/>
      <c r="U401" s="6"/>
      <c r="V401" s="6"/>
      <c r="W401" s="6" t="s">
        <v>96</v>
      </c>
      <c r="X401" s="6" t="s">
        <v>96</v>
      </c>
      <c r="Y401" s="6" t="s">
        <v>1636</v>
      </c>
      <c r="Z401" s="6" t="s">
        <v>1486</v>
      </c>
      <c r="AA401" s="6" t="s">
        <v>40</v>
      </c>
    </row>
    <row r="402" spans="1:27">
      <c r="A402" s="6">
        <v>401</v>
      </c>
      <c r="B402" s="6"/>
      <c r="C402" s="7">
        <v>46112</v>
      </c>
      <c r="D402" s="6" t="s">
        <v>28</v>
      </c>
      <c r="E402" s="6" t="s">
        <v>1477</v>
      </c>
      <c r="F402" s="6" t="s">
        <v>30</v>
      </c>
      <c r="G402" s="6">
        <v>12</v>
      </c>
      <c r="H402" s="6" t="s">
        <v>1637</v>
      </c>
      <c r="I402" s="6" t="s">
        <v>1638</v>
      </c>
      <c r="J402" s="6" t="s">
        <v>1639</v>
      </c>
      <c r="K402" s="6" t="s">
        <v>1640</v>
      </c>
      <c r="L402" s="6">
        <v>3475.26</v>
      </c>
      <c r="M402" s="6">
        <v>3475.26</v>
      </c>
      <c r="N402" s="7" t="s">
        <v>35</v>
      </c>
      <c r="O402" s="6" t="s">
        <v>35</v>
      </c>
      <c r="P402" s="6" t="s">
        <v>35</v>
      </c>
      <c r="Q402" s="6" t="s">
        <v>27</v>
      </c>
      <c r="R402" s="6"/>
      <c r="S402" s="6">
        <f t="shared" si="6"/>
        <v>3475.26</v>
      </c>
      <c r="T402" s="6"/>
      <c r="U402" s="6"/>
      <c r="V402" s="6"/>
      <c r="W402" s="6" t="s">
        <v>103</v>
      </c>
      <c r="X402" s="6" t="s">
        <v>103</v>
      </c>
      <c r="Y402" s="6" t="s">
        <v>1641</v>
      </c>
      <c r="Z402" s="6" t="s">
        <v>1541</v>
      </c>
      <c r="AA402" s="6" t="s">
        <v>40</v>
      </c>
    </row>
    <row r="403" spans="1:27">
      <c r="A403" s="6">
        <v>402</v>
      </c>
      <c r="B403" s="6"/>
      <c r="C403" s="7">
        <v>46112</v>
      </c>
      <c r="D403" s="6" t="s">
        <v>28</v>
      </c>
      <c r="E403" s="6" t="s">
        <v>1477</v>
      </c>
      <c r="F403" s="6" t="s">
        <v>30</v>
      </c>
      <c r="G403" s="6">
        <v>12</v>
      </c>
      <c r="H403" s="6" t="s">
        <v>1642</v>
      </c>
      <c r="I403" s="6" t="s">
        <v>1643</v>
      </c>
      <c r="J403" s="6" t="s">
        <v>1644</v>
      </c>
      <c r="K403" s="6"/>
      <c r="L403" s="6">
        <v>3213.74</v>
      </c>
      <c r="M403" s="6">
        <v>3213.74</v>
      </c>
      <c r="N403" s="7" t="s">
        <v>35</v>
      </c>
      <c r="O403" s="6" t="s">
        <v>35</v>
      </c>
      <c r="P403" s="6" t="s">
        <v>35</v>
      </c>
      <c r="Q403" s="6" t="s">
        <v>27</v>
      </c>
      <c r="R403" s="6"/>
      <c r="S403" s="6">
        <f t="shared" si="6"/>
        <v>3213.74</v>
      </c>
      <c r="T403" s="6"/>
      <c r="U403" s="6"/>
      <c r="V403" s="6"/>
      <c r="W403" s="6" t="s">
        <v>103</v>
      </c>
      <c r="X403" s="6" t="s">
        <v>103</v>
      </c>
      <c r="Y403" s="6" t="s">
        <v>1645</v>
      </c>
      <c r="Z403" s="6" t="s">
        <v>1646</v>
      </c>
      <c r="AA403" s="6" t="s">
        <v>40</v>
      </c>
    </row>
    <row r="404" spans="1:27">
      <c r="A404" s="6">
        <v>403</v>
      </c>
      <c r="B404" s="6"/>
      <c r="C404" s="7">
        <v>46112</v>
      </c>
      <c r="D404" s="6" t="s">
        <v>28</v>
      </c>
      <c r="E404" s="6" t="s">
        <v>1477</v>
      </c>
      <c r="F404" s="6" t="s">
        <v>30</v>
      </c>
      <c r="G404" s="6">
        <v>12</v>
      </c>
      <c r="H404" s="6" t="s">
        <v>133</v>
      </c>
      <c r="I404" s="6" t="s">
        <v>134</v>
      </c>
      <c r="J404" s="6" t="s">
        <v>135</v>
      </c>
      <c r="K404" s="6" t="s">
        <v>136</v>
      </c>
      <c r="L404" s="6">
        <v>3163.83</v>
      </c>
      <c r="M404" s="6">
        <v>3163.83</v>
      </c>
      <c r="N404" s="7" t="s">
        <v>35</v>
      </c>
      <c r="O404" s="6" t="s">
        <v>35</v>
      </c>
      <c r="P404" s="6" t="s">
        <v>35</v>
      </c>
      <c r="Q404" s="6" t="s">
        <v>27</v>
      </c>
      <c r="R404" s="6"/>
      <c r="S404" s="6">
        <f t="shared" si="6"/>
        <v>3163.83</v>
      </c>
      <c r="T404" s="6"/>
      <c r="U404" s="6"/>
      <c r="V404" s="6"/>
      <c r="W404" s="6" t="s">
        <v>96</v>
      </c>
      <c r="X404" s="6" t="s">
        <v>1516</v>
      </c>
      <c r="Y404" s="6" t="s">
        <v>1647</v>
      </c>
      <c r="Z404" s="6" t="s">
        <v>1500</v>
      </c>
      <c r="AA404" s="6" t="s">
        <v>40</v>
      </c>
    </row>
    <row r="405" spans="1:27">
      <c r="A405" s="6">
        <v>404</v>
      </c>
      <c r="B405" s="6"/>
      <c r="C405" s="7">
        <v>46112</v>
      </c>
      <c r="D405" s="6" t="s">
        <v>28</v>
      </c>
      <c r="E405" s="6" t="s">
        <v>1477</v>
      </c>
      <c r="F405" s="6" t="s">
        <v>30</v>
      </c>
      <c r="G405" s="6">
        <v>12</v>
      </c>
      <c r="H405" s="6" t="s">
        <v>1648</v>
      </c>
      <c r="I405" s="6" t="s">
        <v>1649</v>
      </c>
      <c r="J405" s="6" t="s">
        <v>1650</v>
      </c>
      <c r="K405" s="6" t="s">
        <v>1651</v>
      </c>
      <c r="L405" s="6">
        <v>3144.96</v>
      </c>
      <c r="M405" s="6">
        <v>3144.96</v>
      </c>
      <c r="N405" s="7" t="s">
        <v>35</v>
      </c>
      <c r="O405" s="6" t="s">
        <v>35</v>
      </c>
      <c r="P405" s="6" t="s">
        <v>35</v>
      </c>
      <c r="Q405" s="6" t="s">
        <v>27</v>
      </c>
      <c r="R405" s="6"/>
      <c r="S405" s="6">
        <f t="shared" si="6"/>
        <v>3144.96</v>
      </c>
      <c r="T405" s="6"/>
      <c r="U405" s="6"/>
      <c r="V405" s="6"/>
      <c r="W405" s="6" t="s">
        <v>444</v>
      </c>
      <c r="X405" s="6" t="s">
        <v>444</v>
      </c>
      <c r="Y405" s="6" t="s">
        <v>1652</v>
      </c>
      <c r="Z405" s="6" t="s">
        <v>1539</v>
      </c>
      <c r="AA405" s="6" t="s">
        <v>40</v>
      </c>
    </row>
    <row r="406" spans="1:27">
      <c r="A406" s="6">
        <v>405</v>
      </c>
      <c r="B406" s="6"/>
      <c r="C406" s="7">
        <v>46112</v>
      </c>
      <c r="D406" s="6" t="s">
        <v>28</v>
      </c>
      <c r="E406" s="6" t="s">
        <v>1477</v>
      </c>
      <c r="F406" s="6" t="s">
        <v>30</v>
      </c>
      <c r="G406" s="6">
        <v>12</v>
      </c>
      <c r="H406" s="6" t="s">
        <v>1653</v>
      </c>
      <c r="I406" s="6" t="s">
        <v>1654</v>
      </c>
      <c r="J406" s="6" t="s">
        <v>1655</v>
      </c>
      <c r="K406" s="6" t="s">
        <v>1656</v>
      </c>
      <c r="L406" s="6">
        <v>3030.52</v>
      </c>
      <c r="M406" s="6">
        <v>3030.52</v>
      </c>
      <c r="N406" s="7" t="s">
        <v>35</v>
      </c>
      <c r="O406" s="6" t="s">
        <v>35</v>
      </c>
      <c r="P406" s="6" t="s">
        <v>35</v>
      </c>
      <c r="Q406" s="6" t="s">
        <v>27</v>
      </c>
      <c r="R406" s="6"/>
      <c r="S406" s="6">
        <f t="shared" si="6"/>
        <v>3030.52</v>
      </c>
      <c r="T406" s="6"/>
      <c r="U406" s="6"/>
      <c r="V406" s="6"/>
      <c r="W406" s="6" t="s">
        <v>117</v>
      </c>
      <c r="X406" s="6" t="s">
        <v>117</v>
      </c>
      <c r="Y406" s="6" t="s">
        <v>1657</v>
      </c>
      <c r="Z406" s="6" t="s">
        <v>235</v>
      </c>
      <c r="AA406" s="6" t="s">
        <v>40</v>
      </c>
    </row>
    <row r="407" spans="1:27">
      <c r="A407" s="6">
        <v>406</v>
      </c>
      <c r="B407" s="6"/>
      <c r="C407" s="7">
        <v>46112</v>
      </c>
      <c r="D407" s="6" t="s">
        <v>28</v>
      </c>
      <c r="E407" s="6" t="s">
        <v>1477</v>
      </c>
      <c r="F407" s="6" t="s">
        <v>30</v>
      </c>
      <c r="G407" s="6">
        <v>12</v>
      </c>
      <c r="H407" s="6" t="s">
        <v>1658</v>
      </c>
      <c r="I407" s="6" t="s">
        <v>1659</v>
      </c>
      <c r="J407" s="6" t="s">
        <v>1660</v>
      </c>
      <c r="K407" s="6" t="s">
        <v>1661</v>
      </c>
      <c r="L407" s="6">
        <v>2926.03</v>
      </c>
      <c r="M407" s="6">
        <v>2926.03</v>
      </c>
      <c r="N407" s="7" t="s">
        <v>35</v>
      </c>
      <c r="O407" s="6" t="s">
        <v>35</v>
      </c>
      <c r="P407" s="6" t="s">
        <v>35</v>
      </c>
      <c r="Q407" s="6" t="s">
        <v>27</v>
      </c>
      <c r="R407" s="6"/>
      <c r="S407" s="6">
        <f t="shared" si="6"/>
        <v>2926.03</v>
      </c>
      <c r="T407" s="6"/>
      <c r="U407" s="6"/>
      <c r="V407" s="6"/>
      <c r="W407" s="6" t="s">
        <v>55</v>
      </c>
      <c r="X407" s="6" t="s">
        <v>55</v>
      </c>
      <c r="Y407" s="6" t="s">
        <v>1662</v>
      </c>
      <c r="Z407" s="6" t="s">
        <v>1483</v>
      </c>
      <c r="AA407" s="6" t="s">
        <v>40</v>
      </c>
    </row>
    <row r="408" spans="1:27">
      <c r="A408" s="6">
        <v>407</v>
      </c>
      <c r="B408" s="6"/>
      <c r="C408" s="7">
        <v>46112</v>
      </c>
      <c r="D408" s="6" t="s">
        <v>28</v>
      </c>
      <c r="E408" s="6" t="s">
        <v>1477</v>
      </c>
      <c r="F408" s="6" t="s">
        <v>30</v>
      </c>
      <c r="G408" s="6">
        <v>12</v>
      </c>
      <c r="H408" s="6" t="s">
        <v>1663</v>
      </c>
      <c r="I408" s="6" t="s">
        <v>1664</v>
      </c>
      <c r="J408" s="6" t="s">
        <v>1665</v>
      </c>
      <c r="K408" s="6" t="s">
        <v>1666</v>
      </c>
      <c r="L408" s="6">
        <v>2457.38</v>
      </c>
      <c r="M408" s="6">
        <v>2457.38</v>
      </c>
      <c r="N408" s="7" t="s">
        <v>35</v>
      </c>
      <c r="O408" s="6" t="s">
        <v>35</v>
      </c>
      <c r="P408" s="6" t="s">
        <v>35</v>
      </c>
      <c r="Q408" s="6" t="s">
        <v>27</v>
      </c>
      <c r="R408" s="6"/>
      <c r="S408" s="6">
        <f t="shared" si="6"/>
        <v>2457.38</v>
      </c>
      <c r="T408" s="6"/>
      <c r="U408" s="6"/>
      <c r="V408" s="6"/>
      <c r="W408" s="6" t="s">
        <v>124</v>
      </c>
      <c r="X408" s="6" t="s">
        <v>124</v>
      </c>
      <c r="Y408" s="6" t="s">
        <v>1667</v>
      </c>
      <c r="Z408" s="6" t="s">
        <v>1539</v>
      </c>
      <c r="AA408" s="6" t="s">
        <v>40</v>
      </c>
    </row>
    <row r="409" spans="1:27">
      <c r="A409" s="6">
        <v>408</v>
      </c>
      <c r="B409" s="6"/>
      <c r="C409" s="7">
        <v>46112</v>
      </c>
      <c r="D409" s="6" t="s">
        <v>28</v>
      </c>
      <c r="E409" s="6" t="s">
        <v>1477</v>
      </c>
      <c r="F409" s="6" t="s">
        <v>30</v>
      </c>
      <c r="G409" s="6">
        <v>12</v>
      </c>
      <c r="H409" s="6" t="s">
        <v>1668</v>
      </c>
      <c r="I409" s="6" t="s">
        <v>1669</v>
      </c>
      <c r="J409" s="6" t="s">
        <v>1670</v>
      </c>
      <c r="K409" s="6" t="s">
        <v>1671</v>
      </c>
      <c r="L409" s="6">
        <v>2422.38</v>
      </c>
      <c r="M409" s="6">
        <v>2422.38</v>
      </c>
      <c r="N409" s="7" t="s">
        <v>35</v>
      </c>
      <c r="O409" s="6" t="s">
        <v>35</v>
      </c>
      <c r="P409" s="6" t="s">
        <v>35</v>
      </c>
      <c r="Q409" s="6" t="s">
        <v>27</v>
      </c>
      <c r="R409" s="6"/>
      <c r="S409" s="6">
        <f t="shared" si="6"/>
        <v>2422.38</v>
      </c>
      <c r="T409" s="6"/>
      <c r="U409" s="6"/>
      <c r="V409" s="6"/>
      <c r="W409" s="6" t="s">
        <v>790</v>
      </c>
      <c r="X409" s="6" t="s">
        <v>790</v>
      </c>
      <c r="Y409" s="6" t="s">
        <v>1672</v>
      </c>
      <c r="Z409" s="6" t="s">
        <v>235</v>
      </c>
      <c r="AA409" s="6" t="s">
        <v>40</v>
      </c>
    </row>
    <row r="410" spans="1:27">
      <c r="A410" s="6">
        <v>409</v>
      </c>
      <c r="B410" s="6"/>
      <c r="C410" s="7">
        <v>46112</v>
      </c>
      <c r="D410" s="6" t="s">
        <v>28</v>
      </c>
      <c r="E410" s="6" t="s">
        <v>1477</v>
      </c>
      <c r="F410" s="6" t="s">
        <v>30</v>
      </c>
      <c r="G410" s="6">
        <v>12</v>
      </c>
      <c r="H410" s="6" t="s">
        <v>1673</v>
      </c>
      <c r="I410" s="6" t="s">
        <v>1674</v>
      </c>
      <c r="J410" s="6" t="s">
        <v>1675</v>
      </c>
      <c r="K410" s="6" t="s">
        <v>1676</v>
      </c>
      <c r="L410" s="6">
        <v>2398.1799999999998</v>
      </c>
      <c r="M410" s="6">
        <v>2398.1799999999998</v>
      </c>
      <c r="N410" s="7" t="s">
        <v>35</v>
      </c>
      <c r="O410" s="6" t="s">
        <v>35</v>
      </c>
      <c r="P410" s="6" t="s">
        <v>35</v>
      </c>
      <c r="Q410" s="6" t="s">
        <v>27</v>
      </c>
      <c r="R410" s="6"/>
      <c r="S410" s="6">
        <f t="shared" si="6"/>
        <v>2398.1799999999998</v>
      </c>
      <c r="T410" s="6"/>
      <c r="U410" s="6"/>
      <c r="V410" s="6"/>
      <c r="W410" s="6" t="s">
        <v>45</v>
      </c>
      <c r="X410" s="6" t="s">
        <v>45</v>
      </c>
      <c r="Y410" s="6" t="s">
        <v>1677</v>
      </c>
      <c r="Z410" s="6" t="s">
        <v>1539</v>
      </c>
      <c r="AA410" s="6" t="s">
        <v>40</v>
      </c>
    </row>
    <row r="411" spans="1:27">
      <c r="A411" s="6">
        <v>410</v>
      </c>
      <c r="B411" s="6"/>
      <c r="C411" s="7">
        <v>46112</v>
      </c>
      <c r="D411" s="6" t="s">
        <v>28</v>
      </c>
      <c r="E411" s="6" t="s">
        <v>1477</v>
      </c>
      <c r="F411" s="6" t="s">
        <v>30</v>
      </c>
      <c r="G411" s="6">
        <v>12</v>
      </c>
      <c r="H411" s="6" t="s">
        <v>1678</v>
      </c>
      <c r="I411" s="6" t="s">
        <v>1679</v>
      </c>
      <c r="J411" s="6" t="s">
        <v>1680</v>
      </c>
      <c r="K411" s="6"/>
      <c r="L411" s="6">
        <v>2383.5</v>
      </c>
      <c r="M411" s="6">
        <v>2383.5</v>
      </c>
      <c r="N411" s="7" t="s">
        <v>35</v>
      </c>
      <c r="O411" s="6" t="s">
        <v>35</v>
      </c>
      <c r="P411" s="6" t="s">
        <v>35</v>
      </c>
      <c r="Q411" s="6" t="s">
        <v>27</v>
      </c>
      <c r="R411" s="6"/>
      <c r="S411" s="6">
        <f t="shared" si="6"/>
        <v>2383.5</v>
      </c>
      <c r="T411" s="6"/>
      <c r="U411" s="6"/>
      <c r="V411" s="6"/>
      <c r="W411" s="6" t="s">
        <v>972</v>
      </c>
      <c r="X411" s="6" t="s">
        <v>972</v>
      </c>
      <c r="Y411" s="6" t="s">
        <v>1681</v>
      </c>
      <c r="Z411" s="6" t="s">
        <v>1682</v>
      </c>
      <c r="AA411" s="6" t="s">
        <v>40</v>
      </c>
    </row>
    <row r="412" spans="1:27">
      <c r="A412" s="6">
        <v>411</v>
      </c>
      <c r="B412" s="6"/>
      <c r="C412" s="7">
        <v>46112</v>
      </c>
      <c r="D412" s="6" t="s">
        <v>28</v>
      </c>
      <c r="E412" s="6" t="s">
        <v>1477</v>
      </c>
      <c r="F412" s="6" t="s">
        <v>30</v>
      </c>
      <c r="G412" s="6">
        <v>12</v>
      </c>
      <c r="H412" s="6" t="s">
        <v>85</v>
      </c>
      <c r="I412" s="6" t="s">
        <v>86</v>
      </c>
      <c r="J412" s="6" t="s">
        <v>87</v>
      </c>
      <c r="K412" s="6" t="s">
        <v>88</v>
      </c>
      <c r="L412" s="6">
        <v>2364.6799999999998</v>
      </c>
      <c r="M412" s="6">
        <v>2364.6799999999998</v>
      </c>
      <c r="N412" s="7" t="s">
        <v>35</v>
      </c>
      <c r="O412" s="6" t="s">
        <v>35</v>
      </c>
      <c r="P412" s="6" t="s">
        <v>35</v>
      </c>
      <c r="Q412" s="6" t="s">
        <v>27</v>
      </c>
      <c r="R412" s="6"/>
      <c r="S412" s="6">
        <f t="shared" si="6"/>
        <v>2364.6799999999998</v>
      </c>
      <c r="T412" s="6"/>
      <c r="U412" s="6"/>
      <c r="V412" s="6"/>
      <c r="W412" s="6" t="s">
        <v>89</v>
      </c>
      <c r="X412" s="6" t="s">
        <v>89</v>
      </c>
      <c r="Y412" s="6" t="s">
        <v>1683</v>
      </c>
      <c r="Z412" s="6" t="s">
        <v>1493</v>
      </c>
      <c r="AA412" s="6" t="s">
        <v>40</v>
      </c>
    </row>
    <row r="413" spans="1:27">
      <c r="A413" s="6">
        <v>412</v>
      </c>
      <c r="B413" s="6"/>
      <c r="C413" s="7">
        <v>46112</v>
      </c>
      <c r="D413" s="6" t="s">
        <v>28</v>
      </c>
      <c r="E413" s="6" t="s">
        <v>1477</v>
      </c>
      <c r="F413" s="6" t="s">
        <v>30</v>
      </c>
      <c r="G413" s="6">
        <v>12</v>
      </c>
      <c r="H413" s="6" t="s">
        <v>1684</v>
      </c>
      <c r="I413" s="6" t="s">
        <v>1685</v>
      </c>
      <c r="J413" s="6" t="s">
        <v>1686</v>
      </c>
      <c r="K413" s="6" t="s">
        <v>1687</v>
      </c>
      <c r="L413" s="6">
        <v>2246.8000000000002</v>
      </c>
      <c r="M413" s="6">
        <v>2246.8000000000002</v>
      </c>
      <c r="N413" s="7" t="s">
        <v>35</v>
      </c>
      <c r="O413" s="6" t="s">
        <v>35</v>
      </c>
      <c r="P413" s="6" t="s">
        <v>35</v>
      </c>
      <c r="Q413" s="6" t="s">
        <v>27</v>
      </c>
      <c r="R413" s="6"/>
      <c r="S413" s="6">
        <f t="shared" si="6"/>
        <v>2246.8000000000002</v>
      </c>
      <c r="T413" s="6"/>
      <c r="U413" s="6"/>
      <c r="V413" s="6"/>
      <c r="W413" s="6" t="s">
        <v>1688</v>
      </c>
      <c r="X413" s="6" t="s">
        <v>698</v>
      </c>
      <c r="Y413" s="6" t="s">
        <v>1689</v>
      </c>
      <c r="Z413" s="6" t="s">
        <v>235</v>
      </c>
      <c r="AA413" s="6" t="s">
        <v>40</v>
      </c>
    </row>
    <row r="414" spans="1:27">
      <c r="A414" s="6">
        <v>413</v>
      </c>
      <c r="B414" s="6"/>
      <c r="C414" s="7">
        <v>46112</v>
      </c>
      <c r="D414" s="6" t="s">
        <v>28</v>
      </c>
      <c r="E414" s="6" t="s">
        <v>1477</v>
      </c>
      <c r="F414" s="6" t="s">
        <v>30</v>
      </c>
      <c r="G414" s="6">
        <v>12</v>
      </c>
      <c r="H414" s="6" t="s">
        <v>1690</v>
      </c>
      <c r="I414" s="6" t="s">
        <v>1691</v>
      </c>
      <c r="J414" s="6" t="s">
        <v>1692</v>
      </c>
      <c r="K414" s="6" t="s">
        <v>1693</v>
      </c>
      <c r="L414" s="6">
        <v>2194.9699999999998</v>
      </c>
      <c r="M414" s="6">
        <v>2194.9699999999998</v>
      </c>
      <c r="N414" s="7" t="s">
        <v>35</v>
      </c>
      <c r="O414" s="6" t="s">
        <v>35</v>
      </c>
      <c r="P414" s="6" t="s">
        <v>35</v>
      </c>
      <c r="Q414" s="6" t="s">
        <v>27</v>
      </c>
      <c r="R414" s="6"/>
      <c r="S414" s="6">
        <f t="shared" si="6"/>
        <v>2194.9699999999998</v>
      </c>
      <c r="T414" s="6"/>
      <c r="U414" s="6"/>
      <c r="V414" s="6"/>
      <c r="W414" s="6" t="s">
        <v>972</v>
      </c>
      <c r="X414" s="6" t="s">
        <v>972</v>
      </c>
      <c r="Y414" s="6" t="s">
        <v>1694</v>
      </c>
      <c r="Z414" s="6" t="s">
        <v>1577</v>
      </c>
      <c r="AA414" s="6" t="s">
        <v>40</v>
      </c>
    </row>
    <row r="415" spans="1:27">
      <c r="A415" s="6">
        <v>414</v>
      </c>
      <c r="B415" s="6"/>
      <c r="C415" s="7">
        <v>46112</v>
      </c>
      <c r="D415" s="6" t="s">
        <v>28</v>
      </c>
      <c r="E415" s="6" t="s">
        <v>1477</v>
      </c>
      <c r="F415" s="6" t="s">
        <v>30</v>
      </c>
      <c r="G415" s="6">
        <v>12</v>
      </c>
      <c r="H415" s="6" t="s">
        <v>1695</v>
      </c>
      <c r="I415" s="6" t="s">
        <v>1696</v>
      </c>
      <c r="J415" s="6" t="s">
        <v>1697</v>
      </c>
      <c r="K415" s="6" t="s">
        <v>1698</v>
      </c>
      <c r="L415" s="6">
        <v>1919.81</v>
      </c>
      <c r="M415" s="6">
        <v>1919.81</v>
      </c>
      <c r="N415" s="7" t="s">
        <v>35</v>
      </c>
      <c r="O415" s="6" t="s">
        <v>35</v>
      </c>
      <c r="P415" s="6" t="s">
        <v>35</v>
      </c>
      <c r="Q415" s="6" t="s">
        <v>27</v>
      </c>
      <c r="R415" s="6"/>
      <c r="S415" s="6">
        <f t="shared" si="6"/>
        <v>1919.81</v>
      </c>
      <c r="T415" s="6"/>
      <c r="U415" s="6"/>
      <c r="V415" s="6"/>
      <c r="W415" s="6" t="s">
        <v>55</v>
      </c>
      <c r="X415" s="6" t="s">
        <v>55</v>
      </c>
      <c r="Y415" s="6" t="s">
        <v>1699</v>
      </c>
      <c r="Z415" s="6" t="s">
        <v>1539</v>
      </c>
      <c r="AA415" s="6" t="s">
        <v>40</v>
      </c>
    </row>
    <row r="416" spans="1:27">
      <c r="A416" s="6">
        <v>415</v>
      </c>
      <c r="B416" s="6"/>
      <c r="C416" s="7">
        <v>46112</v>
      </c>
      <c r="D416" s="6" t="s">
        <v>28</v>
      </c>
      <c r="E416" s="6" t="s">
        <v>1477</v>
      </c>
      <c r="F416" s="6" t="s">
        <v>30</v>
      </c>
      <c r="G416" s="6">
        <v>12</v>
      </c>
      <c r="H416" s="6" t="s">
        <v>1700</v>
      </c>
      <c r="I416" s="6" t="s">
        <v>1701</v>
      </c>
      <c r="J416" s="6" t="s">
        <v>1702</v>
      </c>
      <c r="K416" s="6" t="s">
        <v>1703</v>
      </c>
      <c r="L416" s="6">
        <v>1823.69</v>
      </c>
      <c r="M416" s="6">
        <v>1823.69</v>
      </c>
      <c r="N416" s="7" t="s">
        <v>35</v>
      </c>
      <c r="O416" s="6" t="s">
        <v>35</v>
      </c>
      <c r="P416" s="6" t="s">
        <v>35</v>
      </c>
      <c r="Q416" s="6" t="s">
        <v>27</v>
      </c>
      <c r="R416" s="6"/>
      <c r="S416" s="6">
        <f t="shared" si="6"/>
        <v>1823.69</v>
      </c>
      <c r="T416" s="6"/>
      <c r="U416" s="6"/>
      <c r="V416" s="6"/>
      <c r="W416" s="6" t="s">
        <v>774</v>
      </c>
      <c r="X416" s="6" t="s">
        <v>774</v>
      </c>
      <c r="Y416" s="6" t="s">
        <v>1704</v>
      </c>
      <c r="Z416" s="6" t="s">
        <v>1577</v>
      </c>
      <c r="AA416" s="6" t="s">
        <v>40</v>
      </c>
    </row>
    <row r="417" spans="1:27">
      <c r="A417" s="6">
        <v>416</v>
      </c>
      <c r="B417" s="6"/>
      <c r="C417" s="7">
        <v>46112</v>
      </c>
      <c r="D417" s="6" t="s">
        <v>28</v>
      </c>
      <c r="E417" s="6" t="s">
        <v>1477</v>
      </c>
      <c r="F417" s="6" t="s">
        <v>30</v>
      </c>
      <c r="G417" s="6">
        <v>12</v>
      </c>
      <c r="H417" s="6" t="s">
        <v>1705</v>
      </c>
      <c r="I417" s="6" t="s">
        <v>1706</v>
      </c>
      <c r="J417" s="6" t="s">
        <v>1707</v>
      </c>
      <c r="K417" s="6"/>
      <c r="L417" s="6">
        <v>1500.7</v>
      </c>
      <c r="M417" s="6">
        <v>1500.7</v>
      </c>
      <c r="N417" s="7" t="s">
        <v>35</v>
      </c>
      <c r="O417" s="6" t="s">
        <v>35</v>
      </c>
      <c r="P417" s="6" t="s">
        <v>35</v>
      </c>
      <c r="Q417" s="6" t="s">
        <v>27</v>
      </c>
      <c r="R417" s="6">
        <v>501</v>
      </c>
      <c r="S417" s="6">
        <f t="shared" si="6"/>
        <v>999.7</v>
      </c>
      <c r="T417" s="7">
        <v>46118</v>
      </c>
      <c r="U417" s="6" t="s">
        <v>1708</v>
      </c>
      <c r="V417" s="6"/>
      <c r="W417" s="6" t="s">
        <v>790</v>
      </c>
      <c r="X417" s="6" t="s">
        <v>790</v>
      </c>
      <c r="Y417" s="6" t="s">
        <v>1709</v>
      </c>
      <c r="Z417" s="6" t="s">
        <v>1577</v>
      </c>
      <c r="AA417" s="6" t="s">
        <v>40</v>
      </c>
    </row>
    <row r="418" spans="1:27">
      <c r="A418" s="6">
        <v>417</v>
      </c>
      <c r="B418" s="6"/>
      <c r="C418" s="7">
        <v>46112</v>
      </c>
      <c r="D418" s="6" t="s">
        <v>28</v>
      </c>
      <c r="E418" s="6" t="s">
        <v>1477</v>
      </c>
      <c r="F418" s="6" t="s">
        <v>30</v>
      </c>
      <c r="G418" s="6">
        <v>12</v>
      </c>
      <c r="H418" s="6" t="s">
        <v>1710</v>
      </c>
      <c r="I418" s="6" t="s">
        <v>1711</v>
      </c>
      <c r="J418" s="6" t="s">
        <v>1712</v>
      </c>
      <c r="K418" s="6" t="s">
        <v>1713</v>
      </c>
      <c r="L418" s="6">
        <v>1474.77</v>
      </c>
      <c r="M418" s="6">
        <v>1474.77</v>
      </c>
      <c r="N418" s="7" t="s">
        <v>35</v>
      </c>
      <c r="O418" s="6" t="s">
        <v>35</v>
      </c>
      <c r="P418" s="6" t="s">
        <v>35</v>
      </c>
      <c r="Q418" s="6" t="s">
        <v>27</v>
      </c>
      <c r="R418" s="6"/>
      <c r="S418" s="6">
        <f t="shared" si="6"/>
        <v>1474.77</v>
      </c>
      <c r="T418" s="6"/>
      <c r="U418" s="6"/>
      <c r="V418" s="6"/>
      <c r="W418" s="6" t="s">
        <v>82</v>
      </c>
      <c r="X418" s="6" t="s">
        <v>82</v>
      </c>
      <c r="Y418" s="6" t="s">
        <v>1714</v>
      </c>
      <c r="Z418" s="6" t="s">
        <v>1539</v>
      </c>
      <c r="AA418" s="6" t="s">
        <v>40</v>
      </c>
    </row>
    <row r="419" spans="1:27">
      <c r="A419" s="6">
        <v>418</v>
      </c>
      <c r="B419" s="6"/>
      <c r="C419" s="7">
        <v>46112</v>
      </c>
      <c r="D419" s="6" t="s">
        <v>28</v>
      </c>
      <c r="E419" s="6" t="s">
        <v>1477</v>
      </c>
      <c r="F419" s="6" t="s">
        <v>30</v>
      </c>
      <c r="G419" s="6">
        <v>12</v>
      </c>
      <c r="H419" s="6" t="s">
        <v>1715</v>
      </c>
      <c r="I419" s="6" t="s">
        <v>1716</v>
      </c>
      <c r="J419" s="6" t="s">
        <v>1717</v>
      </c>
      <c r="K419" s="6" t="s">
        <v>1718</v>
      </c>
      <c r="L419" s="6">
        <v>1442.74</v>
      </c>
      <c r="M419" s="6">
        <v>1442.74</v>
      </c>
      <c r="N419" s="7" t="s">
        <v>35</v>
      </c>
      <c r="O419" s="6" t="s">
        <v>35</v>
      </c>
      <c r="P419" s="6" t="s">
        <v>35</v>
      </c>
      <c r="Q419" s="6" t="s">
        <v>27</v>
      </c>
      <c r="R419" s="6"/>
      <c r="S419" s="6">
        <f t="shared" si="6"/>
        <v>1442.74</v>
      </c>
      <c r="T419" s="6"/>
      <c r="U419" s="6"/>
      <c r="V419" s="6"/>
      <c r="W419" s="6" t="s">
        <v>89</v>
      </c>
      <c r="X419" s="6" t="s">
        <v>89</v>
      </c>
      <c r="Y419" s="6" t="s">
        <v>1719</v>
      </c>
      <c r="Z419" s="6" t="s">
        <v>1541</v>
      </c>
      <c r="AA419" s="6" t="s">
        <v>40</v>
      </c>
    </row>
    <row r="420" spans="1:27">
      <c r="A420" s="6">
        <v>419</v>
      </c>
      <c r="B420" s="6"/>
      <c r="C420" s="7">
        <v>46112</v>
      </c>
      <c r="D420" s="6" t="s">
        <v>28</v>
      </c>
      <c r="E420" s="6" t="s">
        <v>1477</v>
      </c>
      <c r="F420" s="6" t="s">
        <v>30</v>
      </c>
      <c r="G420" s="6">
        <v>12</v>
      </c>
      <c r="H420" s="6" t="s">
        <v>1720</v>
      </c>
      <c r="I420" s="6" t="s">
        <v>1721</v>
      </c>
      <c r="J420" s="6" t="s">
        <v>1722</v>
      </c>
      <c r="K420" s="6"/>
      <c r="L420" s="6">
        <v>1167.92</v>
      </c>
      <c r="M420" s="6">
        <v>1167.92</v>
      </c>
      <c r="N420" s="7" t="s">
        <v>35</v>
      </c>
      <c r="O420" s="6" t="s">
        <v>35</v>
      </c>
      <c r="P420" s="6" t="s">
        <v>35</v>
      </c>
      <c r="Q420" s="6" t="s">
        <v>27</v>
      </c>
      <c r="R420" s="6"/>
      <c r="S420" s="6">
        <f t="shared" si="6"/>
        <v>1167.92</v>
      </c>
      <c r="T420" s="6"/>
      <c r="U420" s="6"/>
      <c r="V420" s="6"/>
      <c r="W420" s="6" t="s">
        <v>45</v>
      </c>
      <c r="X420" s="6" t="s">
        <v>45</v>
      </c>
      <c r="Y420" s="6" t="s">
        <v>1723</v>
      </c>
      <c r="Z420" s="6" t="s">
        <v>1539</v>
      </c>
      <c r="AA420" s="6" t="s">
        <v>40</v>
      </c>
    </row>
    <row r="421" spans="1:27">
      <c r="A421" s="6">
        <v>420</v>
      </c>
      <c r="B421" s="6" t="s">
        <v>342</v>
      </c>
      <c r="C421" s="7">
        <v>46113</v>
      </c>
      <c r="D421" s="6" t="s">
        <v>226</v>
      </c>
      <c r="E421" s="6" t="s">
        <v>1477</v>
      </c>
      <c r="F421" s="12" t="s">
        <v>294</v>
      </c>
      <c r="G421" s="8">
        <v>2</v>
      </c>
      <c r="H421" s="12" t="s">
        <v>295</v>
      </c>
      <c r="I421" s="12" t="s">
        <v>296</v>
      </c>
      <c r="J421" s="12" t="s">
        <v>297</v>
      </c>
      <c r="K421" s="12" t="s">
        <v>297</v>
      </c>
      <c r="L421" s="13">
        <v>24273</v>
      </c>
      <c r="M421" s="13">
        <v>24273</v>
      </c>
      <c r="N421" s="7"/>
      <c r="O421" s="6" t="s">
        <v>298</v>
      </c>
      <c r="P421" s="6" t="s">
        <v>52</v>
      </c>
      <c r="Q421" s="12" t="s">
        <v>298</v>
      </c>
      <c r="R421" s="6">
        <v>5740</v>
      </c>
      <c r="S421" s="6">
        <f t="shared" si="6"/>
        <v>18533</v>
      </c>
      <c r="T421" s="7">
        <v>46113</v>
      </c>
      <c r="U421" s="6" t="s">
        <v>1724</v>
      </c>
      <c r="V421" s="6"/>
      <c r="W421" s="12" t="s">
        <v>298</v>
      </c>
      <c r="X421" s="12" t="s">
        <v>300</v>
      </c>
      <c r="Y421" s="6" t="s">
        <v>301</v>
      </c>
      <c r="Z421" s="6" t="s">
        <v>302</v>
      </c>
      <c r="AA421" s="6" t="s">
        <v>235</v>
      </c>
    </row>
    <row r="422" spans="1:27">
      <c r="A422" s="6">
        <v>421</v>
      </c>
      <c r="B422" s="6" t="s">
        <v>298</v>
      </c>
      <c r="C422" s="7">
        <v>46114</v>
      </c>
      <c r="D422" s="6" t="s">
        <v>226</v>
      </c>
      <c r="E422" s="6" t="s">
        <v>1477</v>
      </c>
      <c r="F422" s="6" t="s">
        <v>364</v>
      </c>
      <c r="G422" s="8">
        <v>2</v>
      </c>
      <c r="H422" s="8" t="s">
        <v>1725</v>
      </c>
      <c r="I422" s="8">
        <v>9502333911</v>
      </c>
      <c r="J422" s="8" t="s">
        <v>1726</v>
      </c>
      <c r="K422" s="8" t="s">
        <v>1726</v>
      </c>
      <c r="L422" s="16">
        <v>30910</v>
      </c>
      <c r="M422" s="16">
        <v>30910</v>
      </c>
      <c r="N422" s="7">
        <v>46131</v>
      </c>
      <c r="O422" s="6" t="s">
        <v>1727</v>
      </c>
      <c r="P422" s="6" t="s">
        <v>52</v>
      </c>
      <c r="Q422" s="6" t="s">
        <v>665</v>
      </c>
      <c r="R422" s="6">
        <v>28000</v>
      </c>
      <c r="S422" s="6">
        <f t="shared" si="6"/>
        <v>2910</v>
      </c>
      <c r="T422" s="28">
        <v>46131</v>
      </c>
      <c r="U422" s="6" t="s">
        <v>1728</v>
      </c>
      <c r="V422" s="6"/>
      <c r="W422" s="6" t="s">
        <v>666</v>
      </c>
      <c r="X422" s="6" t="s">
        <v>1727</v>
      </c>
      <c r="Y422" s="8" t="s">
        <v>1729</v>
      </c>
      <c r="Z422" s="6"/>
      <c r="AA422" s="6" t="s">
        <v>373</v>
      </c>
    </row>
    <row r="423" spans="1:27">
      <c r="A423" s="6">
        <v>422</v>
      </c>
      <c r="B423" s="6" t="s">
        <v>298</v>
      </c>
      <c r="C423" s="7">
        <v>46114</v>
      </c>
      <c r="D423" s="6" t="s">
        <v>226</v>
      </c>
      <c r="E423" s="6" t="s">
        <v>1477</v>
      </c>
      <c r="F423" s="6" t="s">
        <v>364</v>
      </c>
      <c r="G423" s="8">
        <v>2</v>
      </c>
      <c r="H423" s="6" t="s">
        <v>1730</v>
      </c>
      <c r="I423" s="8" t="s">
        <v>1731</v>
      </c>
      <c r="J423" s="8" t="s">
        <v>1732</v>
      </c>
      <c r="K423" s="8" t="s">
        <v>1732</v>
      </c>
      <c r="L423" s="16">
        <v>4030</v>
      </c>
      <c r="M423" s="16">
        <v>4100</v>
      </c>
      <c r="N423" s="7">
        <v>46118</v>
      </c>
      <c r="O423" s="6" t="s">
        <v>1733</v>
      </c>
      <c r="P423" s="6" t="s">
        <v>52</v>
      </c>
      <c r="Q423" s="6" t="s">
        <v>665</v>
      </c>
      <c r="R423" s="6">
        <v>4100</v>
      </c>
      <c r="S423" s="6">
        <f t="shared" si="6"/>
        <v>0</v>
      </c>
      <c r="T423" s="7">
        <v>46126</v>
      </c>
      <c r="U423" s="6" t="s">
        <v>1734</v>
      </c>
      <c r="V423" s="6" t="s">
        <v>54</v>
      </c>
      <c r="W423" s="6" t="s">
        <v>862</v>
      </c>
      <c r="X423" s="6" t="s">
        <v>1733</v>
      </c>
      <c r="Y423" s="8" t="s">
        <v>1735</v>
      </c>
      <c r="Z423" s="6" t="s">
        <v>669</v>
      </c>
      <c r="AA423" s="6" t="s">
        <v>373</v>
      </c>
    </row>
    <row r="424" spans="1:27">
      <c r="A424" s="6">
        <v>423</v>
      </c>
      <c r="B424" s="6" t="s">
        <v>298</v>
      </c>
      <c r="C424" s="7">
        <v>46114</v>
      </c>
      <c r="D424" s="6" t="s">
        <v>226</v>
      </c>
      <c r="E424" s="6" t="s">
        <v>1477</v>
      </c>
      <c r="F424" s="6" t="s">
        <v>364</v>
      </c>
      <c r="G424" s="8">
        <v>2</v>
      </c>
      <c r="H424" s="8" t="s">
        <v>1736</v>
      </c>
      <c r="I424" s="8" t="s">
        <v>1737</v>
      </c>
      <c r="J424" s="8" t="s">
        <v>1738</v>
      </c>
      <c r="K424" s="8" t="s">
        <v>1738</v>
      </c>
      <c r="L424" s="16">
        <v>25870</v>
      </c>
      <c r="M424" s="6">
        <v>5900</v>
      </c>
      <c r="N424" s="7">
        <v>46120</v>
      </c>
      <c r="O424" s="6" t="s">
        <v>666</v>
      </c>
      <c r="P424" s="6" t="s">
        <v>52</v>
      </c>
      <c r="Q424" s="6" t="s">
        <v>665</v>
      </c>
      <c r="R424" s="6">
        <v>5900</v>
      </c>
      <c r="S424" s="6">
        <f t="shared" si="6"/>
        <v>0</v>
      </c>
      <c r="T424" s="7">
        <v>46119</v>
      </c>
      <c r="U424" s="6" t="s">
        <v>1739</v>
      </c>
      <c r="V424" s="6" t="s">
        <v>54</v>
      </c>
      <c r="W424" s="6" t="s">
        <v>862</v>
      </c>
      <c r="X424" s="6" t="s">
        <v>1740</v>
      </c>
      <c r="Y424" s="8" t="s">
        <v>1741</v>
      </c>
      <c r="Z424" s="6" t="s">
        <v>1742</v>
      </c>
      <c r="AA424" s="6" t="s">
        <v>373</v>
      </c>
    </row>
    <row r="425" spans="1:27">
      <c r="A425" s="6">
        <v>424</v>
      </c>
      <c r="B425" s="6" t="s">
        <v>346</v>
      </c>
      <c r="C425" s="7">
        <v>46114</v>
      </c>
      <c r="D425" s="6" t="s">
        <v>226</v>
      </c>
      <c r="E425" s="6" t="s">
        <v>1477</v>
      </c>
      <c r="F425" s="6" t="s">
        <v>267</v>
      </c>
      <c r="G425" s="8">
        <v>2</v>
      </c>
      <c r="H425" s="11" t="s">
        <v>1743</v>
      </c>
      <c r="I425" s="11">
        <v>7036276644</v>
      </c>
      <c r="J425" s="10" t="s">
        <v>1744</v>
      </c>
      <c r="K425" s="10" t="s">
        <v>1744</v>
      </c>
      <c r="L425" s="6">
        <v>250</v>
      </c>
      <c r="M425" s="6">
        <v>250</v>
      </c>
      <c r="N425" s="7" t="s">
        <v>239</v>
      </c>
      <c r="O425" s="6" t="s">
        <v>239</v>
      </c>
      <c r="P425" s="6" t="s">
        <v>239</v>
      </c>
      <c r="Q425" s="6" t="s">
        <v>236</v>
      </c>
      <c r="R425" s="6"/>
      <c r="S425" s="6">
        <f t="shared" si="6"/>
        <v>250</v>
      </c>
      <c r="T425" s="6"/>
      <c r="U425" s="6"/>
      <c r="V425" s="6"/>
      <c r="W425" s="6" t="s">
        <v>236</v>
      </c>
      <c r="X425" s="6" t="s">
        <v>236</v>
      </c>
      <c r="Y425" s="6" t="s">
        <v>236</v>
      </c>
      <c r="Z425" s="6" t="s">
        <v>236</v>
      </c>
      <c r="AA425" s="6" t="s">
        <v>236</v>
      </c>
    </row>
    <row r="426" spans="1:27">
      <c r="A426" s="6">
        <v>425</v>
      </c>
      <c r="B426" s="6" t="s">
        <v>346</v>
      </c>
      <c r="C426" s="7">
        <v>46114</v>
      </c>
      <c r="D426" s="6" t="s">
        <v>226</v>
      </c>
      <c r="E426" s="6" t="s">
        <v>1477</v>
      </c>
      <c r="F426" s="6" t="s">
        <v>267</v>
      </c>
      <c r="G426" s="8">
        <v>2</v>
      </c>
      <c r="H426" s="11" t="s">
        <v>1745</v>
      </c>
      <c r="I426" s="11">
        <v>9666354770</v>
      </c>
      <c r="J426" s="10" t="s">
        <v>1746</v>
      </c>
      <c r="K426" s="10" t="s">
        <v>1746</v>
      </c>
      <c r="L426" s="6">
        <v>1480</v>
      </c>
      <c r="M426" s="6">
        <v>1480</v>
      </c>
      <c r="N426" s="7" t="s">
        <v>239</v>
      </c>
      <c r="O426" s="6" t="s">
        <v>239</v>
      </c>
      <c r="P426" s="6" t="s">
        <v>239</v>
      </c>
      <c r="Q426" s="6" t="s">
        <v>236</v>
      </c>
      <c r="R426" s="6"/>
      <c r="S426" s="6">
        <f t="shared" si="6"/>
        <v>1480</v>
      </c>
      <c r="T426" s="6"/>
      <c r="U426" s="6"/>
      <c r="V426" s="6"/>
      <c r="W426" s="6" t="s">
        <v>236</v>
      </c>
      <c r="X426" s="6" t="s">
        <v>236</v>
      </c>
      <c r="Y426" s="6" t="s">
        <v>236</v>
      </c>
      <c r="Z426" s="6" t="s">
        <v>236</v>
      </c>
      <c r="AA426" s="6" t="s">
        <v>236</v>
      </c>
    </row>
    <row r="427" spans="1:27">
      <c r="A427" s="6">
        <v>426</v>
      </c>
      <c r="B427" s="6" t="s">
        <v>346</v>
      </c>
      <c r="C427" s="7">
        <v>46114</v>
      </c>
      <c r="D427" s="6" t="s">
        <v>226</v>
      </c>
      <c r="E427" s="6" t="s">
        <v>1477</v>
      </c>
      <c r="F427" s="6" t="s">
        <v>267</v>
      </c>
      <c r="G427" s="8">
        <v>2</v>
      </c>
      <c r="H427" s="11" t="s">
        <v>1747</v>
      </c>
      <c r="I427" s="11">
        <v>9945105455</v>
      </c>
      <c r="J427" s="10" t="s">
        <v>1748</v>
      </c>
      <c r="K427" s="10" t="s">
        <v>1748</v>
      </c>
      <c r="L427" s="6">
        <v>1190</v>
      </c>
      <c r="M427" s="6">
        <v>1190</v>
      </c>
      <c r="N427" s="7" t="s">
        <v>239</v>
      </c>
      <c r="O427" s="6" t="s">
        <v>239</v>
      </c>
      <c r="P427" s="6" t="s">
        <v>239</v>
      </c>
      <c r="Q427" s="6" t="s">
        <v>236</v>
      </c>
      <c r="R427" s="6"/>
      <c r="S427" s="6">
        <f t="shared" si="6"/>
        <v>1190</v>
      </c>
      <c r="T427" s="6"/>
      <c r="U427" s="6"/>
      <c r="V427" s="6"/>
      <c r="W427" s="6" t="s">
        <v>236</v>
      </c>
      <c r="X427" s="6" t="s">
        <v>236</v>
      </c>
      <c r="Y427" s="6" t="s">
        <v>236</v>
      </c>
      <c r="Z427" s="6" t="s">
        <v>236</v>
      </c>
      <c r="AA427" s="6" t="s">
        <v>236</v>
      </c>
    </row>
    <row r="428" spans="1:27">
      <c r="A428" s="6">
        <v>427</v>
      </c>
      <c r="B428" s="6" t="s">
        <v>346</v>
      </c>
      <c r="C428" s="7">
        <v>46114</v>
      </c>
      <c r="D428" s="6" t="s">
        <v>226</v>
      </c>
      <c r="E428" s="6" t="s">
        <v>1477</v>
      </c>
      <c r="F428" s="6" t="s">
        <v>267</v>
      </c>
      <c r="G428" s="8">
        <v>2</v>
      </c>
      <c r="H428" s="11" t="s">
        <v>900</v>
      </c>
      <c r="I428" s="11">
        <v>7907809741</v>
      </c>
      <c r="J428" s="10" t="s">
        <v>1749</v>
      </c>
      <c r="K428" s="10" t="s">
        <v>1749</v>
      </c>
      <c r="L428" s="6">
        <v>1600</v>
      </c>
      <c r="M428" s="6">
        <v>1600</v>
      </c>
      <c r="N428" s="7" t="s">
        <v>239</v>
      </c>
      <c r="O428" s="6" t="s">
        <v>239</v>
      </c>
      <c r="P428" s="6" t="s">
        <v>239</v>
      </c>
      <c r="Q428" s="6" t="s">
        <v>236</v>
      </c>
      <c r="R428" s="6"/>
      <c r="S428" s="6">
        <f t="shared" si="6"/>
        <v>1600</v>
      </c>
      <c r="T428" s="6"/>
      <c r="U428" s="6"/>
      <c r="V428" s="6"/>
      <c r="W428" s="6" t="s">
        <v>236</v>
      </c>
      <c r="X428" s="6" t="s">
        <v>236</v>
      </c>
      <c r="Y428" s="6" t="s">
        <v>236</v>
      </c>
      <c r="Z428" s="6" t="s">
        <v>236</v>
      </c>
      <c r="AA428" s="6" t="s">
        <v>236</v>
      </c>
    </row>
    <row r="429" spans="1:27">
      <c r="A429" s="6">
        <v>428</v>
      </c>
      <c r="B429" s="6" t="s">
        <v>346</v>
      </c>
      <c r="C429" s="7">
        <v>46114</v>
      </c>
      <c r="D429" s="6" t="s">
        <v>226</v>
      </c>
      <c r="E429" s="6" t="s">
        <v>1477</v>
      </c>
      <c r="F429" s="6" t="s">
        <v>267</v>
      </c>
      <c r="G429" s="8">
        <v>2</v>
      </c>
      <c r="H429" s="11" t="s">
        <v>1750</v>
      </c>
      <c r="I429" s="11">
        <v>9676255286</v>
      </c>
      <c r="J429" s="10" t="s">
        <v>1751</v>
      </c>
      <c r="K429" s="10" t="s">
        <v>1751</v>
      </c>
      <c r="L429" s="6">
        <v>1170</v>
      </c>
      <c r="M429" s="6">
        <v>1170</v>
      </c>
      <c r="N429" s="7" t="s">
        <v>239</v>
      </c>
      <c r="O429" s="6" t="s">
        <v>239</v>
      </c>
      <c r="P429" s="6" t="s">
        <v>239</v>
      </c>
      <c r="Q429" s="6" t="s">
        <v>236</v>
      </c>
      <c r="R429" s="6"/>
      <c r="S429" s="6">
        <f t="shared" si="6"/>
        <v>1170</v>
      </c>
      <c r="T429" s="6"/>
      <c r="U429" s="6"/>
      <c r="V429" s="6"/>
      <c r="W429" s="6" t="s">
        <v>236</v>
      </c>
      <c r="X429" s="6" t="s">
        <v>236</v>
      </c>
      <c r="Y429" s="6" t="s">
        <v>236</v>
      </c>
      <c r="Z429" s="6" t="s">
        <v>236</v>
      </c>
      <c r="AA429" s="6" t="s">
        <v>236</v>
      </c>
    </row>
    <row r="430" spans="1:27">
      <c r="A430" s="6">
        <v>429</v>
      </c>
      <c r="B430" s="6" t="s">
        <v>346</v>
      </c>
      <c r="C430" s="7">
        <v>46114</v>
      </c>
      <c r="D430" s="6" t="s">
        <v>226</v>
      </c>
      <c r="E430" s="6" t="s">
        <v>1477</v>
      </c>
      <c r="F430" s="6" t="s">
        <v>267</v>
      </c>
      <c r="G430" s="8">
        <v>2</v>
      </c>
      <c r="H430" s="11" t="s">
        <v>1752</v>
      </c>
      <c r="I430" s="11">
        <v>8008808800</v>
      </c>
      <c r="J430" s="10" t="s">
        <v>1753</v>
      </c>
      <c r="K430" s="10" t="s">
        <v>1753</v>
      </c>
      <c r="L430" s="6">
        <v>1645</v>
      </c>
      <c r="M430" s="6">
        <v>1645</v>
      </c>
      <c r="N430" s="7" t="s">
        <v>239</v>
      </c>
      <c r="O430" s="6" t="s">
        <v>239</v>
      </c>
      <c r="P430" s="6" t="s">
        <v>239</v>
      </c>
      <c r="Q430" s="6" t="s">
        <v>236</v>
      </c>
      <c r="R430" s="6"/>
      <c r="S430" s="6">
        <f t="shared" si="6"/>
        <v>1645</v>
      </c>
      <c r="T430" s="6"/>
      <c r="U430" s="6"/>
      <c r="V430" s="6"/>
      <c r="W430" s="6" t="s">
        <v>236</v>
      </c>
      <c r="X430" s="6" t="s">
        <v>236</v>
      </c>
      <c r="Y430" s="6" t="s">
        <v>236</v>
      </c>
      <c r="Z430" s="6" t="s">
        <v>236</v>
      </c>
      <c r="AA430" s="6" t="s">
        <v>236</v>
      </c>
    </row>
    <row r="431" spans="1:27">
      <c r="A431" s="6">
        <v>430</v>
      </c>
      <c r="B431" s="6" t="s">
        <v>346</v>
      </c>
      <c r="C431" s="7">
        <v>46114</v>
      </c>
      <c r="D431" s="6" t="s">
        <v>226</v>
      </c>
      <c r="E431" s="6" t="s">
        <v>1477</v>
      </c>
      <c r="F431" s="6" t="s">
        <v>267</v>
      </c>
      <c r="G431" s="8">
        <v>2</v>
      </c>
      <c r="H431" s="11" t="s">
        <v>1754</v>
      </c>
      <c r="I431" s="11">
        <v>9659195919</v>
      </c>
      <c r="J431" s="10" t="s">
        <v>1755</v>
      </c>
      <c r="K431" s="10" t="s">
        <v>1755</v>
      </c>
      <c r="L431" s="6">
        <v>1480</v>
      </c>
      <c r="M431" s="6">
        <v>1480</v>
      </c>
      <c r="N431" s="7" t="s">
        <v>239</v>
      </c>
      <c r="O431" s="6" t="s">
        <v>239</v>
      </c>
      <c r="P431" s="6" t="s">
        <v>239</v>
      </c>
      <c r="Q431" s="6" t="s">
        <v>236</v>
      </c>
      <c r="R431" s="6"/>
      <c r="S431" s="6">
        <f t="shared" si="6"/>
        <v>1480</v>
      </c>
      <c r="T431" s="6"/>
      <c r="U431" s="6"/>
      <c r="V431" s="6"/>
      <c r="W431" s="6" t="s">
        <v>236</v>
      </c>
      <c r="X431" s="6" t="s">
        <v>236</v>
      </c>
      <c r="Y431" s="6" t="s">
        <v>236</v>
      </c>
      <c r="Z431" s="6" t="s">
        <v>236</v>
      </c>
      <c r="AA431" s="6" t="s">
        <v>236</v>
      </c>
    </row>
    <row r="432" spans="1:27">
      <c r="A432" s="6">
        <v>431</v>
      </c>
      <c r="B432" s="6" t="s">
        <v>342</v>
      </c>
      <c r="C432" s="7">
        <v>46114</v>
      </c>
      <c r="D432" s="6" t="s">
        <v>226</v>
      </c>
      <c r="E432" s="6" t="s">
        <v>1477</v>
      </c>
      <c r="F432" s="6" t="s">
        <v>267</v>
      </c>
      <c r="G432" s="8">
        <v>2</v>
      </c>
      <c r="H432" s="11" t="s">
        <v>1756</v>
      </c>
      <c r="I432" s="11">
        <v>9740762345</v>
      </c>
      <c r="J432" s="10" t="s">
        <v>1757</v>
      </c>
      <c r="K432" s="10" t="s">
        <v>1757</v>
      </c>
      <c r="L432" s="6">
        <v>490</v>
      </c>
      <c r="M432" s="6">
        <v>490</v>
      </c>
      <c r="N432" s="7" t="s">
        <v>239</v>
      </c>
      <c r="O432" s="6" t="s">
        <v>239</v>
      </c>
      <c r="P432" s="6" t="s">
        <v>239</v>
      </c>
      <c r="Q432" s="6" t="s">
        <v>236</v>
      </c>
      <c r="R432" s="6"/>
      <c r="S432" s="6">
        <f t="shared" si="6"/>
        <v>490</v>
      </c>
      <c r="T432" s="6"/>
      <c r="U432" s="6"/>
      <c r="V432" s="6"/>
      <c r="W432" s="6" t="s">
        <v>236</v>
      </c>
      <c r="X432" s="6" t="s">
        <v>236</v>
      </c>
      <c r="Y432" s="6" t="s">
        <v>236</v>
      </c>
      <c r="Z432" s="6" t="s">
        <v>236</v>
      </c>
      <c r="AA432" s="6" t="s">
        <v>236</v>
      </c>
    </row>
    <row r="433" spans="1:27">
      <c r="A433" s="6">
        <v>432</v>
      </c>
      <c r="B433" s="6" t="s">
        <v>342</v>
      </c>
      <c r="C433" s="7">
        <v>46114</v>
      </c>
      <c r="D433" s="6" t="s">
        <v>226</v>
      </c>
      <c r="E433" s="6" t="s">
        <v>1477</v>
      </c>
      <c r="F433" s="6" t="s">
        <v>267</v>
      </c>
      <c r="G433" s="8">
        <v>2</v>
      </c>
      <c r="H433" s="11" t="s">
        <v>1758</v>
      </c>
      <c r="I433" s="11">
        <v>8590019151</v>
      </c>
      <c r="J433" s="10" t="s">
        <v>1759</v>
      </c>
      <c r="K433" s="10" t="s">
        <v>1759</v>
      </c>
      <c r="L433" s="6">
        <v>240</v>
      </c>
      <c r="M433" s="6">
        <v>240</v>
      </c>
      <c r="N433" s="7" t="s">
        <v>239</v>
      </c>
      <c r="O433" s="6" t="s">
        <v>239</v>
      </c>
      <c r="P433" s="6" t="s">
        <v>239</v>
      </c>
      <c r="Q433" s="6" t="s">
        <v>236</v>
      </c>
      <c r="R433" s="6"/>
      <c r="S433" s="6">
        <f t="shared" si="6"/>
        <v>240</v>
      </c>
      <c r="T433" s="6"/>
      <c r="U433" s="6"/>
      <c r="V433" s="6"/>
      <c r="W433" s="6" t="s">
        <v>236</v>
      </c>
      <c r="X433" s="6" t="s">
        <v>236</v>
      </c>
      <c r="Y433" s="6" t="s">
        <v>236</v>
      </c>
      <c r="Z433" s="6" t="s">
        <v>236</v>
      </c>
      <c r="AA433" s="6" t="s">
        <v>236</v>
      </c>
    </row>
    <row r="434" spans="1:27">
      <c r="A434" s="6">
        <v>433</v>
      </c>
      <c r="B434" s="6" t="s">
        <v>346</v>
      </c>
      <c r="C434" s="7">
        <v>46114</v>
      </c>
      <c r="D434" s="6" t="s">
        <v>226</v>
      </c>
      <c r="E434" s="6" t="s">
        <v>1477</v>
      </c>
      <c r="F434" s="6" t="s">
        <v>267</v>
      </c>
      <c r="G434" s="8">
        <v>2</v>
      </c>
      <c r="H434" s="11" t="s">
        <v>1760</v>
      </c>
      <c r="I434" s="11">
        <v>7012862418</v>
      </c>
      <c r="J434" s="10" t="s">
        <v>1761</v>
      </c>
      <c r="K434" s="10" t="s">
        <v>1761</v>
      </c>
      <c r="L434" s="6">
        <v>1160</v>
      </c>
      <c r="M434" s="6">
        <v>1160</v>
      </c>
      <c r="N434" s="7" t="s">
        <v>239</v>
      </c>
      <c r="O434" s="6" t="s">
        <v>239</v>
      </c>
      <c r="P434" s="6" t="s">
        <v>239</v>
      </c>
      <c r="Q434" s="6" t="s">
        <v>236</v>
      </c>
      <c r="R434" s="6"/>
      <c r="S434" s="6">
        <f t="shared" si="6"/>
        <v>1160</v>
      </c>
      <c r="T434" s="6"/>
      <c r="U434" s="6"/>
      <c r="V434" s="6"/>
      <c r="W434" s="6" t="s">
        <v>236</v>
      </c>
      <c r="X434" s="6" t="s">
        <v>236</v>
      </c>
      <c r="Y434" s="6" t="s">
        <v>236</v>
      </c>
      <c r="Z434" s="6" t="s">
        <v>236</v>
      </c>
      <c r="AA434" s="6" t="s">
        <v>236</v>
      </c>
    </row>
    <row r="435" spans="1:27">
      <c r="A435" s="6">
        <v>434</v>
      </c>
      <c r="B435" s="6" t="s">
        <v>346</v>
      </c>
      <c r="C435" s="7">
        <v>46114</v>
      </c>
      <c r="D435" s="6" t="s">
        <v>226</v>
      </c>
      <c r="E435" s="6" t="s">
        <v>1477</v>
      </c>
      <c r="F435" s="6" t="s">
        <v>267</v>
      </c>
      <c r="G435" s="8">
        <v>2</v>
      </c>
      <c r="H435" s="11" t="s">
        <v>1762</v>
      </c>
      <c r="I435" s="11">
        <v>9985323542</v>
      </c>
      <c r="J435" s="10" t="s">
        <v>1763</v>
      </c>
      <c r="K435" s="10" t="s">
        <v>1763</v>
      </c>
      <c r="L435" s="6">
        <v>1130</v>
      </c>
      <c r="M435" s="6">
        <v>1130</v>
      </c>
      <c r="N435" s="7" t="s">
        <v>239</v>
      </c>
      <c r="O435" s="6" t="s">
        <v>239</v>
      </c>
      <c r="P435" s="6" t="s">
        <v>239</v>
      </c>
      <c r="Q435" s="6" t="s">
        <v>236</v>
      </c>
      <c r="R435" s="6"/>
      <c r="S435" s="6">
        <f t="shared" si="6"/>
        <v>1130</v>
      </c>
      <c r="T435" s="6"/>
      <c r="U435" s="6"/>
      <c r="V435" s="6"/>
      <c r="W435" s="6" t="s">
        <v>236</v>
      </c>
      <c r="X435" s="6" t="s">
        <v>236</v>
      </c>
      <c r="Y435" s="6" t="s">
        <v>236</v>
      </c>
      <c r="Z435" s="6" t="s">
        <v>236</v>
      </c>
      <c r="AA435" s="6" t="s">
        <v>236</v>
      </c>
    </row>
    <row r="436" spans="1:27">
      <c r="A436" s="6">
        <v>435</v>
      </c>
      <c r="B436" s="6" t="s">
        <v>346</v>
      </c>
      <c r="C436" s="7">
        <v>46114</v>
      </c>
      <c r="D436" s="6" t="s">
        <v>226</v>
      </c>
      <c r="E436" s="6" t="s">
        <v>1477</v>
      </c>
      <c r="F436" s="6" t="s">
        <v>267</v>
      </c>
      <c r="G436" s="8">
        <v>2</v>
      </c>
      <c r="H436" s="11" t="s">
        <v>1764</v>
      </c>
      <c r="I436" s="11">
        <v>8008536993</v>
      </c>
      <c r="J436" s="10" t="s">
        <v>1765</v>
      </c>
      <c r="K436" s="10" t="s">
        <v>1765</v>
      </c>
      <c r="L436" s="6">
        <v>1230</v>
      </c>
      <c r="M436" s="6">
        <v>1230</v>
      </c>
      <c r="N436" s="7" t="s">
        <v>239</v>
      </c>
      <c r="O436" s="6" t="s">
        <v>239</v>
      </c>
      <c r="P436" s="6" t="s">
        <v>239</v>
      </c>
      <c r="Q436" s="6" t="s">
        <v>236</v>
      </c>
      <c r="R436" s="6"/>
      <c r="S436" s="6">
        <f t="shared" si="6"/>
        <v>1230</v>
      </c>
      <c r="T436" s="6"/>
      <c r="U436" s="6"/>
      <c r="V436" s="6"/>
      <c r="W436" s="6" t="s">
        <v>236</v>
      </c>
      <c r="X436" s="6" t="s">
        <v>236</v>
      </c>
      <c r="Y436" s="6" t="s">
        <v>236</v>
      </c>
      <c r="Z436" s="6" t="s">
        <v>236</v>
      </c>
      <c r="AA436" s="6" t="s">
        <v>236</v>
      </c>
    </row>
    <row r="437" spans="1:27">
      <c r="A437" s="6">
        <v>436</v>
      </c>
      <c r="B437" s="6" t="s">
        <v>342</v>
      </c>
      <c r="C437" s="7">
        <v>46114</v>
      </c>
      <c r="D437" s="6" t="s">
        <v>226</v>
      </c>
      <c r="E437" s="6" t="s">
        <v>1477</v>
      </c>
      <c r="F437" s="6" t="s">
        <v>267</v>
      </c>
      <c r="G437" s="8">
        <v>2</v>
      </c>
      <c r="H437" s="11" t="s">
        <v>1766</v>
      </c>
      <c r="I437" s="11">
        <v>9705002018</v>
      </c>
      <c r="J437" s="10" t="s">
        <v>1767</v>
      </c>
      <c r="K437" s="10" t="s">
        <v>1767</v>
      </c>
      <c r="L437" s="6">
        <v>360</v>
      </c>
      <c r="M437" s="6">
        <v>360</v>
      </c>
      <c r="N437" s="7" t="s">
        <v>239</v>
      </c>
      <c r="O437" s="6" t="s">
        <v>239</v>
      </c>
      <c r="P437" s="6" t="s">
        <v>239</v>
      </c>
      <c r="Q437" s="6" t="s">
        <v>236</v>
      </c>
      <c r="R437" s="6"/>
      <c r="S437" s="6">
        <f t="shared" si="6"/>
        <v>360</v>
      </c>
      <c r="T437" s="6"/>
      <c r="U437" s="6"/>
      <c r="V437" s="6"/>
      <c r="W437" s="6" t="s">
        <v>236</v>
      </c>
      <c r="X437" s="6" t="s">
        <v>236</v>
      </c>
      <c r="Y437" s="6" t="s">
        <v>236</v>
      </c>
      <c r="Z437" s="6" t="s">
        <v>236</v>
      </c>
      <c r="AA437" s="6" t="s">
        <v>236</v>
      </c>
    </row>
    <row r="438" spans="1:27">
      <c r="A438" s="6">
        <v>437</v>
      </c>
      <c r="B438" s="6" t="s">
        <v>346</v>
      </c>
      <c r="C438" s="7">
        <v>46114</v>
      </c>
      <c r="D438" s="6" t="s">
        <v>226</v>
      </c>
      <c r="E438" s="6" t="s">
        <v>1477</v>
      </c>
      <c r="F438" s="6" t="s">
        <v>267</v>
      </c>
      <c r="G438" s="8">
        <v>2</v>
      </c>
      <c r="H438" s="11" t="s">
        <v>1768</v>
      </c>
      <c r="I438" s="11">
        <v>9789777413</v>
      </c>
      <c r="J438" s="10" t="s">
        <v>1769</v>
      </c>
      <c r="K438" s="10" t="s">
        <v>1769</v>
      </c>
      <c r="L438" s="6">
        <v>1070</v>
      </c>
      <c r="M438" s="6">
        <v>1070</v>
      </c>
      <c r="N438" s="7" t="s">
        <v>239</v>
      </c>
      <c r="O438" s="6" t="s">
        <v>239</v>
      </c>
      <c r="P438" s="6" t="s">
        <v>239</v>
      </c>
      <c r="Q438" s="6" t="s">
        <v>236</v>
      </c>
      <c r="R438" s="6"/>
      <c r="S438" s="6">
        <f t="shared" si="6"/>
        <v>1070</v>
      </c>
      <c r="T438" s="6"/>
      <c r="U438" s="6"/>
      <c r="V438" s="6"/>
      <c r="W438" s="6" t="s">
        <v>236</v>
      </c>
      <c r="X438" s="6" t="s">
        <v>236</v>
      </c>
      <c r="Y438" s="6" t="s">
        <v>236</v>
      </c>
      <c r="Z438" s="6" t="s">
        <v>236</v>
      </c>
      <c r="AA438" s="6" t="s">
        <v>236</v>
      </c>
    </row>
    <row r="439" spans="1:27">
      <c r="A439" s="6">
        <v>438</v>
      </c>
      <c r="B439" s="6" t="s">
        <v>342</v>
      </c>
      <c r="C439" s="7">
        <v>46114</v>
      </c>
      <c r="D439" s="6" t="s">
        <v>226</v>
      </c>
      <c r="E439" s="6" t="s">
        <v>1477</v>
      </c>
      <c r="F439" s="6" t="s">
        <v>267</v>
      </c>
      <c r="G439" s="8">
        <v>2</v>
      </c>
      <c r="H439" s="11" t="s">
        <v>1770</v>
      </c>
      <c r="I439" s="11">
        <v>9177133564</v>
      </c>
      <c r="J439" s="10" t="s">
        <v>1771</v>
      </c>
      <c r="K439" s="10" t="s">
        <v>1771</v>
      </c>
      <c r="L439" s="6">
        <v>17</v>
      </c>
      <c r="M439" s="6">
        <v>17</v>
      </c>
      <c r="N439" s="7" t="s">
        <v>239</v>
      </c>
      <c r="O439" s="6" t="s">
        <v>239</v>
      </c>
      <c r="P439" s="6" t="s">
        <v>239</v>
      </c>
      <c r="Q439" s="6" t="s">
        <v>236</v>
      </c>
      <c r="R439" s="6"/>
      <c r="S439" s="6">
        <f t="shared" si="6"/>
        <v>17</v>
      </c>
      <c r="T439" s="6"/>
      <c r="U439" s="6"/>
      <c r="V439" s="6"/>
      <c r="W439" s="6" t="s">
        <v>236</v>
      </c>
      <c r="X439" s="6" t="s">
        <v>236</v>
      </c>
      <c r="Y439" s="6" t="s">
        <v>236</v>
      </c>
      <c r="Z439" s="6" t="s">
        <v>236</v>
      </c>
      <c r="AA439" s="6" t="s">
        <v>236</v>
      </c>
    </row>
    <row r="440" spans="1:27">
      <c r="A440" s="6">
        <v>439</v>
      </c>
      <c r="B440" s="6" t="s">
        <v>342</v>
      </c>
      <c r="C440" s="7">
        <v>46114</v>
      </c>
      <c r="D440" s="6" t="s">
        <v>226</v>
      </c>
      <c r="E440" s="6" t="s">
        <v>1477</v>
      </c>
      <c r="F440" s="6" t="s">
        <v>267</v>
      </c>
      <c r="G440" s="8">
        <v>2</v>
      </c>
      <c r="H440" s="11" t="s">
        <v>1772</v>
      </c>
      <c r="I440" s="11">
        <v>9014628774</v>
      </c>
      <c r="J440" s="10" t="s">
        <v>1773</v>
      </c>
      <c r="K440" s="10" t="s">
        <v>1773</v>
      </c>
      <c r="L440" s="6">
        <v>590</v>
      </c>
      <c r="M440" s="6">
        <v>590</v>
      </c>
      <c r="N440" s="7" t="s">
        <v>239</v>
      </c>
      <c r="O440" s="6" t="s">
        <v>239</v>
      </c>
      <c r="P440" s="6" t="s">
        <v>239</v>
      </c>
      <c r="Q440" s="6" t="s">
        <v>236</v>
      </c>
      <c r="R440" s="6"/>
      <c r="S440" s="6">
        <f t="shared" si="6"/>
        <v>590</v>
      </c>
      <c r="T440" s="6"/>
      <c r="U440" s="6"/>
      <c r="V440" s="6"/>
      <c r="W440" s="6" t="s">
        <v>236</v>
      </c>
      <c r="X440" s="6" t="s">
        <v>236</v>
      </c>
      <c r="Y440" s="6" t="s">
        <v>236</v>
      </c>
      <c r="Z440" s="6" t="s">
        <v>236</v>
      </c>
      <c r="AA440" s="6" t="s">
        <v>236</v>
      </c>
    </row>
    <row r="441" spans="1:27">
      <c r="A441" s="6">
        <v>440</v>
      </c>
      <c r="B441" s="6"/>
      <c r="C441" s="7">
        <v>46114</v>
      </c>
      <c r="D441" s="6" t="s">
        <v>226</v>
      </c>
      <c r="E441" s="6" t="s">
        <v>1477</v>
      </c>
      <c r="F441" s="6" t="s">
        <v>240</v>
      </c>
      <c r="G441" s="8">
        <v>2</v>
      </c>
      <c r="H441" s="11" t="s">
        <v>1774</v>
      </c>
      <c r="I441" s="11">
        <v>9494337755</v>
      </c>
      <c r="J441" s="10" t="s">
        <v>1738</v>
      </c>
      <c r="K441" s="10" t="s">
        <v>1738</v>
      </c>
      <c r="L441" s="6">
        <v>5870</v>
      </c>
      <c r="M441" s="6">
        <v>5870</v>
      </c>
      <c r="N441" s="7" t="s">
        <v>239</v>
      </c>
      <c r="O441" s="6" t="s">
        <v>239</v>
      </c>
      <c r="P441" s="6" t="s">
        <v>239</v>
      </c>
      <c r="Q441" s="6" t="s">
        <v>236</v>
      </c>
      <c r="R441" s="6"/>
      <c r="S441" s="6">
        <f t="shared" si="6"/>
        <v>5870</v>
      </c>
      <c r="T441" s="6"/>
      <c r="U441" s="6"/>
      <c r="V441" s="6"/>
      <c r="W441" s="6" t="s">
        <v>236</v>
      </c>
      <c r="X441" s="6" t="s">
        <v>236</v>
      </c>
      <c r="Y441" s="6" t="s">
        <v>236</v>
      </c>
      <c r="Z441" s="6" t="s">
        <v>236</v>
      </c>
      <c r="AA441" s="6" t="s">
        <v>236</v>
      </c>
    </row>
    <row r="442" spans="1:27">
      <c r="A442" s="6">
        <v>441</v>
      </c>
      <c r="B442" s="6"/>
      <c r="C442" s="7">
        <v>46114</v>
      </c>
      <c r="D442" s="6" t="s">
        <v>226</v>
      </c>
      <c r="E442" s="6" t="s">
        <v>1477</v>
      </c>
      <c r="F442" s="6" t="s">
        <v>240</v>
      </c>
      <c r="G442" s="8">
        <v>2</v>
      </c>
      <c r="H442" s="11" t="s">
        <v>1775</v>
      </c>
      <c r="I442" s="11">
        <v>9640067679</v>
      </c>
      <c r="J442" s="10" t="s">
        <v>1776</v>
      </c>
      <c r="K442" s="10" t="s">
        <v>1776</v>
      </c>
      <c r="L442" s="6">
        <v>960</v>
      </c>
      <c r="M442" s="6">
        <v>960</v>
      </c>
      <c r="N442" s="7" t="s">
        <v>239</v>
      </c>
      <c r="O442" s="6" t="s">
        <v>239</v>
      </c>
      <c r="P442" s="6" t="s">
        <v>239</v>
      </c>
      <c r="Q442" s="6" t="s">
        <v>236</v>
      </c>
      <c r="R442" s="6"/>
      <c r="S442" s="6">
        <f t="shared" si="6"/>
        <v>960</v>
      </c>
      <c r="T442" s="6"/>
      <c r="U442" s="6"/>
      <c r="V442" s="6"/>
      <c r="W442" s="6" t="s">
        <v>236</v>
      </c>
      <c r="X442" s="6" t="s">
        <v>236</v>
      </c>
      <c r="Y442" s="6" t="s">
        <v>236</v>
      </c>
      <c r="Z442" s="6" t="s">
        <v>236</v>
      </c>
      <c r="AA442" s="6" t="s">
        <v>236</v>
      </c>
    </row>
    <row r="443" spans="1:27">
      <c r="A443" s="6">
        <v>442</v>
      </c>
      <c r="B443" s="6"/>
      <c r="C443" s="7">
        <v>46114</v>
      </c>
      <c r="D443" s="6" t="s">
        <v>226</v>
      </c>
      <c r="E443" s="6" t="s">
        <v>1477</v>
      </c>
      <c r="F443" s="6" t="s">
        <v>240</v>
      </c>
      <c r="G443" s="8">
        <v>2</v>
      </c>
      <c r="H443" s="11" t="s">
        <v>1777</v>
      </c>
      <c r="I443" s="11">
        <v>8197304778</v>
      </c>
      <c r="J443" s="10" t="s">
        <v>1778</v>
      </c>
      <c r="K443" s="10" t="s">
        <v>1778</v>
      </c>
      <c r="L443" s="6">
        <v>2060</v>
      </c>
      <c r="M443" s="6">
        <v>2060</v>
      </c>
      <c r="N443" s="7" t="s">
        <v>239</v>
      </c>
      <c r="O443" s="6" t="s">
        <v>239</v>
      </c>
      <c r="P443" s="6" t="s">
        <v>239</v>
      </c>
      <c r="Q443" s="6" t="s">
        <v>236</v>
      </c>
      <c r="R443" s="6"/>
      <c r="S443" s="6">
        <f t="shared" si="6"/>
        <v>2060</v>
      </c>
      <c r="T443" s="6"/>
      <c r="U443" s="6"/>
      <c r="V443" s="6"/>
      <c r="W443" s="6" t="s">
        <v>236</v>
      </c>
      <c r="X443" s="6" t="s">
        <v>236</v>
      </c>
      <c r="Y443" s="6" t="s">
        <v>236</v>
      </c>
      <c r="Z443" s="6" t="s">
        <v>236</v>
      </c>
      <c r="AA443" s="6" t="s">
        <v>236</v>
      </c>
    </row>
    <row r="444" spans="1:27">
      <c r="A444" s="6">
        <v>443</v>
      </c>
      <c r="B444" s="6"/>
      <c r="C444" s="7">
        <v>46114</v>
      </c>
      <c r="D444" s="6" t="s">
        <v>226</v>
      </c>
      <c r="E444" s="6" t="s">
        <v>1477</v>
      </c>
      <c r="F444" s="6" t="s">
        <v>240</v>
      </c>
      <c r="G444" s="8">
        <v>2</v>
      </c>
      <c r="H444" s="11" t="s">
        <v>1779</v>
      </c>
      <c r="I444" s="11">
        <v>9025375271</v>
      </c>
      <c r="J444" s="10" t="s">
        <v>1780</v>
      </c>
      <c r="K444" s="10" t="s">
        <v>1780</v>
      </c>
      <c r="L444" s="6">
        <v>2410</v>
      </c>
      <c r="M444" s="6">
        <v>2410</v>
      </c>
      <c r="N444" s="7" t="s">
        <v>239</v>
      </c>
      <c r="O444" s="6" t="s">
        <v>239</v>
      </c>
      <c r="P444" s="6" t="s">
        <v>239</v>
      </c>
      <c r="Q444" s="6" t="s">
        <v>236</v>
      </c>
      <c r="R444" s="6"/>
      <c r="S444" s="6">
        <f t="shared" si="6"/>
        <v>2410</v>
      </c>
      <c r="T444" s="6"/>
      <c r="U444" s="6"/>
      <c r="V444" s="6"/>
      <c r="W444" s="6" t="s">
        <v>236</v>
      </c>
      <c r="X444" s="6" t="s">
        <v>236</v>
      </c>
      <c r="Y444" s="6" t="s">
        <v>236</v>
      </c>
      <c r="Z444" s="6" t="s">
        <v>236</v>
      </c>
      <c r="AA444" s="6" t="s">
        <v>236</v>
      </c>
    </row>
    <row r="445" spans="1:27">
      <c r="A445" s="6">
        <v>444</v>
      </c>
      <c r="B445" s="6"/>
      <c r="C445" s="7">
        <v>46114</v>
      </c>
      <c r="D445" s="6" t="s">
        <v>226</v>
      </c>
      <c r="E445" s="6" t="s">
        <v>1477</v>
      </c>
      <c r="F445" s="6" t="s">
        <v>240</v>
      </c>
      <c r="G445" s="8">
        <v>2</v>
      </c>
      <c r="H445" s="11" t="s">
        <v>1781</v>
      </c>
      <c r="I445" s="11">
        <v>9591091046</v>
      </c>
      <c r="J445" s="10" t="s">
        <v>1782</v>
      </c>
      <c r="K445" s="10" t="s">
        <v>1782</v>
      </c>
      <c r="L445" s="6">
        <v>80</v>
      </c>
      <c r="M445" s="6">
        <v>80</v>
      </c>
      <c r="N445" s="7" t="s">
        <v>239</v>
      </c>
      <c r="O445" s="6" t="s">
        <v>239</v>
      </c>
      <c r="P445" s="6" t="s">
        <v>239</v>
      </c>
      <c r="Q445" s="6" t="s">
        <v>236</v>
      </c>
      <c r="R445" s="6"/>
      <c r="S445" s="6">
        <f t="shared" si="6"/>
        <v>80</v>
      </c>
      <c r="T445" s="6"/>
      <c r="U445" s="6"/>
      <c r="V445" s="6"/>
      <c r="W445" s="6" t="s">
        <v>236</v>
      </c>
      <c r="X445" s="6" t="s">
        <v>236</v>
      </c>
      <c r="Y445" s="6" t="s">
        <v>236</v>
      </c>
      <c r="Z445" s="6" t="s">
        <v>236</v>
      </c>
      <c r="AA445" s="6" t="s">
        <v>236</v>
      </c>
    </row>
    <row r="446" spans="1:27">
      <c r="A446" s="6">
        <v>445</v>
      </c>
      <c r="B446" s="6"/>
      <c r="C446" s="7">
        <v>46114</v>
      </c>
      <c r="D446" s="6" t="s">
        <v>226</v>
      </c>
      <c r="E446" s="6" t="s">
        <v>1477</v>
      </c>
      <c r="F446" s="6" t="s">
        <v>240</v>
      </c>
      <c r="G446" s="8">
        <v>2</v>
      </c>
      <c r="H446" s="11" t="s">
        <v>1783</v>
      </c>
      <c r="I446" s="11">
        <v>7032794332</v>
      </c>
      <c r="J446" s="10" t="s">
        <v>1784</v>
      </c>
      <c r="K446" s="10" t="s">
        <v>1784</v>
      </c>
      <c r="L446" s="6">
        <v>850</v>
      </c>
      <c r="M446" s="6">
        <v>850</v>
      </c>
      <c r="N446" s="7" t="s">
        <v>239</v>
      </c>
      <c r="O446" s="6" t="s">
        <v>239</v>
      </c>
      <c r="P446" s="6" t="s">
        <v>239</v>
      </c>
      <c r="Q446" s="6" t="s">
        <v>236</v>
      </c>
      <c r="R446" s="6"/>
      <c r="S446" s="6">
        <f t="shared" si="6"/>
        <v>850</v>
      </c>
      <c r="T446" s="6"/>
      <c r="U446" s="6"/>
      <c r="V446" s="6"/>
      <c r="W446" s="6" t="s">
        <v>236</v>
      </c>
      <c r="X446" s="6" t="s">
        <v>236</v>
      </c>
      <c r="Y446" s="6" t="s">
        <v>236</v>
      </c>
      <c r="Z446" s="6" t="s">
        <v>236</v>
      </c>
      <c r="AA446" s="6" t="s">
        <v>236</v>
      </c>
    </row>
    <row r="447" spans="1:27">
      <c r="A447" s="6">
        <v>446</v>
      </c>
      <c r="B447" s="6"/>
      <c r="C447" s="7">
        <v>46114</v>
      </c>
      <c r="D447" s="6" t="s">
        <v>226</v>
      </c>
      <c r="E447" s="6" t="s">
        <v>1477</v>
      </c>
      <c r="F447" s="6" t="s">
        <v>240</v>
      </c>
      <c r="G447" s="8">
        <v>2</v>
      </c>
      <c r="H447" s="11" t="s">
        <v>1785</v>
      </c>
      <c r="I447" s="11">
        <v>8939140497</v>
      </c>
      <c r="J447" s="10" t="s">
        <v>1786</v>
      </c>
      <c r="K447" s="10" t="s">
        <v>1786</v>
      </c>
      <c r="L447" s="6">
        <v>240</v>
      </c>
      <c r="M447" s="6">
        <v>240</v>
      </c>
      <c r="N447" s="7" t="s">
        <v>239</v>
      </c>
      <c r="O447" s="6" t="s">
        <v>239</v>
      </c>
      <c r="P447" s="6" t="s">
        <v>239</v>
      </c>
      <c r="Q447" s="6" t="s">
        <v>236</v>
      </c>
      <c r="R447" s="6"/>
      <c r="S447" s="6">
        <f t="shared" si="6"/>
        <v>240</v>
      </c>
      <c r="T447" s="6"/>
      <c r="U447" s="6"/>
      <c r="V447" s="6"/>
      <c r="W447" s="6" t="s">
        <v>236</v>
      </c>
      <c r="X447" s="6" t="s">
        <v>236</v>
      </c>
      <c r="Y447" s="6" t="s">
        <v>236</v>
      </c>
      <c r="Z447" s="6" t="s">
        <v>236</v>
      </c>
      <c r="AA447" s="6" t="s">
        <v>236</v>
      </c>
    </row>
    <row r="448" spans="1:27">
      <c r="A448" s="6">
        <v>447</v>
      </c>
      <c r="B448" s="6"/>
      <c r="C448" s="7">
        <v>46114</v>
      </c>
      <c r="D448" s="6" t="s">
        <v>226</v>
      </c>
      <c r="E448" s="6" t="s">
        <v>1477</v>
      </c>
      <c r="F448" s="6" t="s">
        <v>240</v>
      </c>
      <c r="G448" s="8">
        <v>2</v>
      </c>
      <c r="H448" s="11" t="s">
        <v>1787</v>
      </c>
      <c r="I448" s="11">
        <v>8593941310</v>
      </c>
      <c r="J448" s="10" t="s">
        <v>1788</v>
      </c>
      <c r="K448" s="10" t="s">
        <v>1788</v>
      </c>
      <c r="L448" s="6">
        <v>110</v>
      </c>
      <c r="M448" s="6">
        <v>110</v>
      </c>
      <c r="N448" s="7" t="s">
        <v>239</v>
      </c>
      <c r="O448" s="6" t="s">
        <v>239</v>
      </c>
      <c r="P448" s="6" t="s">
        <v>239</v>
      </c>
      <c r="Q448" s="6" t="s">
        <v>236</v>
      </c>
      <c r="R448" s="6"/>
      <c r="S448" s="6">
        <f t="shared" si="6"/>
        <v>110</v>
      </c>
      <c r="T448" s="6"/>
      <c r="U448" s="6"/>
      <c r="V448" s="6"/>
      <c r="W448" s="6" t="s">
        <v>236</v>
      </c>
      <c r="X448" s="6" t="s">
        <v>236</v>
      </c>
      <c r="Y448" s="6" t="s">
        <v>236</v>
      </c>
      <c r="Z448" s="6" t="s">
        <v>236</v>
      </c>
      <c r="AA448" s="6" t="s">
        <v>236</v>
      </c>
    </row>
    <row r="449" spans="1:27">
      <c r="A449" s="6">
        <v>448</v>
      </c>
      <c r="B449" s="6" t="s">
        <v>298</v>
      </c>
      <c r="C449" s="7">
        <v>46114</v>
      </c>
      <c r="D449" s="6" t="s">
        <v>226</v>
      </c>
      <c r="E449" s="6" t="s">
        <v>1477</v>
      </c>
      <c r="F449" s="6" t="s">
        <v>294</v>
      </c>
      <c r="G449" s="8">
        <v>2</v>
      </c>
      <c r="H449" s="12" t="s">
        <v>1789</v>
      </c>
      <c r="I449" s="12" t="s">
        <v>1790</v>
      </c>
      <c r="J449" s="12" t="s">
        <v>1791</v>
      </c>
      <c r="K449" s="12" t="s">
        <v>1791</v>
      </c>
      <c r="L449" s="13">
        <v>97900</v>
      </c>
      <c r="M449" s="12">
        <v>10801</v>
      </c>
      <c r="N449" s="7"/>
      <c r="O449" s="12"/>
      <c r="P449" s="12" t="s">
        <v>239</v>
      </c>
      <c r="Q449" s="12" t="s">
        <v>298</v>
      </c>
      <c r="R449" s="6"/>
      <c r="S449" s="6">
        <f t="shared" si="6"/>
        <v>10801</v>
      </c>
      <c r="T449" s="6"/>
      <c r="U449" s="6"/>
      <c r="V449" s="6"/>
      <c r="W449" s="12" t="s">
        <v>298</v>
      </c>
      <c r="X449" s="12" t="s">
        <v>660</v>
      </c>
      <c r="Y449" s="12" t="s">
        <v>1792</v>
      </c>
      <c r="Z449" s="6" t="s">
        <v>1420</v>
      </c>
      <c r="AA449" s="6" t="s">
        <v>235</v>
      </c>
    </row>
    <row r="450" spans="1:27">
      <c r="A450" s="6">
        <v>449</v>
      </c>
      <c r="B450" s="6" t="s">
        <v>298</v>
      </c>
      <c r="C450" s="7">
        <v>46114</v>
      </c>
      <c r="D450" s="6" t="s">
        <v>226</v>
      </c>
      <c r="E450" s="6" t="s">
        <v>1477</v>
      </c>
      <c r="F450" s="6" t="s">
        <v>294</v>
      </c>
      <c r="G450" s="8">
        <v>2</v>
      </c>
      <c r="H450" s="12" t="s">
        <v>303</v>
      </c>
      <c r="I450" s="12" t="s">
        <v>304</v>
      </c>
      <c r="J450" s="12" t="s">
        <v>305</v>
      </c>
      <c r="K450" s="12" t="s">
        <v>305</v>
      </c>
      <c r="L450" s="13">
        <v>44690</v>
      </c>
      <c r="M450" s="13">
        <v>44691</v>
      </c>
      <c r="N450" s="7">
        <v>46162</v>
      </c>
      <c r="O450" s="12" t="s">
        <v>298</v>
      </c>
      <c r="P450" s="12" t="s">
        <v>52</v>
      </c>
      <c r="Q450" s="12" t="s">
        <v>298</v>
      </c>
      <c r="R450" s="6">
        <v>15000</v>
      </c>
      <c r="S450" s="6">
        <f t="shared" si="6"/>
        <v>29691</v>
      </c>
      <c r="T450" s="7">
        <v>46157</v>
      </c>
      <c r="U450" s="6" t="s">
        <v>1793</v>
      </c>
      <c r="V450" s="6"/>
      <c r="W450" s="12" t="s">
        <v>298</v>
      </c>
      <c r="X450" s="12" t="s">
        <v>307</v>
      </c>
      <c r="Y450" s="12" t="s">
        <v>1794</v>
      </c>
      <c r="Z450" s="6" t="s">
        <v>1795</v>
      </c>
      <c r="AA450" s="6" t="s">
        <v>235</v>
      </c>
    </row>
    <row r="451" spans="1:27">
      <c r="A451" s="6">
        <v>450</v>
      </c>
      <c r="B451" s="6" t="s">
        <v>298</v>
      </c>
      <c r="C451" s="7">
        <v>46114</v>
      </c>
      <c r="D451" s="6" t="s">
        <v>226</v>
      </c>
      <c r="E451" s="6" t="s">
        <v>1477</v>
      </c>
      <c r="F451" s="6" t="s">
        <v>294</v>
      </c>
      <c r="G451" s="8">
        <v>2</v>
      </c>
      <c r="H451" s="12" t="s">
        <v>1796</v>
      </c>
      <c r="I451" s="12" t="s">
        <v>1797</v>
      </c>
      <c r="J451" s="12" t="s">
        <v>1798</v>
      </c>
      <c r="K451" s="12" t="s">
        <v>1798</v>
      </c>
      <c r="L451" s="13">
        <v>23390</v>
      </c>
      <c r="M451" s="13">
        <v>23391</v>
      </c>
      <c r="N451" s="7">
        <v>46118</v>
      </c>
      <c r="O451" s="12" t="s">
        <v>298</v>
      </c>
      <c r="P451" s="12" t="s">
        <v>52</v>
      </c>
      <c r="Q451" s="12" t="s">
        <v>298</v>
      </c>
      <c r="R451" s="6">
        <v>23391</v>
      </c>
      <c r="S451" s="6">
        <f t="shared" ref="S451:S514" si="7">M451-R451</f>
        <v>0</v>
      </c>
      <c r="T451" s="7">
        <v>46118</v>
      </c>
      <c r="U451" s="6" t="s">
        <v>1799</v>
      </c>
      <c r="V451" s="6" t="s">
        <v>54</v>
      </c>
      <c r="W451" s="12" t="s">
        <v>298</v>
      </c>
      <c r="X451" s="12" t="s">
        <v>660</v>
      </c>
      <c r="Y451" s="12" t="s">
        <v>1800</v>
      </c>
      <c r="Z451" s="6" t="s">
        <v>1801</v>
      </c>
      <c r="AA451" s="6" t="s">
        <v>235</v>
      </c>
    </row>
    <row r="452" spans="1:27">
      <c r="A452" s="6">
        <v>451</v>
      </c>
      <c r="B452" s="6"/>
      <c r="C452" s="7">
        <v>46114</v>
      </c>
      <c r="D452" s="6" t="s">
        <v>226</v>
      </c>
      <c r="E452" s="6" t="s">
        <v>1477</v>
      </c>
      <c r="F452" s="6" t="s">
        <v>336</v>
      </c>
      <c r="G452" s="8">
        <v>2</v>
      </c>
      <c r="H452" s="6" t="s">
        <v>1802</v>
      </c>
      <c r="I452" s="6" t="s">
        <v>1803</v>
      </c>
      <c r="J452" s="6" t="s">
        <v>1804</v>
      </c>
      <c r="K452" s="6" t="s">
        <v>1804</v>
      </c>
      <c r="L452" s="14">
        <v>3880</v>
      </c>
      <c r="M452" s="14">
        <v>3880</v>
      </c>
      <c r="N452" s="7"/>
      <c r="O452" s="6" t="s">
        <v>315</v>
      </c>
      <c r="P452" s="6" t="s">
        <v>239</v>
      </c>
      <c r="Q452" s="6" t="s">
        <v>340</v>
      </c>
      <c r="R452" s="6"/>
      <c r="S452" s="6">
        <f t="shared" si="7"/>
        <v>3880</v>
      </c>
      <c r="T452" s="6"/>
      <c r="U452" s="6"/>
      <c r="V452" s="6"/>
      <c r="W452" s="6" t="s">
        <v>342</v>
      </c>
      <c r="X452" s="6" t="s">
        <v>315</v>
      </c>
      <c r="Y452" s="6" t="s">
        <v>1805</v>
      </c>
      <c r="Z452" s="6" t="s">
        <v>412</v>
      </c>
      <c r="AA452" s="6" t="s">
        <v>235</v>
      </c>
    </row>
    <row r="453" spans="1:27">
      <c r="A453" s="6">
        <v>452</v>
      </c>
      <c r="B453" s="6"/>
      <c r="C453" s="7">
        <v>46114</v>
      </c>
      <c r="D453" s="6" t="s">
        <v>226</v>
      </c>
      <c r="E453" s="6" t="s">
        <v>1477</v>
      </c>
      <c r="F453" s="6" t="s">
        <v>336</v>
      </c>
      <c r="G453" s="8">
        <v>2</v>
      </c>
      <c r="H453" s="6" t="s">
        <v>1806</v>
      </c>
      <c r="I453" s="6" t="s">
        <v>1807</v>
      </c>
      <c r="J453" s="6" t="s">
        <v>1808</v>
      </c>
      <c r="K453" s="6" t="s">
        <v>1808</v>
      </c>
      <c r="L453" s="14">
        <v>4800</v>
      </c>
      <c r="M453" s="14">
        <v>4800</v>
      </c>
      <c r="N453" s="7"/>
      <c r="O453" s="6" t="s">
        <v>1809</v>
      </c>
      <c r="P453" s="6" t="s">
        <v>35</v>
      </c>
      <c r="Q453" s="6" t="s">
        <v>340</v>
      </c>
      <c r="R453" s="6"/>
      <c r="S453" s="6">
        <f t="shared" si="7"/>
        <v>4800</v>
      </c>
      <c r="T453" s="6"/>
      <c r="U453" s="6"/>
      <c r="V453" s="6"/>
      <c r="W453" s="6" t="s">
        <v>388</v>
      </c>
      <c r="X453" s="6" t="s">
        <v>343</v>
      </c>
      <c r="Y453" s="29" t="s">
        <v>1810</v>
      </c>
      <c r="Z453" s="6" t="s">
        <v>1682</v>
      </c>
      <c r="AA453" s="6" t="s">
        <v>235</v>
      </c>
    </row>
    <row r="454" spans="1:27">
      <c r="A454" s="6">
        <v>453</v>
      </c>
      <c r="B454" s="6"/>
      <c r="C454" s="7">
        <v>46114</v>
      </c>
      <c r="D454" s="6" t="s">
        <v>226</v>
      </c>
      <c r="E454" s="6" t="s">
        <v>1477</v>
      </c>
      <c r="F454" s="6" t="s">
        <v>336</v>
      </c>
      <c r="G454" s="8">
        <v>2</v>
      </c>
      <c r="H454" s="6" t="s">
        <v>1811</v>
      </c>
      <c r="I454" s="6" t="s">
        <v>1812</v>
      </c>
      <c r="J454" s="6" t="s">
        <v>1813</v>
      </c>
      <c r="K454" s="6" t="s">
        <v>1813</v>
      </c>
      <c r="L454" s="14">
        <v>4350</v>
      </c>
      <c r="M454" s="14">
        <v>4350</v>
      </c>
      <c r="N454" s="7"/>
      <c r="O454" s="6" t="s">
        <v>1814</v>
      </c>
      <c r="P454" s="6" t="s">
        <v>35</v>
      </c>
      <c r="Q454" s="6" t="s">
        <v>340</v>
      </c>
      <c r="R454" s="6"/>
      <c r="S454" s="6">
        <f t="shared" si="7"/>
        <v>4350</v>
      </c>
      <c r="T454" s="6"/>
      <c r="U454" s="6"/>
      <c r="V454" s="6"/>
      <c r="W454" s="6" t="s">
        <v>342</v>
      </c>
      <c r="X454" s="6" t="s">
        <v>1814</v>
      </c>
      <c r="Y454" s="6" t="s">
        <v>1815</v>
      </c>
      <c r="Z454" s="6" t="s">
        <v>1682</v>
      </c>
      <c r="AA454" s="6" t="s">
        <v>235</v>
      </c>
    </row>
    <row r="455" spans="1:27">
      <c r="A455" s="6">
        <v>454</v>
      </c>
      <c r="B455" s="6"/>
      <c r="C455" s="7">
        <v>46114</v>
      </c>
      <c r="D455" s="6" t="s">
        <v>226</v>
      </c>
      <c r="E455" s="6" t="s">
        <v>1477</v>
      </c>
      <c r="F455" s="6" t="s">
        <v>336</v>
      </c>
      <c r="G455" s="8">
        <v>2</v>
      </c>
      <c r="H455" s="6" t="s">
        <v>1816</v>
      </c>
      <c r="I455" s="6" t="s">
        <v>1817</v>
      </c>
      <c r="J455" s="6" t="s">
        <v>1818</v>
      </c>
      <c r="K455" s="6" t="s">
        <v>1818</v>
      </c>
      <c r="L455" s="14">
        <v>5938.94</v>
      </c>
      <c r="M455" s="14">
        <v>320</v>
      </c>
      <c r="N455" s="7"/>
      <c r="O455" s="6"/>
      <c r="P455" s="6" t="s">
        <v>239</v>
      </c>
      <c r="Q455" s="6" t="s">
        <v>340</v>
      </c>
      <c r="R455" s="6"/>
      <c r="S455" s="6">
        <f t="shared" si="7"/>
        <v>320</v>
      </c>
      <c r="T455" s="6"/>
      <c r="U455" s="6"/>
      <c r="V455" s="6"/>
      <c r="W455" s="6" t="s">
        <v>342</v>
      </c>
      <c r="X455" s="6" t="s">
        <v>370</v>
      </c>
      <c r="Y455" s="6" t="s">
        <v>1819</v>
      </c>
      <c r="Z455" s="6" t="s">
        <v>722</v>
      </c>
      <c r="AA455" s="6" t="s">
        <v>235</v>
      </c>
    </row>
    <row r="456" spans="1:27">
      <c r="A456" s="6">
        <v>455</v>
      </c>
      <c r="B456" s="6"/>
      <c r="C456" s="7">
        <v>46116</v>
      </c>
      <c r="D456" s="6" t="s">
        <v>226</v>
      </c>
      <c r="E456" s="6" t="s">
        <v>1477</v>
      </c>
      <c r="F456" s="6" t="s">
        <v>1057</v>
      </c>
      <c r="G456" s="6">
        <v>5</v>
      </c>
      <c r="H456" s="6" t="s">
        <v>1820</v>
      </c>
      <c r="I456" s="6">
        <v>8897015123</v>
      </c>
      <c r="J456" s="10" t="s">
        <v>1821</v>
      </c>
      <c r="K456" s="10" t="s">
        <v>1821</v>
      </c>
      <c r="L456" s="6">
        <v>10430</v>
      </c>
      <c r="M456" s="6">
        <v>3500</v>
      </c>
      <c r="N456" s="7">
        <v>46148</v>
      </c>
      <c r="O456" s="6" t="s">
        <v>1060</v>
      </c>
      <c r="P456" s="6" t="s">
        <v>52</v>
      </c>
      <c r="Q456" s="6" t="s">
        <v>1060</v>
      </c>
      <c r="R456" s="6">
        <v>3430</v>
      </c>
      <c r="S456" s="6">
        <f t="shared" si="7"/>
        <v>70</v>
      </c>
      <c r="T456" s="7">
        <v>46148</v>
      </c>
      <c r="U456" s="6" t="s">
        <v>1822</v>
      </c>
      <c r="V456" s="6" t="s">
        <v>54</v>
      </c>
      <c r="W456" s="6" t="s">
        <v>1061</v>
      </c>
      <c r="X456" s="6" t="s">
        <v>370</v>
      </c>
      <c r="Y456" s="6" t="s">
        <v>1823</v>
      </c>
      <c r="Z456" s="6" t="s">
        <v>71</v>
      </c>
      <c r="AA456" s="6" t="s">
        <v>235</v>
      </c>
    </row>
    <row r="457" spans="1:27">
      <c r="A457" s="6">
        <v>456</v>
      </c>
      <c r="B457" s="6"/>
      <c r="C457" s="7">
        <v>46115</v>
      </c>
      <c r="D457" s="6" t="s">
        <v>28</v>
      </c>
      <c r="E457" s="6" t="s">
        <v>1477</v>
      </c>
      <c r="F457" s="6" t="s">
        <v>30</v>
      </c>
      <c r="G457" s="6">
        <v>14</v>
      </c>
      <c r="H457" s="8" t="s">
        <v>1824</v>
      </c>
      <c r="I457" s="8" t="s">
        <v>1825</v>
      </c>
      <c r="J457" s="8" t="s">
        <v>1826</v>
      </c>
      <c r="K457" s="8" t="s">
        <v>1827</v>
      </c>
      <c r="L457" s="8">
        <v>27146.89</v>
      </c>
      <c r="M457" s="8">
        <v>27146.89</v>
      </c>
      <c r="N457" s="7" t="s">
        <v>35</v>
      </c>
      <c r="O457" s="6" t="s">
        <v>35</v>
      </c>
      <c r="P457" s="6" t="s">
        <v>35</v>
      </c>
      <c r="Q457" s="6" t="s">
        <v>27</v>
      </c>
      <c r="R457" s="6"/>
      <c r="S457" s="6">
        <f t="shared" si="7"/>
        <v>27146.89</v>
      </c>
      <c r="T457" s="6"/>
      <c r="U457" s="6"/>
      <c r="V457" s="6"/>
      <c r="W457" s="6" t="s">
        <v>37</v>
      </c>
      <c r="X457" s="6"/>
      <c r="Y457" s="8" t="s">
        <v>1828</v>
      </c>
      <c r="Z457" s="8" t="s">
        <v>1539</v>
      </c>
      <c r="AA457" s="6" t="s">
        <v>40</v>
      </c>
    </row>
    <row r="458" spans="1:27">
      <c r="A458" s="6">
        <v>457</v>
      </c>
      <c r="B458" s="6" t="s">
        <v>225</v>
      </c>
      <c r="C458" s="7">
        <v>46116</v>
      </c>
      <c r="D458" s="6" t="s">
        <v>28</v>
      </c>
      <c r="E458" s="6" t="s">
        <v>1477</v>
      </c>
      <c r="F458" s="6" t="s">
        <v>30</v>
      </c>
      <c r="G458" s="6">
        <v>15</v>
      </c>
      <c r="H458" s="8" t="s">
        <v>614</v>
      </c>
      <c r="I458" s="8" t="s">
        <v>1829</v>
      </c>
      <c r="J458" s="8" t="s">
        <v>615</v>
      </c>
      <c r="K458" s="8" t="s">
        <v>616</v>
      </c>
      <c r="L458" s="8">
        <v>17998</v>
      </c>
      <c r="M458" s="8">
        <v>17998</v>
      </c>
      <c r="N458" s="7" t="s">
        <v>35</v>
      </c>
      <c r="O458" s="6" t="s">
        <v>35</v>
      </c>
      <c r="P458" s="6" t="s">
        <v>35</v>
      </c>
      <c r="Q458" s="6" t="s">
        <v>27</v>
      </c>
      <c r="R458" s="6"/>
      <c r="S458" s="6">
        <f t="shared" si="7"/>
        <v>17998</v>
      </c>
      <c r="T458" s="6"/>
      <c r="U458" s="6"/>
      <c r="V458" s="6"/>
      <c r="W458" s="6" t="s">
        <v>103</v>
      </c>
      <c r="X458" s="6"/>
      <c r="Y458" s="8" t="s">
        <v>1830</v>
      </c>
      <c r="Z458" s="8" t="s">
        <v>235</v>
      </c>
      <c r="AA458" s="6" t="s">
        <v>40</v>
      </c>
    </row>
    <row r="459" spans="1:27">
      <c r="A459" s="6">
        <v>458</v>
      </c>
      <c r="B459" s="6" t="s">
        <v>225</v>
      </c>
      <c r="C459" s="7">
        <v>46116</v>
      </c>
      <c r="D459" s="6" t="s">
        <v>28</v>
      </c>
      <c r="E459" s="6" t="s">
        <v>1477</v>
      </c>
      <c r="F459" s="6" t="s">
        <v>30</v>
      </c>
      <c r="G459" s="6">
        <v>15</v>
      </c>
      <c r="H459" s="8" t="s">
        <v>1831</v>
      </c>
      <c r="I459" s="8" t="s">
        <v>1832</v>
      </c>
      <c r="J459" s="8" t="s">
        <v>1833</v>
      </c>
      <c r="K459" s="8" t="s">
        <v>1834</v>
      </c>
      <c r="L459" s="8">
        <v>17878.46</v>
      </c>
      <c r="M459" s="8">
        <v>17739</v>
      </c>
      <c r="N459" s="7" t="s">
        <v>35</v>
      </c>
      <c r="O459" s="6" t="s">
        <v>35</v>
      </c>
      <c r="P459" s="6" t="s">
        <v>35</v>
      </c>
      <c r="Q459" s="6" t="s">
        <v>27</v>
      </c>
      <c r="R459" s="6"/>
      <c r="S459" s="6">
        <f t="shared" si="7"/>
        <v>17739</v>
      </c>
      <c r="T459" s="6"/>
      <c r="U459" s="6"/>
      <c r="V459" s="6"/>
      <c r="W459" s="6" t="s">
        <v>37</v>
      </c>
      <c r="X459" s="6"/>
      <c r="Y459" s="8" t="s">
        <v>1835</v>
      </c>
      <c r="Z459" s="8" t="s">
        <v>1483</v>
      </c>
      <c r="AA459" s="6" t="s">
        <v>40</v>
      </c>
    </row>
    <row r="460" spans="1:27">
      <c r="A460" s="6">
        <v>459</v>
      </c>
      <c r="B460" s="6"/>
      <c r="C460" s="7">
        <v>46115</v>
      </c>
      <c r="D460" s="6" t="s">
        <v>28</v>
      </c>
      <c r="E460" s="6" t="s">
        <v>1477</v>
      </c>
      <c r="F460" s="6" t="s">
        <v>30</v>
      </c>
      <c r="G460" s="6">
        <v>14</v>
      </c>
      <c r="H460" s="8" t="s">
        <v>418</v>
      </c>
      <c r="I460" s="8" t="s">
        <v>419</v>
      </c>
      <c r="J460" s="8" t="s">
        <v>420</v>
      </c>
      <c r="K460" s="8"/>
      <c r="L460" s="8">
        <v>16269.1</v>
      </c>
      <c r="M460" s="8">
        <v>16269.1</v>
      </c>
      <c r="N460" s="7" t="s">
        <v>35</v>
      </c>
      <c r="O460" s="6" t="s">
        <v>35</v>
      </c>
      <c r="P460" s="6" t="s">
        <v>35</v>
      </c>
      <c r="Q460" s="6" t="s">
        <v>27</v>
      </c>
      <c r="R460" s="6"/>
      <c r="S460" s="6">
        <f t="shared" si="7"/>
        <v>16269.1</v>
      </c>
      <c r="T460" s="6"/>
      <c r="U460" s="6"/>
      <c r="V460" s="6"/>
      <c r="W460" s="6" t="s">
        <v>82</v>
      </c>
      <c r="X460" s="6"/>
      <c r="Y460" s="8" t="s">
        <v>1836</v>
      </c>
      <c r="Z460" s="8" t="s">
        <v>1646</v>
      </c>
      <c r="AA460" s="6" t="s">
        <v>40</v>
      </c>
    </row>
    <row r="461" spans="1:27">
      <c r="A461" s="6">
        <v>460</v>
      </c>
      <c r="B461" s="6"/>
      <c r="C461" s="7">
        <v>46115</v>
      </c>
      <c r="D461" s="6" t="s">
        <v>28</v>
      </c>
      <c r="E461" s="6" t="s">
        <v>1477</v>
      </c>
      <c r="F461" s="6" t="s">
        <v>30</v>
      </c>
      <c r="G461" s="6">
        <v>14</v>
      </c>
      <c r="H461" s="8" t="s">
        <v>1837</v>
      </c>
      <c r="I461" s="8" t="s">
        <v>1838</v>
      </c>
      <c r="J461" s="8" t="s">
        <v>1839</v>
      </c>
      <c r="K461" s="8" t="s">
        <v>1840</v>
      </c>
      <c r="L461" s="8">
        <v>19566.73</v>
      </c>
      <c r="M461" s="8">
        <v>19566.73</v>
      </c>
      <c r="N461" s="7" t="s">
        <v>35</v>
      </c>
      <c r="O461" s="6" t="s">
        <v>35</v>
      </c>
      <c r="P461" s="6" t="s">
        <v>35</v>
      </c>
      <c r="Q461" s="6" t="s">
        <v>27</v>
      </c>
      <c r="R461" s="6"/>
      <c r="S461" s="6">
        <f t="shared" si="7"/>
        <v>19566.73</v>
      </c>
      <c r="T461" s="6"/>
      <c r="U461" s="6"/>
      <c r="V461" s="6"/>
      <c r="W461" s="6" t="s">
        <v>96</v>
      </c>
      <c r="X461" s="6"/>
      <c r="Y461" s="8" t="s">
        <v>1841</v>
      </c>
      <c r="Z461" s="8" t="s">
        <v>1336</v>
      </c>
      <c r="AA461" s="6" t="s">
        <v>40</v>
      </c>
    </row>
    <row r="462" spans="1:27">
      <c r="A462" s="6">
        <v>461</v>
      </c>
      <c r="B462" s="6"/>
      <c r="C462" s="7">
        <v>46115</v>
      </c>
      <c r="D462" s="6" t="s">
        <v>28</v>
      </c>
      <c r="E462" s="6" t="s">
        <v>1477</v>
      </c>
      <c r="F462" s="6" t="s">
        <v>30</v>
      </c>
      <c r="G462" s="6">
        <v>14</v>
      </c>
      <c r="H462" s="8" t="s">
        <v>1842</v>
      </c>
      <c r="I462" s="8" t="s">
        <v>1843</v>
      </c>
      <c r="J462" s="8" t="s">
        <v>1844</v>
      </c>
      <c r="K462" s="8" t="s">
        <v>1845</v>
      </c>
      <c r="L462" s="8">
        <v>12855.78</v>
      </c>
      <c r="M462" s="8">
        <v>12855.78</v>
      </c>
      <c r="N462" s="7" t="s">
        <v>35</v>
      </c>
      <c r="O462" s="6" t="s">
        <v>35</v>
      </c>
      <c r="P462" s="6" t="s">
        <v>35</v>
      </c>
      <c r="Q462" s="6" t="s">
        <v>27</v>
      </c>
      <c r="R462" s="6"/>
      <c r="S462" s="6">
        <f t="shared" si="7"/>
        <v>12855.78</v>
      </c>
      <c r="T462" s="6"/>
      <c r="U462" s="6"/>
      <c r="V462" s="6"/>
      <c r="W462" s="6" t="s">
        <v>69</v>
      </c>
      <c r="X462" s="6"/>
      <c r="Y462" s="8" t="s">
        <v>1846</v>
      </c>
      <c r="Z462" s="8" t="s">
        <v>1486</v>
      </c>
      <c r="AA462" s="6" t="s">
        <v>40</v>
      </c>
    </row>
    <row r="463" spans="1:27">
      <c r="A463" s="6">
        <v>462</v>
      </c>
      <c r="B463" s="6" t="s">
        <v>225</v>
      </c>
      <c r="C463" s="7">
        <v>46116</v>
      </c>
      <c r="D463" s="6" t="s">
        <v>28</v>
      </c>
      <c r="E463" s="6" t="s">
        <v>1477</v>
      </c>
      <c r="F463" s="6" t="s">
        <v>30</v>
      </c>
      <c r="G463" s="6">
        <v>15</v>
      </c>
      <c r="H463" s="8" t="s">
        <v>1847</v>
      </c>
      <c r="I463" s="8" t="s">
        <v>1848</v>
      </c>
      <c r="J463" s="8" t="s">
        <v>1849</v>
      </c>
      <c r="K463" s="8" t="s">
        <v>1850</v>
      </c>
      <c r="L463" s="8">
        <v>14806</v>
      </c>
      <c r="M463" s="8">
        <v>14806</v>
      </c>
      <c r="N463" s="7" t="s">
        <v>35</v>
      </c>
      <c r="O463" s="6" t="s">
        <v>35</v>
      </c>
      <c r="P463" s="6" t="s">
        <v>35</v>
      </c>
      <c r="Q463" s="6" t="s">
        <v>27</v>
      </c>
      <c r="R463" s="6"/>
      <c r="S463" s="6">
        <f t="shared" si="7"/>
        <v>14806</v>
      </c>
      <c r="T463" s="6"/>
      <c r="U463" s="6"/>
      <c r="V463" s="6"/>
      <c r="W463" s="6" t="s">
        <v>69</v>
      </c>
      <c r="X463" s="6"/>
      <c r="Y463" s="8" t="s">
        <v>1851</v>
      </c>
      <c r="Z463" s="8" t="s">
        <v>1336</v>
      </c>
      <c r="AA463" s="6" t="s">
        <v>40</v>
      </c>
    </row>
    <row r="464" spans="1:27">
      <c r="A464" s="6">
        <v>463</v>
      </c>
      <c r="B464" s="6"/>
      <c r="C464" s="7">
        <v>46115</v>
      </c>
      <c r="D464" s="6" t="s">
        <v>28</v>
      </c>
      <c r="E464" s="6" t="s">
        <v>1477</v>
      </c>
      <c r="F464" s="6" t="s">
        <v>30</v>
      </c>
      <c r="G464" s="6">
        <v>14</v>
      </c>
      <c r="H464" s="8" t="s">
        <v>1852</v>
      </c>
      <c r="I464" s="8" t="s">
        <v>1853</v>
      </c>
      <c r="J464" s="8" t="s">
        <v>1854</v>
      </c>
      <c r="K464" s="8" t="s">
        <v>1855</v>
      </c>
      <c r="L464" s="8">
        <v>14096.83</v>
      </c>
      <c r="M464" s="8">
        <v>14096.83</v>
      </c>
      <c r="N464" s="7" t="s">
        <v>35</v>
      </c>
      <c r="O464" s="6" t="s">
        <v>35</v>
      </c>
      <c r="P464" s="6" t="s">
        <v>35</v>
      </c>
      <c r="Q464" s="6" t="s">
        <v>27</v>
      </c>
      <c r="R464" s="6"/>
      <c r="S464" s="6">
        <f t="shared" si="7"/>
        <v>14096.83</v>
      </c>
      <c r="T464" s="6"/>
      <c r="U464" s="6"/>
      <c r="V464" s="6"/>
      <c r="W464" s="6" t="s">
        <v>526</v>
      </c>
      <c r="X464" s="6"/>
      <c r="Y464" s="8" t="s">
        <v>1856</v>
      </c>
      <c r="Z464" s="8" t="s">
        <v>234</v>
      </c>
      <c r="AA464" s="6" t="s">
        <v>40</v>
      </c>
    </row>
    <row r="465" spans="1:27">
      <c r="A465" s="6">
        <v>464</v>
      </c>
      <c r="B465" s="6"/>
      <c r="C465" s="7">
        <v>46115</v>
      </c>
      <c r="D465" s="6" t="s">
        <v>28</v>
      </c>
      <c r="E465" s="6" t="s">
        <v>1477</v>
      </c>
      <c r="F465" s="6" t="s">
        <v>30</v>
      </c>
      <c r="G465" s="6">
        <v>14</v>
      </c>
      <c r="H465" s="8" t="s">
        <v>1857</v>
      </c>
      <c r="I465" s="8" t="s">
        <v>1858</v>
      </c>
      <c r="J465" s="8" t="s">
        <v>1859</v>
      </c>
      <c r="K465" s="8" t="s">
        <v>1860</v>
      </c>
      <c r="L465" s="8">
        <v>11912.52</v>
      </c>
      <c r="M465" s="8">
        <v>11912.52</v>
      </c>
      <c r="N465" s="7" t="s">
        <v>35</v>
      </c>
      <c r="O465" s="6" t="s">
        <v>35</v>
      </c>
      <c r="P465" s="6" t="s">
        <v>35</v>
      </c>
      <c r="Q465" s="6" t="s">
        <v>27</v>
      </c>
      <c r="R465" s="6"/>
      <c r="S465" s="6">
        <f t="shared" si="7"/>
        <v>11912.52</v>
      </c>
      <c r="T465" s="6"/>
      <c r="U465" s="6"/>
      <c r="V465" s="6"/>
      <c r="W465" s="6" t="s">
        <v>76</v>
      </c>
      <c r="X465" s="6"/>
      <c r="Y465" s="8" t="s">
        <v>1861</v>
      </c>
      <c r="Z465" s="8" t="s">
        <v>1336</v>
      </c>
      <c r="AA465" s="6" t="s">
        <v>40</v>
      </c>
    </row>
    <row r="466" spans="1:27">
      <c r="A466" s="6">
        <v>465</v>
      </c>
      <c r="B466" s="6"/>
      <c r="C466" s="7">
        <v>46115</v>
      </c>
      <c r="D466" s="6" t="s">
        <v>28</v>
      </c>
      <c r="E466" s="6" t="s">
        <v>1477</v>
      </c>
      <c r="F466" s="6" t="s">
        <v>30</v>
      </c>
      <c r="G466" s="6">
        <v>14</v>
      </c>
      <c r="H466" s="8" t="s">
        <v>1862</v>
      </c>
      <c r="I466" s="8" t="s">
        <v>1863</v>
      </c>
      <c r="J466" s="8" t="s">
        <v>1864</v>
      </c>
      <c r="K466" s="8" t="s">
        <v>1865</v>
      </c>
      <c r="L466" s="8">
        <v>11215.22</v>
      </c>
      <c r="M466" s="8">
        <v>11215.22</v>
      </c>
      <c r="N466" s="7" t="s">
        <v>35</v>
      </c>
      <c r="O466" s="6" t="s">
        <v>35</v>
      </c>
      <c r="P466" s="6" t="s">
        <v>35</v>
      </c>
      <c r="Q466" s="6" t="s">
        <v>27</v>
      </c>
      <c r="R466" s="6"/>
      <c r="S466" s="6">
        <f t="shared" si="7"/>
        <v>11215.22</v>
      </c>
      <c r="T466" s="6"/>
      <c r="U466" s="6"/>
      <c r="V466" s="6"/>
      <c r="W466" s="6" t="s">
        <v>37</v>
      </c>
      <c r="X466" s="6"/>
      <c r="Y466" s="8" t="s">
        <v>1866</v>
      </c>
      <c r="Z466" s="8" t="s">
        <v>1867</v>
      </c>
      <c r="AA466" s="6" t="s">
        <v>40</v>
      </c>
    </row>
    <row r="467" spans="1:27">
      <c r="A467" s="6">
        <v>466</v>
      </c>
      <c r="B467" s="6"/>
      <c r="C467" s="7">
        <v>46115</v>
      </c>
      <c r="D467" s="6" t="s">
        <v>28</v>
      </c>
      <c r="E467" s="6" t="s">
        <v>1477</v>
      </c>
      <c r="F467" s="6" t="s">
        <v>30</v>
      </c>
      <c r="G467" s="6">
        <v>14</v>
      </c>
      <c r="H467" s="8" t="s">
        <v>1868</v>
      </c>
      <c r="I467" s="8" t="s">
        <v>1869</v>
      </c>
      <c r="J467" s="8" t="s">
        <v>1870</v>
      </c>
      <c r="K467" s="8" t="s">
        <v>1871</v>
      </c>
      <c r="L467" s="8">
        <v>10401.709999999999</v>
      </c>
      <c r="M467" s="8">
        <v>10401.709999999999</v>
      </c>
      <c r="N467" s="7" t="s">
        <v>35</v>
      </c>
      <c r="O467" s="6" t="s">
        <v>35</v>
      </c>
      <c r="P467" s="6" t="s">
        <v>35</v>
      </c>
      <c r="Q467" s="6" t="s">
        <v>27</v>
      </c>
      <c r="R467" s="6"/>
      <c r="S467" s="6">
        <f t="shared" si="7"/>
        <v>10401.709999999999</v>
      </c>
      <c r="T467" s="6"/>
      <c r="U467" s="6"/>
      <c r="V467" s="6"/>
      <c r="W467" s="6" t="s">
        <v>410</v>
      </c>
      <c r="X467" s="6"/>
      <c r="Y467" s="8" t="s">
        <v>1872</v>
      </c>
      <c r="Z467" s="8" t="s">
        <v>235</v>
      </c>
      <c r="AA467" s="6" t="s">
        <v>40</v>
      </c>
    </row>
    <row r="468" spans="1:27">
      <c r="A468" s="6">
        <v>467</v>
      </c>
      <c r="B468" s="6"/>
      <c r="C468" s="7">
        <v>46115</v>
      </c>
      <c r="D468" s="6" t="s">
        <v>28</v>
      </c>
      <c r="E468" s="6" t="s">
        <v>1477</v>
      </c>
      <c r="F468" s="6" t="s">
        <v>30</v>
      </c>
      <c r="G468" s="6">
        <v>14</v>
      </c>
      <c r="H468" s="8" t="s">
        <v>1873</v>
      </c>
      <c r="I468" s="8" t="s">
        <v>1874</v>
      </c>
      <c r="J468" s="8" t="s">
        <v>1875</v>
      </c>
      <c r="K468" s="8"/>
      <c r="L468" s="8">
        <v>10894.4</v>
      </c>
      <c r="M468" s="8">
        <v>10894.4</v>
      </c>
      <c r="N468" s="7" t="s">
        <v>35</v>
      </c>
      <c r="O468" s="6" t="s">
        <v>35</v>
      </c>
      <c r="P468" s="6" t="s">
        <v>35</v>
      </c>
      <c r="Q468" s="6" t="s">
        <v>27</v>
      </c>
      <c r="R468" s="6"/>
      <c r="S468" s="6">
        <f t="shared" si="7"/>
        <v>10894.4</v>
      </c>
      <c r="T468" s="6"/>
      <c r="U468" s="6"/>
      <c r="V468" s="6"/>
      <c r="W468" s="6"/>
      <c r="X468" s="6"/>
      <c r="Y468" s="8" t="s">
        <v>1876</v>
      </c>
      <c r="Z468" s="8" t="s">
        <v>1349</v>
      </c>
      <c r="AA468" s="6" t="s">
        <v>40</v>
      </c>
    </row>
    <row r="469" spans="1:27">
      <c r="A469" s="6">
        <v>468</v>
      </c>
      <c r="B469" s="6"/>
      <c r="C469" s="7">
        <v>46115</v>
      </c>
      <c r="D469" s="6" t="s">
        <v>28</v>
      </c>
      <c r="E469" s="6" t="s">
        <v>1477</v>
      </c>
      <c r="F469" s="6" t="s">
        <v>30</v>
      </c>
      <c r="G469" s="6">
        <v>14</v>
      </c>
      <c r="H469" s="8" t="s">
        <v>1877</v>
      </c>
      <c r="I469" s="8" t="s">
        <v>1878</v>
      </c>
      <c r="J469" s="8" t="s">
        <v>1879</v>
      </c>
      <c r="K469" s="8" t="s">
        <v>1880</v>
      </c>
      <c r="L469" s="8">
        <v>9137.6299999999992</v>
      </c>
      <c r="M469" s="8">
        <v>9137.6299999999992</v>
      </c>
      <c r="N469" s="7" t="s">
        <v>35</v>
      </c>
      <c r="O469" s="6" t="s">
        <v>35</v>
      </c>
      <c r="P469" s="6" t="s">
        <v>35</v>
      </c>
      <c r="Q469" s="6" t="s">
        <v>27</v>
      </c>
      <c r="R469" s="6"/>
      <c r="S469" s="6">
        <f t="shared" si="7"/>
        <v>9137.6299999999992</v>
      </c>
      <c r="T469" s="6"/>
      <c r="U469" s="6"/>
      <c r="V469" s="6"/>
      <c r="W469" s="6" t="s">
        <v>45</v>
      </c>
      <c r="X469" s="6"/>
      <c r="Y469" s="8" t="s">
        <v>1881</v>
      </c>
      <c r="Z469" s="8" t="s">
        <v>1500</v>
      </c>
      <c r="AA469" s="6" t="s">
        <v>40</v>
      </c>
    </row>
    <row r="470" spans="1:27">
      <c r="A470" s="6">
        <v>469</v>
      </c>
      <c r="B470" s="6"/>
      <c r="C470" s="7">
        <v>46115</v>
      </c>
      <c r="D470" s="6" t="s">
        <v>28</v>
      </c>
      <c r="E470" s="6" t="s">
        <v>1477</v>
      </c>
      <c r="F470" s="6" t="s">
        <v>30</v>
      </c>
      <c r="G470" s="6">
        <v>14</v>
      </c>
      <c r="H470" s="8" t="s">
        <v>1882</v>
      </c>
      <c r="I470" s="8" t="s">
        <v>1883</v>
      </c>
      <c r="J470" s="8" t="s">
        <v>1884</v>
      </c>
      <c r="K470" s="8" t="s">
        <v>1885</v>
      </c>
      <c r="L470" s="8">
        <v>5999.93</v>
      </c>
      <c r="M470" s="8">
        <v>5999.93</v>
      </c>
      <c r="N470" s="7" t="s">
        <v>35</v>
      </c>
      <c r="O470" s="6" t="s">
        <v>35</v>
      </c>
      <c r="P470" s="6" t="s">
        <v>35</v>
      </c>
      <c r="Q470" s="6" t="s">
        <v>27</v>
      </c>
      <c r="R470" s="6"/>
      <c r="S470" s="6">
        <f t="shared" si="7"/>
        <v>5999.93</v>
      </c>
      <c r="T470" s="6"/>
      <c r="U470" s="6"/>
      <c r="V470" s="6"/>
      <c r="W470" s="6" t="s">
        <v>526</v>
      </c>
      <c r="X470" s="6"/>
      <c r="Y470" s="8" t="s">
        <v>1886</v>
      </c>
      <c r="Z470" s="8" t="s">
        <v>235</v>
      </c>
      <c r="AA470" s="6" t="s">
        <v>40</v>
      </c>
    </row>
    <row r="471" spans="1:27">
      <c r="A471" s="6">
        <v>470</v>
      </c>
      <c r="B471" s="6"/>
      <c r="C471" s="7">
        <v>46115</v>
      </c>
      <c r="D471" s="6" t="s">
        <v>28</v>
      </c>
      <c r="E471" s="6" t="s">
        <v>1477</v>
      </c>
      <c r="F471" s="6" t="s">
        <v>30</v>
      </c>
      <c r="G471" s="6">
        <v>14</v>
      </c>
      <c r="H471" s="8" t="s">
        <v>1887</v>
      </c>
      <c r="I471" s="8" t="s">
        <v>1888</v>
      </c>
      <c r="J471" s="8" t="s">
        <v>1889</v>
      </c>
      <c r="K471" s="8" t="s">
        <v>1890</v>
      </c>
      <c r="L471" s="8">
        <v>7986.43</v>
      </c>
      <c r="M471" s="8">
        <v>7986.43</v>
      </c>
      <c r="N471" s="7" t="s">
        <v>35</v>
      </c>
      <c r="O471" s="6" t="s">
        <v>35</v>
      </c>
      <c r="P471" s="6" t="s">
        <v>35</v>
      </c>
      <c r="Q471" s="6" t="s">
        <v>27</v>
      </c>
      <c r="R471" s="6"/>
      <c r="S471" s="6">
        <f t="shared" si="7"/>
        <v>7986.43</v>
      </c>
      <c r="T471" s="6"/>
      <c r="U471" s="6"/>
      <c r="V471" s="6"/>
      <c r="W471" s="6" t="s">
        <v>103</v>
      </c>
      <c r="X471" s="6"/>
      <c r="Y471" s="8" t="s">
        <v>1891</v>
      </c>
      <c r="Z471" s="8" t="s">
        <v>1646</v>
      </c>
      <c r="AA471" s="6" t="s">
        <v>40</v>
      </c>
    </row>
    <row r="472" spans="1:27">
      <c r="A472" s="6">
        <v>471</v>
      </c>
      <c r="B472" s="6"/>
      <c r="C472" s="7">
        <v>46115</v>
      </c>
      <c r="D472" s="6" t="s">
        <v>28</v>
      </c>
      <c r="E472" s="6" t="s">
        <v>1477</v>
      </c>
      <c r="F472" s="6" t="s">
        <v>30</v>
      </c>
      <c r="G472" s="6">
        <v>14</v>
      </c>
      <c r="H472" s="8" t="s">
        <v>1892</v>
      </c>
      <c r="I472" s="8" t="s">
        <v>1893</v>
      </c>
      <c r="J472" s="8" t="s">
        <v>1894</v>
      </c>
      <c r="K472" s="8" t="s">
        <v>1895</v>
      </c>
      <c r="L472" s="8">
        <v>8196.24</v>
      </c>
      <c r="M472" s="8">
        <v>8196.24</v>
      </c>
      <c r="N472" s="7" t="s">
        <v>35</v>
      </c>
      <c r="O472" s="6" t="s">
        <v>35</v>
      </c>
      <c r="P472" s="6" t="s">
        <v>35</v>
      </c>
      <c r="Q472" s="6" t="s">
        <v>27</v>
      </c>
      <c r="R472" s="6"/>
      <c r="S472" s="6">
        <f t="shared" si="7"/>
        <v>8196.24</v>
      </c>
      <c r="T472" s="6"/>
      <c r="U472" s="6"/>
      <c r="V472" s="6"/>
      <c r="W472" s="6" t="s">
        <v>37</v>
      </c>
      <c r="X472" s="6"/>
      <c r="Y472" s="8" t="s">
        <v>1896</v>
      </c>
      <c r="Z472" s="8" t="s">
        <v>1539</v>
      </c>
      <c r="AA472" s="6" t="s">
        <v>40</v>
      </c>
    </row>
    <row r="473" spans="1:27">
      <c r="A473" s="6">
        <v>472</v>
      </c>
      <c r="B473" s="6"/>
      <c r="C473" s="7">
        <v>46115</v>
      </c>
      <c r="D473" s="6" t="s">
        <v>28</v>
      </c>
      <c r="E473" s="6" t="s">
        <v>1477</v>
      </c>
      <c r="F473" s="6" t="s">
        <v>30</v>
      </c>
      <c r="G473" s="6">
        <v>14</v>
      </c>
      <c r="H473" s="8" t="s">
        <v>1897</v>
      </c>
      <c r="I473" s="8" t="s">
        <v>1898</v>
      </c>
      <c r="J473" s="8" t="s">
        <v>1899</v>
      </c>
      <c r="K473" s="8" t="s">
        <v>1900</v>
      </c>
      <c r="L473" s="8">
        <v>8018.02</v>
      </c>
      <c r="M473" s="8">
        <v>8018.02</v>
      </c>
      <c r="N473" s="7" t="s">
        <v>35</v>
      </c>
      <c r="O473" s="6" t="s">
        <v>35</v>
      </c>
      <c r="P473" s="6" t="s">
        <v>35</v>
      </c>
      <c r="Q473" s="6" t="s">
        <v>27</v>
      </c>
      <c r="R473" s="6"/>
      <c r="S473" s="6">
        <f t="shared" si="7"/>
        <v>8018.02</v>
      </c>
      <c r="T473" s="6"/>
      <c r="U473" s="6"/>
      <c r="V473" s="6"/>
      <c r="W473" s="6" t="s">
        <v>82</v>
      </c>
      <c r="X473" s="6"/>
      <c r="Y473" s="8" t="s">
        <v>1901</v>
      </c>
      <c r="Z473" s="8" t="s">
        <v>1336</v>
      </c>
      <c r="AA473" s="6" t="s">
        <v>40</v>
      </c>
    </row>
    <row r="474" spans="1:27">
      <c r="A474" s="6">
        <v>473</v>
      </c>
      <c r="B474" s="6"/>
      <c r="C474" s="7">
        <v>46115</v>
      </c>
      <c r="D474" s="6" t="s">
        <v>28</v>
      </c>
      <c r="E474" s="6" t="s">
        <v>1477</v>
      </c>
      <c r="F474" s="6" t="s">
        <v>30</v>
      </c>
      <c r="G474" s="6">
        <v>14</v>
      </c>
      <c r="H474" s="8" t="s">
        <v>1902</v>
      </c>
      <c r="I474" s="8" t="s">
        <v>1903</v>
      </c>
      <c r="J474" s="8" t="s">
        <v>1904</v>
      </c>
      <c r="K474" s="8" t="s">
        <v>1905</v>
      </c>
      <c r="L474" s="8">
        <v>10441.94</v>
      </c>
      <c r="M474" s="8">
        <v>10441.94</v>
      </c>
      <c r="N474" s="7" t="s">
        <v>35</v>
      </c>
      <c r="O474" s="6" t="s">
        <v>35</v>
      </c>
      <c r="P474" s="6" t="s">
        <v>35</v>
      </c>
      <c r="Q474" s="6" t="s">
        <v>27</v>
      </c>
      <c r="R474" s="6"/>
      <c r="S474" s="6">
        <f t="shared" si="7"/>
        <v>10441.94</v>
      </c>
      <c r="T474" s="6"/>
      <c r="U474" s="6"/>
      <c r="V474" s="6"/>
      <c r="W474" s="6" t="s">
        <v>69</v>
      </c>
      <c r="X474" s="6"/>
      <c r="Y474" s="8" t="s">
        <v>1906</v>
      </c>
      <c r="Z474" s="8" t="s">
        <v>1541</v>
      </c>
      <c r="AA474" s="6" t="s">
        <v>40</v>
      </c>
    </row>
    <row r="475" spans="1:27">
      <c r="A475" s="6">
        <v>474</v>
      </c>
      <c r="B475" s="6"/>
      <c r="C475" s="7">
        <v>46115</v>
      </c>
      <c r="D475" s="6" t="s">
        <v>28</v>
      </c>
      <c r="E475" s="6" t="s">
        <v>1477</v>
      </c>
      <c r="F475" s="6" t="s">
        <v>30</v>
      </c>
      <c r="G475" s="6">
        <v>14</v>
      </c>
      <c r="H475" s="8" t="s">
        <v>477</v>
      </c>
      <c r="I475" s="8" t="s">
        <v>478</v>
      </c>
      <c r="J475" s="8" t="s">
        <v>479</v>
      </c>
      <c r="K475" s="8"/>
      <c r="L475" s="8">
        <v>5948.3</v>
      </c>
      <c r="M475" s="8">
        <v>5948.3</v>
      </c>
      <c r="N475" s="7" t="s">
        <v>35</v>
      </c>
      <c r="O475" s="6" t="s">
        <v>35</v>
      </c>
      <c r="P475" s="6" t="s">
        <v>35</v>
      </c>
      <c r="Q475" s="6" t="s">
        <v>27</v>
      </c>
      <c r="R475" s="6"/>
      <c r="S475" s="6">
        <f t="shared" si="7"/>
        <v>5948.3</v>
      </c>
      <c r="T475" s="6"/>
      <c r="U475" s="6"/>
      <c r="V475" s="6"/>
      <c r="W475" s="6" t="s">
        <v>55</v>
      </c>
      <c r="X475" s="6"/>
      <c r="Y475" s="8" t="s">
        <v>1907</v>
      </c>
      <c r="Z475" s="8" t="s">
        <v>1493</v>
      </c>
      <c r="AA475" s="6" t="s">
        <v>40</v>
      </c>
    </row>
    <row r="476" spans="1:27">
      <c r="A476" s="6">
        <v>475</v>
      </c>
      <c r="B476" s="6" t="s">
        <v>225</v>
      </c>
      <c r="C476" s="7">
        <v>46116</v>
      </c>
      <c r="D476" s="6" t="s">
        <v>28</v>
      </c>
      <c r="E476" s="6" t="s">
        <v>1477</v>
      </c>
      <c r="F476" s="6" t="s">
        <v>30</v>
      </c>
      <c r="G476" s="6">
        <v>15</v>
      </c>
      <c r="H476" s="8" t="s">
        <v>481</v>
      </c>
      <c r="I476" s="8" t="s">
        <v>482</v>
      </c>
      <c r="J476" s="8" t="s">
        <v>483</v>
      </c>
      <c r="K476" s="8" t="s">
        <v>484</v>
      </c>
      <c r="L476" s="8">
        <v>8986</v>
      </c>
      <c r="M476" s="8">
        <v>8986</v>
      </c>
      <c r="N476" s="7" t="s">
        <v>35</v>
      </c>
      <c r="O476" s="6" t="s">
        <v>35</v>
      </c>
      <c r="P476" s="6" t="s">
        <v>35</v>
      </c>
      <c r="Q476" s="6" t="s">
        <v>27</v>
      </c>
      <c r="R476" s="6"/>
      <c r="S476" s="6">
        <f t="shared" si="7"/>
        <v>8986</v>
      </c>
      <c r="T476" s="6"/>
      <c r="U476" s="6"/>
      <c r="V476" s="6"/>
      <c r="W476" s="6" t="s">
        <v>62</v>
      </c>
      <c r="X476" s="6"/>
      <c r="Y476" s="8" t="s">
        <v>1908</v>
      </c>
      <c r="Z476" s="8" t="s">
        <v>1336</v>
      </c>
      <c r="AA476" s="6" t="s">
        <v>40</v>
      </c>
    </row>
    <row r="477" spans="1:27">
      <c r="A477" s="6">
        <v>476</v>
      </c>
      <c r="B477" s="6"/>
      <c r="C477" s="7">
        <v>46115</v>
      </c>
      <c r="D477" s="6" t="s">
        <v>28</v>
      </c>
      <c r="E477" s="6" t="s">
        <v>1477</v>
      </c>
      <c r="F477" s="6" t="s">
        <v>30</v>
      </c>
      <c r="G477" s="6">
        <v>14</v>
      </c>
      <c r="H477" s="8" t="s">
        <v>1909</v>
      </c>
      <c r="I477" s="8" t="s">
        <v>1910</v>
      </c>
      <c r="J477" s="8" t="s">
        <v>1911</v>
      </c>
      <c r="K477" s="8" t="s">
        <v>1912</v>
      </c>
      <c r="L477" s="8">
        <v>6221.78</v>
      </c>
      <c r="M477" s="8">
        <v>6221.78</v>
      </c>
      <c r="N477" s="7" t="s">
        <v>35</v>
      </c>
      <c r="O477" s="6" t="s">
        <v>35</v>
      </c>
      <c r="P477" s="6" t="s">
        <v>35</v>
      </c>
      <c r="Q477" s="6" t="s">
        <v>27</v>
      </c>
      <c r="R477" s="6"/>
      <c r="S477" s="6">
        <f t="shared" si="7"/>
        <v>6221.78</v>
      </c>
      <c r="T477" s="6"/>
      <c r="U477" s="6"/>
      <c r="V477" s="6"/>
      <c r="W477" s="6" t="s">
        <v>76</v>
      </c>
      <c r="X477" s="6"/>
      <c r="Y477" s="8" t="s">
        <v>1913</v>
      </c>
      <c r="Z477" s="8" t="s">
        <v>1500</v>
      </c>
      <c r="AA477" s="6" t="s">
        <v>40</v>
      </c>
    </row>
    <row r="478" spans="1:27">
      <c r="A478" s="6">
        <v>477</v>
      </c>
      <c r="B478" s="6" t="s">
        <v>225</v>
      </c>
      <c r="C478" s="7">
        <v>46116</v>
      </c>
      <c r="D478" s="6" t="s">
        <v>28</v>
      </c>
      <c r="E478" s="6" t="s">
        <v>1477</v>
      </c>
      <c r="F478" s="6" t="s">
        <v>30</v>
      </c>
      <c r="G478" s="6">
        <v>15</v>
      </c>
      <c r="H478" s="8" t="s">
        <v>529</v>
      </c>
      <c r="I478" s="8" t="s">
        <v>530</v>
      </c>
      <c r="J478" s="8" t="s">
        <v>1914</v>
      </c>
      <c r="K478" s="8" t="s">
        <v>1915</v>
      </c>
      <c r="L478" s="8">
        <v>5066</v>
      </c>
      <c r="M478" s="8">
        <v>5066</v>
      </c>
      <c r="N478" s="7" t="s">
        <v>35</v>
      </c>
      <c r="O478" s="6" t="s">
        <v>35</v>
      </c>
      <c r="P478" s="6" t="s">
        <v>35</v>
      </c>
      <c r="Q478" s="6" t="s">
        <v>27</v>
      </c>
      <c r="R478" s="6"/>
      <c r="S478" s="6">
        <f t="shared" si="7"/>
        <v>5066</v>
      </c>
      <c r="T478" s="6"/>
      <c r="U478" s="6"/>
      <c r="V478" s="6"/>
      <c r="W478" s="6" t="s">
        <v>124</v>
      </c>
      <c r="X478" s="6"/>
      <c r="Y478" s="8" t="s">
        <v>1916</v>
      </c>
      <c r="Z478" s="8" t="s">
        <v>1486</v>
      </c>
      <c r="AA478" s="6" t="s">
        <v>40</v>
      </c>
    </row>
    <row r="479" spans="1:27">
      <c r="A479" s="6">
        <v>478</v>
      </c>
      <c r="B479" s="6" t="s">
        <v>225</v>
      </c>
      <c r="C479" s="7">
        <v>46116</v>
      </c>
      <c r="D479" s="6" t="s">
        <v>28</v>
      </c>
      <c r="E479" s="6" t="s">
        <v>1477</v>
      </c>
      <c r="F479" s="6" t="s">
        <v>30</v>
      </c>
      <c r="G479" s="6">
        <v>15</v>
      </c>
      <c r="H479" s="8" t="s">
        <v>491</v>
      </c>
      <c r="I479" s="8" t="s">
        <v>492</v>
      </c>
      <c r="J479" s="8" t="s">
        <v>493</v>
      </c>
      <c r="K479" s="8" t="s">
        <v>494</v>
      </c>
      <c r="L479" s="8">
        <v>6774.85</v>
      </c>
      <c r="M479" s="8">
        <v>6558</v>
      </c>
      <c r="N479" s="7" t="s">
        <v>35</v>
      </c>
      <c r="O479" s="6" t="s">
        <v>35</v>
      </c>
      <c r="P479" s="6" t="s">
        <v>35</v>
      </c>
      <c r="Q479" s="6" t="s">
        <v>27</v>
      </c>
      <c r="R479" s="6"/>
      <c r="S479" s="6">
        <f t="shared" si="7"/>
        <v>6558</v>
      </c>
      <c r="T479" s="6"/>
      <c r="U479" s="6"/>
      <c r="V479" s="6"/>
      <c r="W479" s="6" t="s">
        <v>69</v>
      </c>
      <c r="X479" s="6"/>
      <c r="Y479" s="8" t="s">
        <v>1917</v>
      </c>
      <c r="Z479" s="8" t="s">
        <v>1336</v>
      </c>
      <c r="AA479" s="6" t="s">
        <v>40</v>
      </c>
    </row>
    <row r="480" spans="1:27">
      <c r="A480" s="6">
        <v>479</v>
      </c>
      <c r="B480" s="6"/>
      <c r="C480" s="7">
        <v>46115</v>
      </c>
      <c r="D480" s="6" t="s">
        <v>28</v>
      </c>
      <c r="E480" s="6" t="s">
        <v>1477</v>
      </c>
      <c r="F480" s="6" t="s">
        <v>30</v>
      </c>
      <c r="G480" s="6">
        <v>14</v>
      </c>
      <c r="H480" s="8" t="s">
        <v>418</v>
      </c>
      <c r="I480" s="8" t="s">
        <v>419</v>
      </c>
      <c r="J480" s="8" t="s">
        <v>496</v>
      </c>
      <c r="K480" s="8"/>
      <c r="L480" s="8">
        <v>9940.0499999999993</v>
      </c>
      <c r="M480" s="8">
        <v>9940.0499999999993</v>
      </c>
      <c r="N480" s="7" t="s">
        <v>35</v>
      </c>
      <c r="O480" s="6" t="s">
        <v>35</v>
      </c>
      <c r="P480" s="6" t="s">
        <v>35</v>
      </c>
      <c r="Q480" s="6" t="s">
        <v>27</v>
      </c>
      <c r="R480" s="6"/>
      <c r="S480" s="6">
        <f t="shared" si="7"/>
        <v>9940.0499999999993</v>
      </c>
      <c r="T480" s="6"/>
      <c r="U480" s="6"/>
      <c r="V480" s="6"/>
      <c r="W480" s="6"/>
      <c r="X480" s="6"/>
      <c r="Y480" s="8" t="s">
        <v>1836</v>
      </c>
      <c r="Z480" s="8" t="s">
        <v>1918</v>
      </c>
      <c r="AA480" s="6" t="s">
        <v>40</v>
      </c>
    </row>
    <row r="481" spans="1:27">
      <c r="A481" s="6">
        <v>480</v>
      </c>
      <c r="B481" s="6"/>
      <c r="C481" s="7">
        <v>46115</v>
      </c>
      <c r="D481" s="6" t="s">
        <v>28</v>
      </c>
      <c r="E481" s="6" t="s">
        <v>1477</v>
      </c>
      <c r="F481" s="6" t="s">
        <v>30</v>
      </c>
      <c r="G481" s="6">
        <v>14</v>
      </c>
      <c r="H481" s="8" t="s">
        <v>1919</v>
      </c>
      <c r="I481" s="8" t="s">
        <v>1920</v>
      </c>
      <c r="J481" s="8" t="s">
        <v>1921</v>
      </c>
      <c r="K481" s="8" t="s">
        <v>1922</v>
      </c>
      <c r="L481" s="8">
        <v>6664.97</v>
      </c>
      <c r="M481" s="8">
        <v>6664.97</v>
      </c>
      <c r="N481" s="7" t="s">
        <v>35</v>
      </c>
      <c r="O481" s="6" t="s">
        <v>35</v>
      </c>
      <c r="P481" s="6" t="s">
        <v>35</v>
      </c>
      <c r="Q481" s="6" t="s">
        <v>27</v>
      </c>
      <c r="R481" s="6"/>
      <c r="S481" s="6">
        <f t="shared" si="7"/>
        <v>6664.97</v>
      </c>
      <c r="T481" s="6"/>
      <c r="U481" s="6"/>
      <c r="V481" s="6"/>
      <c r="W481" s="6" t="s">
        <v>410</v>
      </c>
      <c r="X481" s="6"/>
      <c r="Y481" s="8" t="s">
        <v>1923</v>
      </c>
      <c r="Z481" s="8" t="s">
        <v>235</v>
      </c>
      <c r="AA481" s="6" t="s">
        <v>40</v>
      </c>
    </row>
    <row r="482" spans="1:27">
      <c r="A482" s="6">
        <v>481</v>
      </c>
      <c r="B482" s="6" t="s">
        <v>225</v>
      </c>
      <c r="C482" s="7">
        <v>46116</v>
      </c>
      <c r="D482" s="6" t="s">
        <v>28</v>
      </c>
      <c r="E482" s="6" t="s">
        <v>1477</v>
      </c>
      <c r="F482" s="6" t="s">
        <v>30</v>
      </c>
      <c r="G482" s="6">
        <v>15</v>
      </c>
      <c r="H482" s="8" t="s">
        <v>583</v>
      </c>
      <c r="I482" s="8" t="s">
        <v>584</v>
      </c>
      <c r="J482" s="8" t="s">
        <v>585</v>
      </c>
      <c r="K482" s="8" t="s">
        <v>586</v>
      </c>
      <c r="L482" s="8">
        <v>6840</v>
      </c>
      <c r="M482" s="8">
        <v>6840</v>
      </c>
      <c r="N482" s="7" t="s">
        <v>35</v>
      </c>
      <c r="O482" s="6" t="s">
        <v>35</v>
      </c>
      <c r="P482" s="6" t="s">
        <v>35</v>
      </c>
      <c r="Q482" s="6" t="s">
        <v>27</v>
      </c>
      <c r="R482" s="6"/>
      <c r="S482" s="6">
        <f t="shared" si="7"/>
        <v>6840</v>
      </c>
      <c r="T482" s="6"/>
      <c r="U482" s="6"/>
      <c r="V482" s="6"/>
      <c r="W482" s="6" t="s">
        <v>460</v>
      </c>
      <c r="X482" s="6"/>
      <c r="Y482" s="8" t="s">
        <v>1924</v>
      </c>
      <c r="Z482" s="8" t="s">
        <v>1500</v>
      </c>
      <c r="AA482" s="6" t="s">
        <v>40</v>
      </c>
    </row>
    <row r="483" spans="1:27">
      <c r="A483" s="6">
        <v>482</v>
      </c>
      <c r="B483" s="6"/>
      <c r="C483" s="7">
        <v>46115</v>
      </c>
      <c r="D483" s="6" t="s">
        <v>28</v>
      </c>
      <c r="E483" s="6" t="s">
        <v>1477</v>
      </c>
      <c r="F483" s="6" t="s">
        <v>30</v>
      </c>
      <c r="G483" s="6">
        <v>14</v>
      </c>
      <c r="H483" s="8" t="s">
        <v>498</v>
      </c>
      <c r="I483" s="8" t="s">
        <v>499</v>
      </c>
      <c r="J483" s="8" t="s">
        <v>500</v>
      </c>
      <c r="K483" s="8" t="s">
        <v>501</v>
      </c>
      <c r="L483" s="8">
        <v>6077.86</v>
      </c>
      <c r="M483" s="8">
        <v>6077.86</v>
      </c>
      <c r="N483" s="7" t="s">
        <v>35</v>
      </c>
      <c r="O483" s="6" t="s">
        <v>35</v>
      </c>
      <c r="P483" s="6" t="s">
        <v>35</v>
      </c>
      <c r="Q483" s="6" t="s">
        <v>27</v>
      </c>
      <c r="R483" s="6"/>
      <c r="S483" s="6">
        <f t="shared" si="7"/>
        <v>6077.86</v>
      </c>
      <c r="T483" s="6"/>
      <c r="U483" s="6"/>
      <c r="V483" s="6"/>
      <c r="W483" s="6" t="s">
        <v>62</v>
      </c>
      <c r="X483" s="6"/>
      <c r="Y483" s="8" t="s">
        <v>1925</v>
      </c>
      <c r="Z483" s="8" t="s">
        <v>1493</v>
      </c>
      <c r="AA483" s="6" t="s">
        <v>40</v>
      </c>
    </row>
    <row r="484" spans="1:27">
      <c r="A484" s="6">
        <v>483</v>
      </c>
      <c r="B484" s="6"/>
      <c r="C484" s="7">
        <v>46115</v>
      </c>
      <c r="D484" s="6" t="s">
        <v>28</v>
      </c>
      <c r="E484" s="6" t="s">
        <v>1477</v>
      </c>
      <c r="F484" s="6" t="s">
        <v>30</v>
      </c>
      <c r="G484" s="6">
        <v>14</v>
      </c>
      <c r="H484" s="8" t="s">
        <v>600</v>
      </c>
      <c r="I484" s="8" t="s">
        <v>601</v>
      </c>
      <c r="J484" s="8" t="s">
        <v>1926</v>
      </c>
      <c r="K484" s="8" t="s">
        <v>1927</v>
      </c>
      <c r="L484" s="8">
        <v>4574</v>
      </c>
      <c r="M484" s="8">
        <v>4574</v>
      </c>
      <c r="N484" s="7" t="s">
        <v>35</v>
      </c>
      <c r="O484" s="6" t="s">
        <v>35</v>
      </c>
      <c r="P484" s="6" t="s">
        <v>35</v>
      </c>
      <c r="Q484" s="6" t="s">
        <v>27</v>
      </c>
      <c r="R484" s="6"/>
      <c r="S484" s="6">
        <f t="shared" si="7"/>
        <v>4574</v>
      </c>
      <c r="T484" s="6"/>
      <c r="U484" s="6"/>
      <c r="V484" s="6"/>
      <c r="W484" s="6" t="s">
        <v>82</v>
      </c>
      <c r="X484" s="6"/>
      <c r="Y484" s="8" t="s">
        <v>1928</v>
      </c>
      <c r="Z484" s="8" t="s">
        <v>1208</v>
      </c>
      <c r="AA484" s="6" t="s">
        <v>40</v>
      </c>
    </row>
    <row r="485" spans="1:27">
      <c r="A485" s="6">
        <v>484</v>
      </c>
      <c r="B485" s="6"/>
      <c r="C485" s="7">
        <v>46115</v>
      </c>
      <c r="D485" s="6" t="s">
        <v>28</v>
      </c>
      <c r="E485" s="6" t="s">
        <v>1477</v>
      </c>
      <c r="F485" s="6" t="s">
        <v>30</v>
      </c>
      <c r="G485" s="6">
        <v>14</v>
      </c>
      <c r="H485" s="8" t="s">
        <v>1929</v>
      </c>
      <c r="I485" s="8" t="s">
        <v>1930</v>
      </c>
      <c r="J485" s="8" t="s">
        <v>1931</v>
      </c>
      <c r="K485" s="8" t="s">
        <v>1932</v>
      </c>
      <c r="L485" s="8">
        <v>4344.2299999999996</v>
      </c>
      <c r="M485" s="8">
        <v>4344.2299999999996</v>
      </c>
      <c r="N485" s="7" t="s">
        <v>35</v>
      </c>
      <c r="O485" s="6" t="s">
        <v>35</v>
      </c>
      <c r="P485" s="6" t="s">
        <v>35</v>
      </c>
      <c r="Q485" s="6" t="s">
        <v>27</v>
      </c>
      <c r="R485" s="6"/>
      <c r="S485" s="6">
        <f t="shared" si="7"/>
        <v>4344.2299999999996</v>
      </c>
      <c r="T485" s="6"/>
      <c r="U485" s="6"/>
      <c r="V485" s="6"/>
      <c r="W485" s="6" t="s">
        <v>76</v>
      </c>
      <c r="X485" s="6"/>
      <c r="Y485" s="8" t="s">
        <v>1933</v>
      </c>
      <c r="Z485" s="8" t="s">
        <v>1682</v>
      </c>
      <c r="AA485" s="6" t="s">
        <v>40</v>
      </c>
    </row>
    <row r="486" spans="1:27">
      <c r="A486" s="6">
        <v>485</v>
      </c>
      <c r="B486" s="6"/>
      <c r="C486" s="7">
        <v>46115</v>
      </c>
      <c r="D486" s="6" t="s">
        <v>28</v>
      </c>
      <c r="E486" s="6" t="s">
        <v>1477</v>
      </c>
      <c r="F486" s="6" t="s">
        <v>30</v>
      </c>
      <c r="G486" s="6">
        <v>14</v>
      </c>
      <c r="H486" s="8" t="s">
        <v>508</v>
      </c>
      <c r="I486" s="8" t="s">
        <v>509</v>
      </c>
      <c r="J486" s="8" t="s">
        <v>510</v>
      </c>
      <c r="K486" s="8" t="s">
        <v>511</v>
      </c>
      <c r="L486" s="8">
        <v>4619.4399999999996</v>
      </c>
      <c r="M486" s="8">
        <v>4619.4399999999996</v>
      </c>
      <c r="N486" s="7" t="s">
        <v>35</v>
      </c>
      <c r="O486" s="6" t="s">
        <v>35</v>
      </c>
      <c r="P486" s="6" t="s">
        <v>35</v>
      </c>
      <c r="Q486" s="6" t="s">
        <v>27</v>
      </c>
      <c r="R486" s="6"/>
      <c r="S486" s="6">
        <f t="shared" si="7"/>
        <v>4619.4399999999996</v>
      </c>
      <c r="T486" s="6"/>
      <c r="U486" s="6"/>
      <c r="V486" s="6"/>
      <c r="W486" s="6" t="s">
        <v>69</v>
      </c>
      <c r="X486" s="6"/>
      <c r="Y486" s="8" t="s">
        <v>1934</v>
      </c>
      <c r="Z486" s="8" t="s">
        <v>1493</v>
      </c>
      <c r="AA486" s="6" t="s">
        <v>40</v>
      </c>
    </row>
    <row r="487" spans="1:27">
      <c r="A487" s="6">
        <v>486</v>
      </c>
      <c r="B487" s="6" t="s">
        <v>225</v>
      </c>
      <c r="C487" s="7">
        <v>46116</v>
      </c>
      <c r="D487" s="6" t="s">
        <v>28</v>
      </c>
      <c r="E487" s="6" t="s">
        <v>1477</v>
      </c>
      <c r="F487" s="6" t="s">
        <v>30</v>
      </c>
      <c r="G487" s="6">
        <v>15</v>
      </c>
      <c r="H487" s="8" t="s">
        <v>1935</v>
      </c>
      <c r="I487" s="8" t="s">
        <v>1936</v>
      </c>
      <c r="J487" s="8" t="s">
        <v>1937</v>
      </c>
      <c r="K487" s="8" t="s">
        <v>1938</v>
      </c>
      <c r="L487" s="8">
        <v>3121</v>
      </c>
      <c r="M487" s="8">
        <v>3121</v>
      </c>
      <c r="N487" s="7" t="s">
        <v>35</v>
      </c>
      <c r="O487" s="6" t="s">
        <v>35</v>
      </c>
      <c r="P487" s="6" t="s">
        <v>35</v>
      </c>
      <c r="Q487" s="6" t="s">
        <v>27</v>
      </c>
      <c r="R487" s="6"/>
      <c r="S487" s="6">
        <f t="shared" si="7"/>
        <v>3121</v>
      </c>
      <c r="T487" s="6"/>
      <c r="U487" s="6"/>
      <c r="V487" s="6"/>
      <c r="W487" s="6" t="s">
        <v>103</v>
      </c>
      <c r="X487" s="6"/>
      <c r="Y487" s="8" t="s">
        <v>1939</v>
      </c>
      <c r="Z487" s="8" t="s">
        <v>1577</v>
      </c>
      <c r="AA487" s="6" t="s">
        <v>40</v>
      </c>
    </row>
    <row r="488" spans="1:27">
      <c r="A488" s="6">
        <v>487</v>
      </c>
      <c r="B488" s="6"/>
      <c r="C488" s="7">
        <v>46115</v>
      </c>
      <c r="D488" s="6" t="s">
        <v>28</v>
      </c>
      <c r="E488" s="6" t="s">
        <v>1477</v>
      </c>
      <c r="F488" s="6" t="s">
        <v>30</v>
      </c>
      <c r="G488" s="6">
        <v>14</v>
      </c>
      <c r="H488" s="8" t="s">
        <v>518</v>
      </c>
      <c r="I488" s="8" t="s">
        <v>519</v>
      </c>
      <c r="J488" s="8" t="s">
        <v>520</v>
      </c>
      <c r="K488" s="8"/>
      <c r="L488" s="8">
        <v>4705.6400000000003</v>
      </c>
      <c r="M488" s="8">
        <v>4705.6400000000003</v>
      </c>
      <c r="N488" s="7" t="s">
        <v>35</v>
      </c>
      <c r="O488" s="6" t="s">
        <v>35</v>
      </c>
      <c r="P488" s="6" t="s">
        <v>35</v>
      </c>
      <c r="Q488" s="6" t="s">
        <v>27</v>
      </c>
      <c r="R488" s="6"/>
      <c r="S488" s="6">
        <f t="shared" si="7"/>
        <v>4705.6400000000003</v>
      </c>
      <c r="T488" s="6"/>
      <c r="U488" s="6"/>
      <c r="V488" s="6"/>
      <c r="W488" s="6"/>
      <c r="X488" s="6"/>
      <c r="Y488" s="8" t="s">
        <v>1940</v>
      </c>
      <c r="Z488" s="8" t="s">
        <v>522</v>
      </c>
      <c r="AA488" s="6" t="s">
        <v>40</v>
      </c>
    </row>
    <row r="489" spans="1:27">
      <c r="A489" s="6">
        <v>488</v>
      </c>
      <c r="B489" s="6"/>
      <c r="C489" s="7">
        <v>46115</v>
      </c>
      <c r="D489" s="6" t="s">
        <v>28</v>
      </c>
      <c r="E489" s="6" t="s">
        <v>1477</v>
      </c>
      <c r="F489" s="6" t="s">
        <v>30</v>
      </c>
      <c r="G489" s="6">
        <v>14</v>
      </c>
      <c r="H489" s="8" t="s">
        <v>1941</v>
      </c>
      <c r="I489" s="8" t="s">
        <v>1942</v>
      </c>
      <c r="J489" s="8" t="s">
        <v>1943</v>
      </c>
      <c r="K489" s="8" t="s">
        <v>1944</v>
      </c>
      <c r="L489" s="8">
        <v>3174.97</v>
      </c>
      <c r="M489" s="8">
        <v>3174.97</v>
      </c>
      <c r="N489" s="7" t="s">
        <v>35</v>
      </c>
      <c r="O489" s="6" t="s">
        <v>35</v>
      </c>
      <c r="P489" s="6" t="s">
        <v>35</v>
      </c>
      <c r="Q489" s="6" t="s">
        <v>27</v>
      </c>
      <c r="R489" s="6"/>
      <c r="S489" s="6">
        <f t="shared" si="7"/>
        <v>3174.97</v>
      </c>
      <c r="T489" s="6"/>
      <c r="U489" s="6"/>
      <c r="V489" s="6"/>
      <c r="W489" s="6" t="s">
        <v>45</v>
      </c>
      <c r="X489" s="6"/>
      <c r="Y489" s="8" t="s">
        <v>1945</v>
      </c>
      <c r="Z489" s="8" t="s">
        <v>1541</v>
      </c>
      <c r="AA489" s="6" t="s">
        <v>40</v>
      </c>
    </row>
    <row r="490" spans="1:27">
      <c r="A490" s="6">
        <v>489</v>
      </c>
      <c r="B490" s="6" t="s">
        <v>225</v>
      </c>
      <c r="C490" s="7">
        <v>46116</v>
      </c>
      <c r="D490" s="6" t="s">
        <v>28</v>
      </c>
      <c r="E490" s="6" t="s">
        <v>1477</v>
      </c>
      <c r="F490" s="6" t="s">
        <v>30</v>
      </c>
      <c r="G490" s="6">
        <v>15</v>
      </c>
      <c r="H490" s="8" t="s">
        <v>1946</v>
      </c>
      <c r="I490" s="8" t="s">
        <v>1947</v>
      </c>
      <c r="J490" s="8" t="s">
        <v>1948</v>
      </c>
      <c r="K490" s="8" t="s">
        <v>1949</v>
      </c>
      <c r="L490" s="8">
        <v>2502</v>
      </c>
      <c r="M490" s="8">
        <v>2502</v>
      </c>
      <c r="N490" s="7" t="s">
        <v>35</v>
      </c>
      <c r="O490" s="6" t="s">
        <v>35</v>
      </c>
      <c r="P490" s="6" t="s">
        <v>35</v>
      </c>
      <c r="Q490" s="6" t="s">
        <v>27</v>
      </c>
      <c r="R490" s="6"/>
      <c r="S490" s="6">
        <f t="shared" si="7"/>
        <v>2502</v>
      </c>
      <c r="T490" s="6"/>
      <c r="U490" s="6"/>
      <c r="V490" s="6"/>
      <c r="W490" s="6" t="s">
        <v>526</v>
      </c>
      <c r="X490" s="6"/>
      <c r="Y490" s="8" t="s">
        <v>1950</v>
      </c>
      <c r="Z490" s="8" t="s">
        <v>1555</v>
      </c>
      <c r="AA490" s="6" t="s">
        <v>40</v>
      </c>
    </row>
    <row r="491" spans="1:27">
      <c r="A491" s="6">
        <v>490</v>
      </c>
      <c r="B491" s="6" t="s">
        <v>225</v>
      </c>
      <c r="C491" s="7">
        <v>46116</v>
      </c>
      <c r="D491" s="6" t="s">
        <v>28</v>
      </c>
      <c r="E491" s="6" t="s">
        <v>1477</v>
      </c>
      <c r="F491" s="6" t="s">
        <v>30</v>
      </c>
      <c r="G491" s="6">
        <v>15</v>
      </c>
      <c r="H491" s="8" t="s">
        <v>533</v>
      </c>
      <c r="I491" s="8" t="s">
        <v>534</v>
      </c>
      <c r="J491" s="8" t="s">
        <v>535</v>
      </c>
      <c r="K491" s="8" t="s">
        <v>536</v>
      </c>
      <c r="L491" s="8">
        <v>3892</v>
      </c>
      <c r="M491" s="8">
        <v>3892</v>
      </c>
      <c r="N491" s="7" t="s">
        <v>35</v>
      </c>
      <c r="O491" s="6" t="s">
        <v>35</v>
      </c>
      <c r="P491" s="6" t="s">
        <v>35</v>
      </c>
      <c r="Q491" s="6" t="s">
        <v>27</v>
      </c>
      <c r="R491" s="6"/>
      <c r="S491" s="6">
        <f t="shared" si="7"/>
        <v>3892</v>
      </c>
      <c r="T491" s="6"/>
      <c r="U491" s="6"/>
      <c r="V491" s="6"/>
      <c r="W491" s="6" t="s">
        <v>103</v>
      </c>
      <c r="X491" s="6"/>
      <c r="Y491" s="8" t="s">
        <v>1951</v>
      </c>
      <c r="Z491" s="8" t="s">
        <v>1541</v>
      </c>
      <c r="AA491" s="6" t="s">
        <v>40</v>
      </c>
    </row>
    <row r="492" spans="1:27">
      <c r="A492" s="6">
        <v>491</v>
      </c>
      <c r="B492" s="6"/>
      <c r="C492" s="7">
        <v>46115</v>
      </c>
      <c r="D492" s="6" t="s">
        <v>28</v>
      </c>
      <c r="E492" s="6" t="s">
        <v>1477</v>
      </c>
      <c r="F492" s="6" t="s">
        <v>30</v>
      </c>
      <c r="G492" s="6">
        <v>14</v>
      </c>
      <c r="H492" s="8" t="s">
        <v>1952</v>
      </c>
      <c r="I492" s="8" t="s">
        <v>1953</v>
      </c>
      <c r="J492" s="8" t="s">
        <v>1954</v>
      </c>
      <c r="K492" s="8" t="s">
        <v>1955</v>
      </c>
      <c r="L492" s="8">
        <v>2634.84</v>
      </c>
      <c r="M492" s="8">
        <v>2634.84</v>
      </c>
      <c r="N492" s="7" t="s">
        <v>35</v>
      </c>
      <c r="O492" s="6" t="s">
        <v>35</v>
      </c>
      <c r="P492" s="6" t="s">
        <v>35</v>
      </c>
      <c r="Q492" s="6" t="s">
        <v>27</v>
      </c>
      <c r="R492" s="6"/>
      <c r="S492" s="6">
        <f t="shared" si="7"/>
        <v>2634.84</v>
      </c>
      <c r="T492" s="6"/>
      <c r="U492" s="6"/>
      <c r="V492" s="6"/>
      <c r="W492" s="6" t="s">
        <v>526</v>
      </c>
      <c r="X492" s="6"/>
      <c r="Y492" s="8" t="s">
        <v>1956</v>
      </c>
      <c r="Z492" s="8" t="s">
        <v>1577</v>
      </c>
      <c r="AA492" s="6" t="s">
        <v>40</v>
      </c>
    </row>
    <row r="493" spans="1:27">
      <c r="A493" s="6">
        <v>492</v>
      </c>
      <c r="B493" s="6" t="s">
        <v>225</v>
      </c>
      <c r="C493" s="7">
        <v>46116</v>
      </c>
      <c r="D493" s="6" t="s">
        <v>28</v>
      </c>
      <c r="E493" s="6" t="s">
        <v>1477</v>
      </c>
      <c r="F493" s="6" t="s">
        <v>30</v>
      </c>
      <c r="G493" s="6">
        <v>15</v>
      </c>
      <c r="H493" s="8" t="s">
        <v>1957</v>
      </c>
      <c r="I493" s="8" t="s">
        <v>1958</v>
      </c>
      <c r="J493" s="8" t="s">
        <v>1959</v>
      </c>
      <c r="K493" s="8" t="s">
        <v>1960</v>
      </c>
      <c r="L493" s="8">
        <v>3855.48</v>
      </c>
      <c r="M493" s="8">
        <v>1836</v>
      </c>
      <c r="N493" s="7" t="s">
        <v>35</v>
      </c>
      <c r="O493" s="6" t="s">
        <v>35</v>
      </c>
      <c r="P493" s="6" t="s">
        <v>35</v>
      </c>
      <c r="Q493" s="6" t="s">
        <v>27</v>
      </c>
      <c r="R493" s="6"/>
      <c r="S493" s="6">
        <f t="shared" si="7"/>
        <v>1836</v>
      </c>
      <c r="T493" s="6"/>
      <c r="U493" s="6"/>
      <c r="V493" s="6"/>
      <c r="W493" s="6" t="s">
        <v>444</v>
      </c>
      <c r="X493" s="6"/>
      <c r="Y493" s="8" t="s">
        <v>1961</v>
      </c>
      <c r="Z493" s="8" t="s">
        <v>1486</v>
      </c>
      <c r="AA493" s="6" t="s">
        <v>40</v>
      </c>
    </row>
    <row r="494" spans="1:27">
      <c r="A494" s="6">
        <v>493</v>
      </c>
      <c r="B494" s="6"/>
      <c r="C494" s="7">
        <v>46115</v>
      </c>
      <c r="D494" s="6" t="s">
        <v>28</v>
      </c>
      <c r="E494" s="6" t="s">
        <v>1477</v>
      </c>
      <c r="F494" s="6" t="s">
        <v>30</v>
      </c>
      <c r="G494" s="6">
        <v>14</v>
      </c>
      <c r="H494" s="8" t="s">
        <v>1962</v>
      </c>
      <c r="I494" s="8" t="s">
        <v>1963</v>
      </c>
      <c r="J494" s="8" t="s">
        <v>1964</v>
      </c>
      <c r="K494" s="8" t="s">
        <v>1965</v>
      </c>
      <c r="L494" s="8">
        <v>2612.89</v>
      </c>
      <c r="M494" s="8">
        <v>2612.89</v>
      </c>
      <c r="N494" s="7" t="s">
        <v>35</v>
      </c>
      <c r="O494" s="6" t="s">
        <v>35</v>
      </c>
      <c r="P494" s="6" t="s">
        <v>35</v>
      </c>
      <c r="Q494" s="6" t="s">
        <v>27</v>
      </c>
      <c r="R494" s="6"/>
      <c r="S494" s="6">
        <f t="shared" si="7"/>
        <v>2612.89</v>
      </c>
      <c r="T494" s="6"/>
      <c r="U494" s="6"/>
      <c r="V494" s="6"/>
      <c r="W494" s="6" t="s">
        <v>89</v>
      </c>
      <c r="X494" s="6"/>
      <c r="Y494" s="8" t="s">
        <v>1966</v>
      </c>
      <c r="Z494" s="8" t="s">
        <v>1483</v>
      </c>
      <c r="AA494" s="6" t="s">
        <v>40</v>
      </c>
    </row>
    <row r="495" spans="1:27">
      <c r="A495" s="6">
        <v>494</v>
      </c>
      <c r="B495" s="6"/>
      <c r="C495" s="7">
        <v>46115</v>
      </c>
      <c r="D495" s="6" t="s">
        <v>28</v>
      </c>
      <c r="E495" s="6" t="s">
        <v>1477</v>
      </c>
      <c r="F495" s="6" t="s">
        <v>30</v>
      </c>
      <c r="G495" s="6">
        <v>14</v>
      </c>
      <c r="H495" s="8" t="s">
        <v>577</v>
      </c>
      <c r="I495" s="8" t="s">
        <v>578</v>
      </c>
      <c r="J495" s="8" t="s">
        <v>579</v>
      </c>
      <c r="K495" s="8" t="s">
        <v>580</v>
      </c>
      <c r="L495" s="8">
        <v>3539.75</v>
      </c>
      <c r="M495" s="8">
        <v>3539.75</v>
      </c>
      <c r="N495" s="7" t="s">
        <v>35</v>
      </c>
      <c r="O495" s="6" t="s">
        <v>35</v>
      </c>
      <c r="P495" s="6" t="s">
        <v>35</v>
      </c>
      <c r="Q495" s="6" t="s">
        <v>27</v>
      </c>
      <c r="R495" s="6"/>
      <c r="S495" s="6">
        <f t="shared" si="7"/>
        <v>3539.75</v>
      </c>
      <c r="T495" s="6"/>
      <c r="U495" s="6"/>
      <c r="V495" s="6"/>
      <c r="W495" s="6" t="s">
        <v>76</v>
      </c>
      <c r="X495" s="6"/>
      <c r="Y495" s="8" t="s">
        <v>1967</v>
      </c>
      <c r="Z495" s="8" t="s">
        <v>1493</v>
      </c>
      <c r="AA495" s="6" t="s">
        <v>40</v>
      </c>
    </row>
    <row r="496" spans="1:27">
      <c r="A496" s="6">
        <v>495</v>
      </c>
      <c r="B496" s="6"/>
      <c r="C496" s="7">
        <v>46115</v>
      </c>
      <c r="D496" s="6" t="s">
        <v>28</v>
      </c>
      <c r="E496" s="6" t="s">
        <v>1477</v>
      </c>
      <c r="F496" s="6" t="s">
        <v>30</v>
      </c>
      <c r="G496" s="6">
        <v>14</v>
      </c>
      <c r="H496" s="8" t="s">
        <v>1968</v>
      </c>
      <c r="I496" s="8" t="s">
        <v>1969</v>
      </c>
      <c r="J496" s="8" t="s">
        <v>1970</v>
      </c>
      <c r="K496" s="8" t="s">
        <v>1971</v>
      </c>
      <c r="L496" s="8">
        <v>2042.88</v>
      </c>
      <c r="M496" s="8">
        <v>2042.88</v>
      </c>
      <c r="N496" s="7" t="s">
        <v>35</v>
      </c>
      <c r="O496" s="6" t="s">
        <v>35</v>
      </c>
      <c r="P496" s="6" t="s">
        <v>35</v>
      </c>
      <c r="Q496" s="6" t="s">
        <v>27</v>
      </c>
      <c r="R496" s="6"/>
      <c r="S496" s="6">
        <f t="shared" si="7"/>
        <v>2042.88</v>
      </c>
      <c r="T496" s="6"/>
      <c r="U496" s="6"/>
      <c r="V496" s="6"/>
      <c r="W496" s="6" t="s">
        <v>460</v>
      </c>
      <c r="X496" s="6"/>
      <c r="Y496" s="8" t="s">
        <v>1972</v>
      </c>
      <c r="Z496" s="8" t="s">
        <v>1973</v>
      </c>
      <c r="AA496" s="6" t="s">
        <v>40</v>
      </c>
    </row>
    <row r="497" spans="1:27">
      <c r="A497" s="6">
        <v>496</v>
      </c>
      <c r="B497" s="6"/>
      <c r="C497" s="7">
        <v>46115</v>
      </c>
      <c r="D497" s="6" t="s">
        <v>28</v>
      </c>
      <c r="E497" s="6" t="s">
        <v>1477</v>
      </c>
      <c r="F497" s="6" t="s">
        <v>30</v>
      </c>
      <c r="G497" s="6">
        <v>14</v>
      </c>
      <c r="H497" s="8" t="s">
        <v>1974</v>
      </c>
      <c r="I497" s="8" t="s">
        <v>1975</v>
      </c>
      <c r="J497" s="8" t="s">
        <v>1976</v>
      </c>
      <c r="K497" s="8" t="s">
        <v>1977</v>
      </c>
      <c r="L497" s="8">
        <v>1805.24</v>
      </c>
      <c r="M497" s="8">
        <v>1805.24</v>
      </c>
      <c r="N497" s="7" t="s">
        <v>35</v>
      </c>
      <c r="O497" s="6" t="s">
        <v>35</v>
      </c>
      <c r="P497" s="6" t="s">
        <v>35</v>
      </c>
      <c r="Q497" s="6" t="s">
        <v>27</v>
      </c>
      <c r="R497" s="6"/>
      <c r="S497" s="6">
        <f t="shared" si="7"/>
        <v>1805.24</v>
      </c>
      <c r="T497" s="6"/>
      <c r="U497" s="6"/>
      <c r="V497" s="6"/>
      <c r="W497" s="6" t="s">
        <v>460</v>
      </c>
      <c r="X497" s="6"/>
      <c r="Y497" s="8" t="s">
        <v>1978</v>
      </c>
      <c r="Z497" s="8" t="s">
        <v>235</v>
      </c>
      <c r="AA497" s="6" t="s">
        <v>40</v>
      </c>
    </row>
    <row r="498" spans="1:27">
      <c r="A498" s="6">
        <v>497</v>
      </c>
      <c r="B498" s="6"/>
      <c r="C498" s="7">
        <v>46115</v>
      </c>
      <c r="D498" s="6" t="s">
        <v>28</v>
      </c>
      <c r="E498" s="6" t="s">
        <v>1477</v>
      </c>
      <c r="F498" s="6" t="s">
        <v>30</v>
      </c>
      <c r="G498" s="6">
        <v>14</v>
      </c>
      <c r="H498" s="8" t="s">
        <v>1897</v>
      </c>
      <c r="I498" s="8" t="s">
        <v>1898</v>
      </c>
      <c r="J498" s="8" t="s">
        <v>1979</v>
      </c>
      <c r="K498" s="8"/>
      <c r="L498" s="8">
        <v>1833.61</v>
      </c>
      <c r="M498" s="8">
        <v>1833.61</v>
      </c>
      <c r="N498" s="7" t="s">
        <v>35</v>
      </c>
      <c r="O498" s="6" t="s">
        <v>35</v>
      </c>
      <c r="P498" s="6" t="s">
        <v>35</v>
      </c>
      <c r="Q498" s="6" t="s">
        <v>27</v>
      </c>
      <c r="R498" s="6"/>
      <c r="S498" s="6">
        <f t="shared" si="7"/>
        <v>1833.61</v>
      </c>
      <c r="T498" s="6"/>
      <c r="U498" s="6"/>
      <c r="V498" s="6"/>
      <c r="W498" s="6" t="s">
        <v>82</v>
      </c>
      <c r="X498" s="6"/>
      <c r="Y498" s="8" t="s">
        <v>1901</v>
      </c>
      <c r="Z498" s="8" t="s">
        <v>1336</v>
      </c>
      <c r="AA498" s="6" t="s">
        <v>40</v>
      </c>
    </row>
    <row r="499" spans="1:27">
      <c r="A499" s="6">
        <v>498</v>
      </c>
      <c r="B499" s="6" t="s">
        <v>225</v>
      </c>
      <c r="C499" s="7">
        <v>46116</v>
      </c>
      <c r="D499" s="6" t="s">
        <v>28</v>
      </c>
      <c r="E499" s="6" t="s">
        <v>1477</v>
      </c>
      <c r="F499" s="6" t="s">
        <v>30</v>
      </c>
      <c r="G499" s="6">
        <v>15</v>
      </c>
      <c r="H499" s="8" t="s">
        <v>1980</v>
      </c>
      <c r="I499" s="8" t="s">
        <v>1981</v>
      </c>
      <c r="J499" s="8" t="s">
        <v>1982</v>
      </c>
      <c r="K499" s="8" t="s">
        <v>1983</v>
      </c>
      <c r="L499" s="8">
        <v>1940</v>
      </c>
      <c r="M499" s="8">
        <v>1940</v>
      </c>
      <c r="N499" s="7" t="s">
        <v>35</v>
      </c>
      <c r="O499" s="6" t="s">
        <v>35</v>
      </c>
      <c r="P499" s="6" t="s">
        <v>35</v>
      </c>
      <c r="Q499" s="6" t="s">
        <v>27</v>
      </c>
      <c r="R499" s="6"/>
      <c r="S499" s="6">
        <f t="shared" si="7"/>
        <v>1940</v>
      </c>
      <c r="T499" s="6"/>
      <c r="U499" s="6"/>
      <c r="V499" s="6"/>
      <c r="W499" s="6" t="s">
        <v>124</v>
      </c>
      <c r="X499" s="6"/>
      <c r="Y499" s="8" t="s">
        <v>1984</v>
      </c>
      <c r="Z499" s="8" t="s">
        <v>1483</v>
      </c>
      <c r="AA499" s="6" t="s">
        <v>40</v>
      </c>
    </row>
    <row r="500" spans="1:27">
      <c r="A500" s="6">
        <v>499</v>
      </c>
      <c r="B500" s="6"/>
      <c r="C500" s="7">
        <v>46115</v>
      </c>
      <c r="D500" s="6" t="s">
        <v>28</v>
      </c>
      <c r="E500" s="6" t="s">
        <v>1477</v>
      </c>
      <c r="F500" s="6" t="s">
        <v>30</v>
      </c>
      <c r="G500" s="6">
        <v>14</v>
      </c>
      <c r="H500" s="8" t="s">
        <v>1985</v>
      </c>
      <c r="I500" s="8" t="s">
        <v>1986</v>
      </c>
      <c r="J500" s="8" t="s">
        <v>1987</v>
      </c>
      <c r="K500" s="8" t="s">
        <v>1988</v>
      </c>
      <c r="L500" s="8">
        <v>1462.76</v>
      </c>
      <c r="M500" s="8">
        <v>1462.76</v>
      </c>
      <c r="N500" s="7" t="s">
        <v>35</v>
      </c>
      <c r="O500" s="6" t="s">
        <v>35</v>
      </c>
      <c r="P500" s="6" t="s">
        <v>35</v>
      </c>
      <c r="Q500" s="6" t="s">
        <v>27</v>
      </c>
      <c r="R500" s="6"/>
      <c r="S500" s="6">
        <f t="shared" si="7"/>
        <v>1462.76</v>
      </c>
      <c r="T500" s="6"/>
      <c r="U500" s="6"/>
      <c r="V500" s="6"/>
      <c r="W500" s="6" t="s">
        <v>444</v>
      </c>
      <c r="X500" s="6"/>
      <c r="Y500" s="8" t="s">
        <v>1989</v>
      </c>
      <c r="Z500" s="8" t="s">
        <v>235</v>
      </c>
      <c r="AA500" s="6" t="s">
        <v>40</v>
      </c>
    </row>
    <row r="501" spans="1:27">
      <c r="A501" s="6">
        <v>500</v>
      </c>
      <c r="B501" s="6"/>
      <c r="C501" s="7">
        <v>46115</v>
      </c>
      <c r="D501" s="6" t="s">
        <v>28</v>
      </c>
      <c r="E501" s="6" t="s">
        <v>1477</v>
      </c>
      <c r="F501" s="6" t="s">
        <v>30</v>
      </c>
      <c r="G501" s="6">
        <v>14</v>
      </c>
      <c r="H501" s="8" t="s">
        <v>440</v>
      </c>
      <c r="I501" s="8" t="s">
        <v>441</v>
      </c>
      <c r="J501" s="8" t="s">
        <v>442</v>
      </c>
      <c r="K501" s="8" t="s">
        <v>443</v>
      </c>
      <c r="L501" s="8">
        <v>1549.4</v>
      </c>
      <c r="M501" s="8">
        <v>1549.4</v>
      </c>
      <c r="N501" s="7" t="s">
        <v>35</v>
      </c>
      <c r="O501" s="6" t="s">
        <v>35</v>
      </c>
      <c r="P501" s="6" t="s">
        <v>35</v>
      </c>
      <c r="Q501" s="6" t="s">
        <v>27</v>
      </c>
      <c r="R501" s="6"/>
      <c r="S501" s="6">
        <f t="shared" si="7"/>
        <v>1549.4</v>
      </c>
      <c r="T501" s="6"/>
      <c r="U501" s="6"/>
      <c r="V501" s="6"/>
      <c r="W501" s="6" t="s">
        <v>444</v>
      </c>
      <c r="X501" s="6"/>
      <c r="Y501" s="8" t="s">
        <v>1990</v>
      </c>
      <c r="Z501" s="8" t="s">
        <v>1493</v>
      </c>
      <c r="AA501" s="6" t="s">
        <v>40</v>
      </c>
    </row>
    <row r="502" spans="1:27">
      <c r="A502" s="6">
        <v>501</v>
      </c>
      <c r="B502" s="6" t="s">
        <v>225</v>
      </c>
      <c r="C502" s="7">
        <v>46116</v>
      </c>
      <c r="D502" s="6" t="s">
        <v>28</v>
      </c>
      <c r="E502" s="6" t="s">
        <v>1477</v>
      </c>
      <c r="F502" s="6" t="s">
        <v>30</v>
      </c>
      <c r="G502" s="6">
        <v>15</v>
      </c>
      <c r="H502" s="8" t="s">
        <v>1991</v>
      </c>
      <c r="I502" s="8" t="s">
        <v>1992</v>
      </c>
      <c r="J502" s="8" t="s">
        <v>1993</v>
      </c>
      <c r="K502" s="8" t="s">
        <v>1994</v>
      </c>
      <c r="L502" s="8">
        <v>1152.6400000000001</v>
      </c>
      <c r="M502" s="8">
        <v>1156</v>
      </c>
      <c r="N502" s="7" t="s">
        <v>35</v>
      </c>
      <c r="O502" s="6" t="s">
        <v>35</v>
      </c>
      <c r="P502" s="6" t="s">
        <v>35</v>
      </c>
      <c r="Q502" s="6" t="s">
        <v>27</v>
      </c>
      <c r="R502" s="6"/>
      <c r="S502" s="6">
        <f t="shared" si="7"/>
        <v>1156</v>
      </c>
      <c r="T502" s="6"/>
      <c r="U502" s="6"/>
      <c r="V502" s="6"/>
      <c r="W502" s="6" t="s">
        <v>89</v>
      </c>
      <c r="X502" s="6"/>
      <c r="Y502" s="8" t="s">
        <v>1995</v>
      </c>
      <c r="Z502" s="8" t="s">
        <v>1539</v>
      </c>
      <c r="AA502" s="6" t="s">
        <v>40</v>
      </c>
    </row>
    <row r="503" spans="1:27">
      <c r="A503" s="6">
        <v>502</v>
      </c>
      <c r="B503" s="6"/>
      <c r="C503" s="7">
        <v>46115</v>
      </c>
      <c r="D503" s="6" t="s">
        <v>28</v>
      </c>
      <c r="E503" s="6" t="s">
        <v>1477</v>
      </c>
      <c r="F503" s="6" t="s">
        <v>30</v>
      </c>
      <c r="G503" s="6">
        <v>14</v>
      </c>
      <c r="H503" s="8" t="s">
        <v>1996</v>
      </c>
      <c r="I503" s="8" t="s">
        <v>1997</v>
      </c>
      <c r="J503" s="8" t="s">
        <v>1998</v>
      </c>
      <c r="K503" s="8" t="s">
        <v>1999</v>
      </c>
      <c r="L503" s="8">
        <v>2283.65</v>
      </c>
      <c r="M503" s="8">
        <v>2283.65</v>
      </c>
      <c r="N503" s="7" t="s">
        <v>35</v>
      </c>
      <c r="O503" s="6" t="s">
        <v>35</v>
      </c>
      <c r="P503" s="6" t="s">
        <v>35</v>
      </c>
      <c r="Q503" s="6" t="s">
        <v>27</v>
      </c>
      <c r="R503" s="6"/>
      <c r="S503" s="6">
        <f t="shared" si="7"/>
        <v>2283.65</v>
      </c>
      <c r="T503" s="6"/>
      <c r="U503" s="6"/>
      <c r="V503" s="6"/>
      <c r="W503" s="6" t="s">
        <v>444</v>
      </c>
      <c r="X503" s="6"/>
      <c r="Y503" s="8" t="s">
        <v>2000</v>
      </c>
      <c r="Z503" s="8" t="s">
        <v>235</v>
      </c>
      <c r="AA503" s="6" t="s">
        <v>40</v>
      </c>
    </row>
    <row r="504" spans="1:27">
      <c r="A504" s="6">
        <v>503</v>
      </c>
      <c r="B504" s="6" t="s">
        <v>225</v>
      </c>
      <c r="C504" s="7">
        <v>46116</v>
      </c>
      <c r="D504" s="6" t="s">
        <v>28</v>
      </c>
      <c r="E504" s="6" t="s">
        <v>1477</v>
      </c>
      <c r="F504" s="6" t="s">
        <v>30</v>
      </c>
      <c r="G504" s="6">
        <v>15</v>
      </c>
      <c r="H504" s="8" t="s">
        <v>2001</v>
      </c>
      <c r="I504" s="8" t="s">
        <v>2002</v>
      </c>
      <c r="J504" s="8" t="s">
        <v>2003</v>
      </c>
      <c r="K504" s="8" t="s">
        <v>2004</v>
      </c>
      <c r="L504" s="8">
        <v>1946</v>
      </c>
      <c r="M504" s="8">
        <v>1946</v>
      </c>
      <c r="N504" s="7" t="s">
        <v>35</v>
      </c>
      <c r="O504" s="6" t="s">
        <v>35</v>
      </c>
      <c r="P504" s="6" t="s">
        <v>35</v>
      </c>
      <c r="Q504" s="6" t="s">
        <v>27</v>
      </c>
      <c r="R504" s="6"/>
      <c r="S504" s="6">
        <f t="shared" si="7"/>
        <v>1946</v>
      </c>
      <c r="T504" s="6"/>
      <c r="U504" s="6"/>
      <c r="V504" s="6"/>
      <c r="W504" s="6" t="s">
        <v>410</v>
      </c>
      <c r="X504" s="6"/>
      <c r="Y504" s="8" t="s">
        <v>2005</v>
      </c>
      <c r="Z504" s="8" t="s">
        <v>1336</v>
      </c>
      <c r="AA504" s="6" t="s">
        <v>40</v>
      </c>
    </row>
    <row r="505" spans="1:27">
      <c r="A505" s="6">
        <v>504</v>
      </c>
      <c r="B505" s="6"/>
      <c r="C505" s="7">
        <v>46115</v>
      </c>
      <c r="D505" s="6" t="s">
        <v>28</v>
      </c>
      <c r="E505" s="6" t="s">
        <v>1477</v>
      </c>
      <c r="F505" s="6" t="s">
        <v>30</v>
      </c>
      <c r="G505" s="6">
        <v>14</v>
      </c>
      <c r="H505" s="8" t="s">
        <v>2006</v>
      </c>
      <c r="I505" s="8" t="s">
        <v>2007</v>
      </c>
      <c r="J505" s="8" t="s">
        <v>2008</v>
      </c>
      <c r="K505" s="8" t="s">
        <v>2009</v>
      </c>
      <c r="L505" s="8">
        <v>1038.5999999999999</v>
      </c>
      <c r="M505" s="8">
        <v>1038.5999999999999</v>
      </c>
      <c r="N505" s="7" t="s">
        <v>35</v>
      </c>
      <c r="O505" s="6" t="s">
        <v>35</v>
      </c>
      <c r="P505" s="6" t="s">
        <v>35</v>
      </c>
      <c r="Q505" s="6" t="s">
        <v>27</v>
      </c>
      <c r="R505" s="6"/>
      <c r="S505" s="6">
        <f t="shared" si="7"/>
        <v>1038.5999999999999</v>
      </c>
      <c r="T505" s="6"/>
      <c r="U505" s="6"/>
      <c r="V505" s="6"/>
      <c r="W505" s="6" t="s">
        <v>117</v>
      </c>
      <c r="X505" s="6"/>
      <c r="Y505" s="8" t="s">
        <v>2010</v>
      </c>
      <c r="Z505" s="8" t="s">
        <v>1500</v>
      </c>
      <c r="AA505" s="6" t="s">
        <v>40</v>
      </c>
    </row>
    <row r="506" spans="1:27">
      <c r="A506" s="6">
        <v>505</v>
      </c>
      <c r="B506" s="6"/>
      <c r="C506" s="7">
        <v>46115</v>
      </c>
      <c r="D506" s="6" t="s">
        <v>28</v>
      </c>
      <c r="E506" s="6" t="s">
        <v>1477</v>
      </c>
      <c r="F506" s="6" t="s">
        <v>30</v>
      </c>
      <c r="G506" s="6">
        <v>14</v>
      </c>
      <c r="H506" s="8" t="s">
        <v>2011</v>
      </c>
      <c r="I506" s="8" t="s">
        <v>2012</v>
      </c>
      <c r="J506" s="8" t="s">
        <v>2013</v>
      </c>
      <c r="K506" s="8" t="s">
        <v>2014</v>
      </c>
      <c r="L506" s="8">
        <v>693.73</v>
      </c>
      <c r="M506" s="8">
        <v>693.73</v>
      </c>
      <c r="N506" s="7" t="s">
        <v>35</v>
      </c>
      <c r="O506" s="6" t="s">
        <v>35</v>
      </c>
      <c r="P506" s="6" t="s">
        <v>35</v>
      </c>
      <c r="Q506" s="6" t="s">
        <v>27</v>
      </c>
      <c r="R506" s="6"/>
      <c r="S506" s="6">
        <f t="shared" si="7"/>
        <v>693.73</v>
      </c>
      <c r="T506" s="6"/>
      <c r="U506" s="6"/>
      <c r="V506" s="6"/>
      <c r="W506" s="6" t="s">
        <v>103</v>
      </c>
      <c r="X506" s="6"/>
      <c r="Y506" s="8" t="s">
        <v>2015</v>
      </c>
      <c r="Z506" s="8" t="s">
        <v>1539</v>
      </c>
      <c r="AA506" s="6" t="s">
        <v>40</v>
      </c>
    </row>
    <row r="507" spans="1:27">
      <c r="A507" s="6">
        <v>506</v>
      </c>
      <c r="B507" s="6"/>
      <c r="C507" s="7">
        <v>46115</v>
      </c>
      <c r="D507" s="6" t="s">
        <v>28</v>
      </c>
      <c r="E507" s="6" t="s">
        <v>1477</v>
      </c>
      <c r="F507" s="6" t="s">
        <v>30</v>
      </c>
      <c r="G507" s="6">
        <v>14</v>
      </c>
      <c r="H507" s="8" t="s">
        <v>2016</v>
      </c>
      <c r="I507" s="8" t="s">
        <v>2017</v>
      </c>
      <c r="J507" s="8" t="s">
        <v>2018</v>
      </c>
      <c r="K507" s="8" t="s">
        <v>2019</v>
      </c>
      <c r="L507" s="8">
        <v>641.73</v>
      </c>
      <c r="M507" s="8">
        <v>641.73</v>
      </c>
      <c r="N507" s="7" t="s">
        <v>35</v>
      </c>
      <c r="O507" s="6" t="s">
        <v>35</v>
      </c>
      <c r="P507" s="6" t="s">
        <v>35</v>
      </c>
      <c r="Q507" s="6" t="s">
        <v>27</v>
      </c>
      <c r="R507" s="6"/>
      <c r="S507" s="6">
        <f t="shared" si="7"/>
        <v>641.73</v>
      </c>
      <c r="T507" s="6"/>
      <c r="U507" s="6"/>
      <c r="V507" s="6"/>
      <c r="W507" s="6" t="s">
        <v>444</v>
      </c>
      <c r="X507" s="6"/>
      <c r="Y507" s="8" t="s">
        <v>2020</v>
      </c>
      <c r="Z507" s="8" t="s">
        <v>1500</v>
      </c>
      <c r="AA507" s="6" t="s">
        <v>40</v>
      </c>
    </row>
    <row r="508" spans="1:27">
      <c r="A508" s="6">
        <v>507</v>
      </c>
      <c r="B508" s="6" t="s">
        <v>225</v>
      </c>
      <c r="C508" s="7">
        <v>46116</v>
      </c>
      <c r="D508" s="6" t="s">
        <v>28</v>
      </c>
      <c r="E508" s="6" t="s">
        <v>1477</v>
      </c>
      <c r="F508" s="6" t="s">
        <v>30</v>
      </c>
      <c r="G508" s="6">
        <v>15</v>
      </c>
      <c r="H508" s="8" t="s">
        <v>2021</v>
      </c>
      <c r="I508" s="8" t="s">
        <v>2022</v>
      </c>
      <c r="J508" s="8" t="s">
        <v>2023</v>
      </c>
      <c r="K508" s="8" t="s">
        <v>2024</v>
      </c>
      <c r="L508" s="8">
        <v>1993.54</v>
      </c>
      <c r="M508" s="8">
        <v>475</v>
      </c>
      <c r="N508" s="7" t="s">
        <v>35</v>
      </c>
      <c r="O508" s="6" t="s">
        <v>35</v>
      </c>
      <c r="P508" s="6" t="s">
        <v>35</v>
      </c>
      <c r="Q508" s="6" t="s">
        <v>27</v>
      </c>
      <c r="R508" s="6"/>
      <c r="S508" s="6">
        <f t="shared" si="7"/>
        <v>475</v>
      </c>
      <c r="T508" s="6"/>
      <c r="U508" s="6"/>
      <c r="V508" s="6"/>
      <c r="W508" s="6" t="s">
        <v>76</v>
      </c>
      <c r="X508" s="6"/>
      <c r="Y508" s="8" t="s">
        <v>2025</v>
      </c>
      <c r="Z508" s="8" t="s">
        <v>1577</v>
      </c>
      <c r="AA508" s="6" t="s">
        <v>40</v>
      </c>
    </row>
    <row r="509" spans="1:27">
      <c r="A509" s="6">
        <v>508</v>
      </c>
      <c r="B509" s="6"/>
      <c r="C509" s="7">
        <v>46115</v>
      </c>
      <c r="D509" s="6" t="s">
        <v>28</v>
      </c>
      <c r="E509" s="6" t="s">
        <v>1477</v>
      </c>
      <c r="F509" s="6" t="s">
        <v>30</v>
      </c>
      <c r="G509" s="6">
        <v>14</v>
      </c>
      <c r="H509" s="8" t="s">
        <v>2026</v>
      </c>
      <c r="I509" s="8" t="s">
        <v>2027</v>
      </c>
      <c r="J509" s="8" t="s">
        <v>2028</v>
      </c>
      <c r="K509" s="8"/>
      <c r="L509" s="8">
        <v>380.1</v>
      </c>
      <c r="M509" s="8">
        <v>380.1</v>
      </c>
      <c r="N509" s="7" t="s">
        <v>35</v>
      </c>
      <c r="O509" s="6" t="s">
        <v>35</v>
      </c>
      <c r="P509" s="6" t="s">
        <v>35</v>
      </c>
      <c r="Q509" s="6" t="s">
        <v>27</v>
      </c>
      <c r="R509" s="6"/>
      <c r="S509" s="6">
        <f t="shared" si="7"/>
        <v>380.1</v>
      </c>
      <c r="T509" s="6"/>
      <c r="U509" s="6"/>
      <c r="V509" s="6"/>
      <c r="W509" s="6" t="s">
        <v>69</v>
      </c>
      <c r="X509" s="6"/>
      <c r="Y509" s="8" t="s">
        <v>2029</v>
      </c>
      <c r="Z509" s="8" t="s">
        <v>1577</v>
      </c>
      <c r="AA509" s="6" t="s">
        <v>40</v>
      </c>
    </row>
    <row r="510" spans="1:27">
      <c r="A510" s="6">
        <v>509</v>
      </c>
      <c r="B510" s="6"/>
      <c r="C510" s="7">
        <v>46115</v>
      </c>
      <c r="D510" s="6" t="s">
        <v>28</v>
      </c>
      <c r="E510" s="6" t="s">
        <v>1477</v>
      </c>
      <c r="F510" s="6" t="s">
        <v>30</v>
      </c>
      <c r="G510" s="6">
        <v>14</v>
      </c>
      <c r="H510" s="8" t="s">
        <v>2030</v>
      </c>
      <c r="I510" s="8" t="s">
        <v>2031</v>
      </c>
      <c r="J510" s="8" t="s">
        <v>2032</v>
      </c>
      <c r="K510" s="8" t="s">
        <v>2033</v>
      </c>
      <c r="L510" s="8">
        <v>491.4</v>
      </c>
      <c r="M510" s="8">
        <v>491.4</v>
      </c>
      <c r="N510" s="7" t="s">
        <v>35</v>
      </c>
      <c r="O510" s="6" t="s">
        <v>35</v>
      </c>
      <c r="P510" s="6" t="s">
        <v>35</v>
      </c>
      <c r="Q510" s="6" t="s">
        <v>27</v>
      </c>
      <c r="R510" s="6"/>
      <c r="S510" s="6">
        <f t="shared" si="7"/>
        <v>491.4</v>
      </c>
      <c r="T510" s="6"/>
      <c r="U510" s="6"/>
      <c r="V510" s="6"/>
      <c r="W510" s="6" t="s">
        <v>89</v>
      </c>
      <c r="X510" s="6"/>
      <c r="Y510" s="8" t="s">
        <v>2034</v>
      </c>
      <c r="Z510" s="8" t="s">
        <v>1555</v>
      </c>
      <c r="AA510" s="6" t="s">
        <v>40</v>
      </c>
    </row>
    <row r="511" spans="1:27">
      <c r="A511" s="6">
        <v>510</v>
      </c>
      <c r="B511" s="6"/>
      <c r="C511" s="7">
        <v>46115</v>
      </c>
      <c r="D511" s="6" t="s">
        <v>28</v>
      </c>
      <c r="E511" s="6" t="s">
        <v>1477</v>
      </c>
      <c r="F511" s="6" t="s">
        <v>30</v>
      </c>
      <c r="G511" s="6">
        <v>14</v>
      </c>
      <c r="H511" s="8" t="s">
        <v>2035</v>
      </c>
      <c r="I511" s="11" t="s">
        <v>2036</v>
      </c>
      <c r="J511" s="8" t="s">
        <v>2037</v>
      </c>
      <c r="K511" s="8"/>
      <c r="L511" s="8">
        <v>2055.42</v>
      </c>
      <c r="M511" s="8">
        <v>2055.42</v>
      </c>
      <c r="N511" s="7" t="s">
        <v>35</v>
      </c>
      <c r="O511" s="6" t="s">
        <v>35</v>
      </c>
      <c r="P511" s="6" t="s">
        <v>35</v>
      </c>
      <c r="Q511" s="6" t="s">
        <v>27</v>
      </c>
      <c r="R511" s="6"/>
      <c r="S511" s="6">
        <f t="shared" si="7"/>
        <v>2055.42</v>
      </c>
      <c r="T511" s="6"/>
      <c r="U511" s="6"/>
      <c r="V511" s="6"/>
      <c r="W511" s="6"/>
      <c r="X511" s="6"/>
      <c r="Y511" s="8" t="s">
        <v>2038</v>
      </c>
      <c r="Z511" s="8" t="s">
        <v>1541</v>
      </c>
      <c r="AA511" s="6" t="s">
        <v>40</v>
      </c>
    </row>
    <row r="512" spans="1:27">
      <c r="A512" s="6">
        <v>511</v>
      </c>
      <c r="B512" s="6" t="s">
        <v>225</v>
      </c>
      <c r="C512" s="7">
        <v>46117</v>
      </c>
      <c r="D512" s="6" t="s">
        <v>226</v>
      </c>
      <c r="E512" s="6" t="s">
        <v>1477</v>
      </c>
      <c r="F512" s="6" t="s">
        <v>746</v>
      </c>
      <c r="G512" s="6">
        <v>5</v>
      </c>
      <c r="H512" s="11" t="s">
        <v>2039</v>
      </c>
      <c r="I512" s="11">
        <v>8553450010</v>
      </c>
      <c r="J512" s="10" t="s">
        <v>2040</v>
      </c>
      <c r="K512" s="10" t="s">
        <v>2040</v>
      </c>
      <c r="L512" s="6">
        <v>4430</v>
      </c>
      <c r="M512" s="6">
        <v>4430</v>
      </c>
      <c r="N512" s="7" t="s">
        <v>239</v>
      </c>
      <c r="O512" s="6" t="s">
        <v>239</v>
      </c>
      <c r="P512" s="6" t="s">
        <v>239</v>
      </c>
      <c r="Q512" s="6" t="s">
        <v>236</v>
      </c>
      <c r="R512" s="6">
        <v>4430</v>
      </c>
      <c r="S512" s="6">
        <f t="shared" si="7"/>
        <v>0</v>
      </c>
      <c r="T512" s="7">
        <v>46158</v>
      </c>
      <c r="U512" s="6" t="s">
        <v>2041</v>
      </c>
      <c r="V512" s="6" t="s">
        <v>54</v>
      </c>
      <c r="W512" s="6" t="s">
        <v>236</v>
      </c>
      <c r="X512" s="6" t="s">
        <v>236</v>
      </c>
      <c r="Y512" s="6" t="s">
        <v>236</v>
      </c>
      <c r="Z512" s="6" t="s">
        <v>236</v>
      </c>
      <c r="AA512" s="6" t="s">
        <v>236</v>
      </c>
    </row>
    <row r="513" spans="1:27">
      <c r="A513" s="6">
        <v>512</v>
      </c>
      <c r="B513" s="6" t="s">
        <v>225</v>
      </c>
      <c r="C513" s="7">
        <v>46117</v>
      </c>
      <c r="D513" s="6" t="s">
        <v>226</v>
      </c>
      <c r="E513" s="6" t="s">
        <v>1477</v>
      </c>
      <c r="F513" s="6" t="s">
        <v>746</v>
      </c>
      <c r="G513" s="6">
        <v>5</v>
      </c>
      <c r="H513" s="11" t="s">
        <v>2042</v>
      </c>
      <c r="I513" s="11">
        <v>9606041618</v>
      </c>
      <c r="J513" s="10" t="s">
        <v>2043</v>
      </c>
      <c r="K513" s="10" t="s">
        <v>2043</v>
      </c>
      <c r="L513" s="6">
        <v>3940</v>
      </c>
      <c r="M513" s="6">
        <v>3940</v>
      </c>
      <c r="N513" s="7" t="s">
        <v>239</v>
      </c>
      <c r="O513" s="6" t="s">
        <v>239</v>
      </c>
      <c r="P513" s="6" t="s">
        <v>239</v>
      </c>
      <c r="Q513" s="6" t="s">
        <v>236</v>
      </c>
      <c r="R513" s="6"/>
      <c r="S513" s="6">
        <f t="shared" si="7"/>
        <v>3940</v>
      </c>
      <c r="T513" s="6"/>
      <c r="U513" s="6"/>
      <c r="V513" s="6"/>
      <c r="W513" s="6" t="s">
        <v>236</v>
      </c>
      <c r="X513" s="6" t="s">
        <v>236</v>
      </c>
      <c r="Y513" s="6" t="s">
        <v>236</v>
      </c>
      <c r="Z513" s="6" t="s">
        <v>236</v>
      </c>
      <c r="AA513" s="6" t="s">
        <v>236</v>
      </c>
    </row>
    <row r="514" spans="1:27">
      <c r="A514" s="6">
        <v>513</v>
      </c>
      <c r="B514" s="6" t="s">
        <v>225</v>
      </c>
      <c r="C514" s="7">
        <v>46117</v>
      </c>
      <c r="D514" s="6" t="s">
        <v>226</v>
      </c>
      <c r="E514" s="6" t="s">
        <v>1477</v>
      </c>
      <c r="F514" s="6" t="s">
        <v>746</v>
      </c>
      <c r="G514" s="6">
        <v>5</v>
      </c>
      <c r="H514" s="11" t="s">
        <v>2044</v>
      </c>
      <c r="I514" s="11">
        <v>9746422004</v>
      </c>
      <c r="J514" s="10" t="s">
        <v>2045</v>
      </c>
      <c r="K514" s="10" t="s">
        <v>2045</v>
      </c>
      <c r="L514" s="6">
        <v>1955</v>
      </c>
      <c r="M514" s="6">
        <v>1955</v>
      </c>
      <c r="N514" s="7" t="s">
        <v>239</v>
      </c>
      <c r="O514" s="6" t="s">
        <v>239</v>
      </c>
      <c r="P514" s="6" t="s">
        <v>239</v>
      </c>
      <c r="Q514" s="6" t="s">
        <v>236</v>
      </c>
      <c r="R514" s="6"/>
      <c r="S514" s="6">
        <f t="shared" si="7"/>
        <v>1955</v>
      </c>
      <c r="T514" s="6"/>
      <c r="U514" s="6"/>
      <c r="V514" s="6"/>
      <c r="W514" s="6" t="s">
        <v>236</v>
      </c>
      <c r="X514" s="6" t="s">
        <v>236</v>
      </c>
      <c r="Y514" s="6" t="s">
        <v>236</v>
      </c>
      <c r="Z514" s="6" t="s">
        <v>236</v>
      </c>
      <c r="AA514" s="6" t="s">
        <v>236</v>
      </c>
    </row>
    <row r="515" spans="1:27">
      <c r="A515" s="6">
        <v>514</v>
      </c>
      <c r="B515" s="6" t="s">
        <v>225</v>
      </c>
      <c r="C515" s="7">
        <v>46117</v>
      </c>
      <c r="D515" s="6" t="s">
        <v>226</v>
      </c>
      <c r="E515" s="6" t="s">
        <v>1477</v>
      </c>
      <c r="F515" s="6" t="s">
        <v>746</v>
      </c>
      <c r="G515" s="6">
        <v>5</v>
      </c>
      <c r="H515" s="11" t="s">
        <v>2046</v>
      </c>
      <c r="I515" s="11">
        <v>7799869452</v>
      </c>
      <c r="J515" s="10" t="s">
        <v>2047</v>
      </c>
      <c r="K515" s="10" t="s">
        <v>2047</v>
      </c>
      <c r="L515" s="6">
        <v>810</v>
      </c>
      <c r="M515" s="6">
        <v>810</v>
      </c>
      <c r="N515" s="7" t="s">
        <v>239</v>
      </c>
      <c r="O515" s="6" t="s">
        <v>239</v>
      </c>
      <c r="P515" s="6" t="s">
        <v>239</v>
      </c>
      <c r="Q515" s="6" t="s">
        <v>236</v>
      </c>
      <c r="R515" s="6"/>
      <c r="S515" s="6">
        <f t="shared" ref="S515:S578" si="8">M515-R515</f>
        <v>810</v>
      </c>
      <c r="T515" s="6"/>
      <c r="U515" s="6"/>
      <c r="V515" s="6"/>
      <c r="W515" s="6" t="s">
        <v>236</v>
      </c>
      <c r="X515" s="6" t="s">
        <v>236</v>
      </c>
      <c r="Y515" s="6" t="s">
        <v>236</v>
      </c>
      <c r="Z515" s="6" t="s">
        <v>236</v>
      </c>
      <c r="AA515" s="6" t="s">
        <v>236</v>
      </c>
    </row>
    <row r="516" spans="1:27">
      <c r="A516" s="6">
        <v>515</v>
      </c>
      <c r="B516" s="6" t="s">
        <v>225</v>
      </c>
      <c r="C516" s="7">
        <v>46117</v>
      </c>
      <c r="D516" s="6" t="s">
        <v>226</v>
      </c>
      <c r="E516" s="6" t="s">
        <v>1477</v>
      </c>
      <c r="F516" s="6" t="s">
        <v>746</v>
      </c>
      <c r="G516" s="6">
        <v>5</v>
      </c>
      <c r="H516" s="11" t="s">
        <v>2048</v>
      </c>
      <c r="I516" s="11">
        <v>9171937045</v>
      </c>
      <c r="J516" s="10" t="s">
        <v>2049</v>
      </c>
      <c r="K516" s="10" t="s">
        <v>2049</v>
      </c>
      <c r="L516" s="6">
        <v>172</v>
      </c>
      <c r="M516" s="6">
        <v>172</v>
      </c>
      <c r="N516" s="7" t="s">
        <v>239</v>
      </c>
      <c r="O516" s="6" t="s">
        <v>239</v>
      </c>
      <c r="P516" s="6" t="s">
        <v>239</v>
      </c>
      <c r="Q516" s="6" t="s">
        <v>236</v>
      </c>
      <c r="R516" s="6"/>
      <c r="S516" s="6">
        <f t="shared" si="8"/>
        <v>172</v>
      </c>
      <c r="T516" s="6"/>
      <c r="U516" s="6"/>
      <c r="V516" s="6"/>
      <c r="W516" s="6" t="s">
        <v>236</v>
      </c>
      <c r="X516" s="6" t="s">
        <v>236</v>
      </c>
      <c r="Y516" s="6" t="s">
        <v>236</v>
      </c>
      <c r="Z516" s="6" t="s">
        <v>236</v>
      </c>
      <c r="AA516" s="6" t="s">
        <v>236</v>
      </c>
    </row>
    <row r="517" spans="1:27">
      <c r="A517" s="6">
        <v>516</v>
      </c>
      <c r="B517" s="6" t="s">
        <v>298</v>
      </c>
      <c r="C517" s="7">
        <v>46117</v>
      </c>
      <c r="D517" s="6" t="s">
        <v>226</v>
      </c>
      <c r="E517" s="6" t="s">
        <v>1477</v>
      </c>
      <c r="F517" s="6" t="s">
        <v>746</v>
      </c>
      <c r="G517" s="6">
        <v>5</v>
      </c>
      <c r="H517" s="11" t="s">
        <v>2050</v>
      </c>
      <c r="I517" s="11">
        <v>9177673574</v>
      </c>
      <c r="J517" s="10" t="s">
        <v>2051</v>
      </c>
      <c r="K517" s="10" t="s">
        <v>2051</v>
      </c>
      <c r="L517" s="6">
        <v>655</v>
      </c>
      <c r="M517" s="6">
        <v>655</v>
      </c>
      <c r="N517" s="7" t="s">
        <v>239</v>
      </c>
      <c r="O517" s="6" t="s">
        <v>239</v>
      </c>
      <c r="P517" s="6" t="s">
        <v>239</v>
      </c>
      <c r="Q517" s="6" t="s">
        <v>236</v>
      </c>
      <c r="R517" s="6"/>
      <c r="S517" s="6">
        <f t="shared" si="8"/>
        <v>655</v>
      </c>
      <c r="T517" s="6"/>
      <c r="U517" s="6"/>
      <c r="V517" s="6"/>
      <c r="W517" s="6" t="s">
        <v>236</v>
      </c>
      <c r="X517" s="6" t="s">
        <v>236</v>
      </c>
      <c r="Y517" s="6" t="s">
        <v>236</v>
      </c>
      <c r="Z517" s="6" t="s">
        <v>236</v>
      </c>
      <c r="AA517" s="6" t="s">
        <v>236</v>
      </c>
    </row>
    <row r="518" spans="1:27">
      <c r="A518" s="6">
        <v>517</v>
      </c>
      <c r="B518" s="6" t="s">
        <v>2052</v>
      </c>
      <c r="C518" s="7">
        <v>46117</v>
      </c>
      <c r="D518" s="6" t="s">
        <v>226</v>
      </c>
      <c r="E518" s="6" t="s">
        <v>1477</v>
      </c>
      <c r="F518" s="6" t="s">
        <v>240</v>
      </c>
      <c r="G518" s="6">
        <v>5</v>
      </c>
      <c r="H518" s="11" t="s">
        <v>2053</v>
      </c>
      <c r="I518" s="11">
        <v>9849488233</v>
      </c>
      <c r="J518" s="10" t="s">
        <v>2054</v>
      </c>
      <c r="K518" s="11" t="s">
        <v>2053</v>
      </c>
      <c r="L518" s="11">
        <v>4720</v>
      </c>
      <c r="M518" s="11">
        <v>4720</v>
      </c>
      <c r="N518" s="7" t="s">
        <v>239</v>
      </c>
      <c r="O518" s="6" t="s">
        <v>239</v>
      </c>
      <c r="P518" s="6" t="s">
        <v>239</v>
      </c>
      <c r="Q518" s="6" t="s">
        <v>236</v>
      </c>
      <c r="R518" s="6"/>
      <c r="S518" s="6">
        <f t="shared" si="8"/>
        <v>4720</v>
      </c>
      <c r="T518" s="6"/>
      <c r="U518" s="6"/>
      <c r="V518" s="6"/>
      <c r="W518" s="6" t="s">
        <v>236</v>
      </c>
      <c r="X518" s="6" t="s">
        <v>236</v>
      </c>
      <c r="Y518" s="6" t="s">
        <v>236</v>
      </c>
      <c r="Z518" s="6" t="s">
        <v>236</v>
      </c>
      <c r="AA518" s="6" t="s">
        <v>236</v>
      </c>
    </row>
    <row r="519" spans="1:27">
      <c r="A519" s="6">
        <v>518</v>
      </c>
      <c r="B519" s="6" t="s">
        <v>346</v>
      </c>
      <c r="C519" s="7">
        <v>46117</v>
      </c>
      <c r="D519" s="6" t="s">
        <v>226</v>
      </c>
      <c r="E519" s="6" t="s">
        <v>1477</v>
      </c>
      <c r="F519" s="6" t="s">
        <v>240</v>
      </c>
      <c r="G519" s="6">
        <v>5</v>
      </c>
      <c r="H519" s="11" t="s">
        <v>2055</v>
      </c>
      <c r="I519" s="11">
        <v>9787704560</v>
      </c>
      <c r="J519" s="10" t="s">
        <v>2056</v>
      </c>
      <c r="K519" s="11" t="s">
        <v>2055</v>
      </c>
      <c r="L519" s="11">
        <v>2800</v>
      </c>
      <c r="M519" s="11">
        <v>2800</v>
      </c>
      <c r="N519" s="7" t="s">
        <v>239</v>
      </c>
      <c r="O519" s="6" t="s">
        <v>239</v>
      </c>
      <c r="P519" s="6" t="s">
        <v>239</v>
      </c>
      <c r="Q519" s="6" t="s">
        <v>236</v>
      </c>
      <c r="R519" s="6"/>
      <c r="S519" s="6">
        <f t="shared" si="8"/>
        <v>2800</v>
      </c>
      <c r="T519" s="6"/>
      <c r="U519" s="6"/>
      <c r="V519" s="6"/>
      <c r="W519" s="6" t="s">
        <v>236</v>
      </c>
      <c r="X519" s="6" t="s">
        <v>236</v>
      </c>
      <c r="Y519" s="6" t="s">
        <v>236</v>
      </c>
      <c r="Z519" s="6" t="s">
        <v>236</v>
      </c>
      <c r="AA519" s="6" t="s">
        <v>236</v>
      </c>
    </row>
    <row r="520" spans="1:27">
      <c r="A520" s="6">
        <v>519</v>
      </c>
      <c r="B520" s="6" t="s">
        <v>346</v>
      </c>
      <c r="C520" s="7">
        <v>46117</v>
      </c>
      <c r="D520" s="6" t="s">
        <v>226</v>
      </c>
      <c r="E520" s="6" t="s">
        <v>1477</v>
      </c>
      <c r="F520" s="6" t="s">
        <v>240</v>
      </c>
      <c r="G520" s="6">
        <v>5</v>
      </c>
      <c r="H520" s="11" t="s">
        <v>2057</v>
      </c>
      <c r="I520" s="11">
        <v>9912094847</v>
      </c>
      <c r="J520" s="10" t="s">
        <v>2058</v>
      </c>
      <c r="K520" s="11" t="s">
        <v>2057</v>
      </c>
      <c r="L520" s="11">
        <v>1940</v>
      </c>
      <c r="M520" s="11">
        <v>1940</v>
      </c>
      <c r="N520" s="7" t="s">
        <v>239</v>
      </c>
      <c r="O520" s="6" t="s">
        <v>239</v>
      </c>
      <c r="P520" s="6" t="s">
        <v>239</v>
      </c>
      <c r="Q520" s="6" t="s">
        <v>236</v>
      </c>
      <c r="R520" s="6"/>
      <c r="S520" s="6">
        <f t="shared" si="8"/>
        <v>1940</v>
      </c>
      <c r="T520" s="6"/>
      <c r="U520" s="6"/>
      <c r="V520" s="6"/>
      <c r="W520" s="6" t="s">
        <v>236</v>
      </c>
      <c r="X520" s="6" t="s">
        <v>236</v>
      </c>
      <c r="Y520" s="6" t="s">
        <v>236</v>
      </c>
      <c r="Z520" s="6" t="s">
        <v>236</v>
      </c>
      <c r="AA520" s="6" t="s">
        <v>236</v>
      </c>
    </row>
    <row r="521" spans="1:27">
      <c r="A521" s="6">
        <v>520</v>
      </c>
      <c r="B521" s="6" t="s">
        <v>346</v>
      </c>
      <c r="C521" s="7">
        <v>46117</v>
      </c>
      <c r="D521" s="6" t="s">
        <v>226</v>
      </c>
      <c r="E521" s="6" t="s">
        <v>1477</v>
      </c>
      <c r="F521" s="6" t="s">
        <v>240</v>
      </c>
      <c r="G521" s="6">
        <v>5</v>
      </c>
      <c r="H521" s="11" t="s">
        <v>2059</v>
      </c>
      <c r="I521" s="11">
        <v>8008076100</v>
      </c>
      <c r="J521" s="10" t="s">
        <v>2060</v>
      </c>
      <c r="K521" s="11" t="s">
        <v>2059</v>
      </c>
      <c r="L521" s="11">
        <v>1360</v>
      </c>
      <c r="M521" s="11">
        <v>1360</v>
      </c>
      <c r="N521" s="7" t="s">
        <v>239</v>
      </c>
      <c r="O521" s="6" t="s">
        <v>239</v>
      </c>
      <c r="P521" s="6" t="s">
        <v>239</v>
      </c>
      <c r="Q521" s="6" t="s">
        <v>236</v>
      </c>
      <c r="R521" s="6"/>
      <c r="S521" s="6">
        <f t="shared" si="8"/>
        <v>1360</v>
      </c>
      <c r="T521" s="6"/>
      <c r="U521" s="6"/>
      <c r="V521" s="6"/>
      <c r="W521" s="6" t="s">
        <v>236</v>
      </c>
      <c r="X521" s="6" t="s">
        <v>236</v>
      </c>
      <c r="Y521" s="6" t="s">
        <v>236</v>
      </c>
      <c r="Z521" s="6" t="s">
        <v>236</v>
      </c>
      <c r="AA521" s="6" t="s">
        <v>236</v>
      </c>
    </row>
    <row r="522" spans="1:27">
      <c r="A522" s="6">
        <v>521</v>
      </c>
      <c r="B522" s="6" t="s">
        <v>346</v>
      </c>
      <c r="C522" s="7">
        <v>46117</v>
      </c>
      <c r="D522" s="6" t="s">
        <v>226</v>
      </c>
      <c r="E522" s="6" t="s">
        <v>1477</v>
      </c>
      <c r="F522" s="6" t="s">
        <v>240</v>
      </c>
      <c r="G522" s="6">
        <v>5</v>
      </c>
      <c r="H522" s="11" t="s">
        <v>2061</v>
      </c>
      <c r="I522" s="11">
        <v>7736577892</v>
      </c>
      <c r="J522" s="10" t="s">
        <v>2062</v>
      </c>
      <c r="K522" s="11" t="s">
        <v>2061</v>
      </c>
      <c r="L522" s="11">
        <v>800</v>
      </c>
      <c r="M522" s="11">
        <v>800</v>
      </c>
      <c r="N522" s="7" t="s">
        <v>239</v>
      </c>
      <c r="O522" s="6" t="s">
        <v>239</v>
      </c>
      <c r="P522" s="6" t="s">
        <v>239</v>
      </c>
      <c r="Q522" s="6" t="s">
        <v>236</v>
      </c>
      <c r="R522" s="6"/>
      <c r="S522" s="6">
        <f t="shared" si="8"/>
        <v>800</v>
      </c>
      <c r="T522" s="6"/>
      <c r="U522" s="6"/>
      <c r="V522" s="6"/>
      <c r="W522" s="6" t="s">
        <v>236</v>
      </c>
      <c r="X522" s="6" t="s">
        <v>236</v>
      </c>
      <c r="Y522" s="6" t="s">
        <v>236</v>
      </c>
      <c r="Z522" s="6" t="s">
        <v>236</v>
      </c>
      <c r="AA522" s="6" t="s">
        <v>236</v>
      </c>
    </row>
    <row r="523" spans="1:27">
      <c r="A523" s="6">
        <v>522</v>
      </c>
      <c r="B523" s="6" t="s">
        <v>346</v>
      </c>
      <c r="C523" s="7">
        <v>46117</v>
      </c>
      <c r="D523" s="6" t="s">
        <v>226</v>
      </c>
      <c r="E523" s="6" t="s">
        <v>1477</v>
      </c>
      <c r="F523" s="6" t="s">
        <v>240</v>
      </c>
      <c r="G523" s="6">
        <v>5</v>
      </c>
      <c r="H523" s="11" t="s">
        <v>2063</v>
      </c>
      <c r="I523" s="11">
        <v>9019414848</v>
      </c>
      <c r="J523" s="10" t="s">
        <v>2064</v>
      </c>
      <c r="K523" s="11" t="s">
        <v>2063</v>
      </c>
      <c r="L523" s="11">
        <v>465</v>
      </c>
      <c r="M523" s="11">
        <v>465</v>
      </c>
      <c r="N523" s="7" t="s">
        <v>239</v>
      </c>
      <c r="O523" s="6" t="s">
        <v>239</v>
      </c>
      <c r="P523" s="6" t="s">
        <v>239</v>
      </c>
      <c r="Q523" s="6" t="s">
        <v>236</v>
      </c>
      <c r="R523" s="6"/>
      <c r="S523" s="6">
        <f t="shared" si="8"/>
        <v>465</v>
      </c>
      <c r="T523" s="6"/>
      <c r="U523" s="6"/>
      <c r="V523" s="6"/>
      <c r="W523" s="6" t="s">
        <v>236</v>
      </c>
      <c r="X523" s="6" t="s">
        <v>236</v>
      </c>
      <c r="Y523" s="6" t="s">
        <v>236</v>
      </c>
      <c r="Z523" s="6" t="s">
        <v>236</v>
      </c>
      <c r="AA523" s="6" t="s">
        <v>236</v>
      </c>
    </row>
    <row r="524" spans="1:27">
      <c r="A524" s="6">
        <v>523</v>
      </c>
      <c r="B524" s="6" t="s">
        <v>342</v>
      </c>
      <c r="C524" s="7">
        <v>46117</v>
      </c>
      <c r="D524" s="6" t="s">
        <v>226</v>
      </c>
      <c r="E524" s="6" t="s">
        <v>1477</v>
      </c>
      <c r="F524" s="6" t="s">
        <v>336</v>
      </c>
      <c r="G524" s="6">
        <v>5</v>
      </c>
      <c r="H524" s="6" t="s">
        <v>2065</v>
      </c>
      <c r="I524" s="11" t="s">
        <v>2066</v>
      </c>
      <c r="J524" s="6" t="s">
        <v>381</v>
      </c>
      <c r="K524" s="6" t="s">
        <v>381</v>
      </c>
      <c r="L524" s="14">
        <v>10289</v>
      </c>
      <c r="M524" s="6">
        <v>2400</v>
      </c>
      <c r="N524" s="7">
        <v>46118</v>
      </c>
      <c r="O524" s="6" t="s">
        <v>370</v>
      </c>
      <c r="P524" s="6" t="s">
        <v>52</v>
      </c>
      <c r="Q524" s="6" t="s">
        <v>340</v>
      </c>
      <c r="R524" s="6">
        <v>2400</v>
      </c>
      <c r="S524" s="6">
        <f t="shared" si="8"/>
        <v>0</v>
      </c>
      <c r="T524" s="7">
        <v>46118</v>
      </c>
      <c r="U524" s="6" t="s">
        <v>2067</v>
      </c>
      <c r="V524" s="6" t="s">
        <v>54</v>
      </c>
      <c r="W524" s="6" t="s">
        <v>342</v>
      </c>
      <c r="X524" s="6" t="s">
        <v>370</v>
      </c>
      <c r="Y524" s="6" t="s">
        <v>2068</v>
      </c>
      <c r="Z524" s="6" t="s">
        <v>384</v>
      </c>
      <c r="AA524" s="6" t="s">
        <v>235</v>
      </c>
    </row>
    <row r="525" spans="1:27">
      <c r="A525" s="6">
        <v>524</v>
      </c>
      <c r="B525" s="6" t="s">
        <v>298</v>
      </c>
      <c r="C525" s="7">
        <v>46117</v>
      </c>
      <c r="D525" s="6" t="s">
        <v>226</v>
      </c>
      <c r="E525" s="6" t="s">
        <v>1477</v>
      </c>
      <c r="F525" s="6" t="s">
        <v>336</v>
      </c>
      <c r="G525" s="6">
        <v>5</v>
      </c>
      <c r="H525" s="6" t="s">
        <v>2069</v>
      </c>
      <c r="I525" s="6" t="s">
        <v>2070</v>
      </c>
      <c r="J525" s="6" t="s">
        <v>2071</v>
      </c>
      <c r="K525" s="6" t="s">
        <v>2071</v>
      </c>
      <c r="L525" s="14">
        <v>8719.99</v>
      </c>
      <c r="M525" s="6">
        <v>4720</v>
      </c>
      <c r="N525" s="7">
        <v>46121</v>
      </c>
      <c r="O525" s="6" t="s">
        <v>315</v>
      </c>
      <c r="P525" s="6" t="s">
        <v>52</v>
      </c>
      <c r="Q525" s="6" t="s">
        <v>340</v>
      </c>
      <c r="R525" s="6">
        <v>4200</v>
      </c>
      <c r="S525" s="6">
        <f t="shared" si="8"/>
        <v>520</v>
      </c>
      <c r="T525" s="7">
        <v>46121</v>
      </c>
      <c r="U525" s="6" t="s">
        <v>2072</v>
      </c>
      <c r="V525" s="6" t="s">
        <v>54</v>
      </c>
      <c r="W525" s="6" t="s">
        <v>388</v>
      </c>
      <c r="X525" s="6" t="s">
        <v>315</v>
      </c>
      <c r="Y525" s="6" t="s">
        <v>2073</v>
      </c>
      <c r="Z525" s="6" t="s">
        <v>412</v>
      </c>
      <c r="AA525" s="6" t="s">
        <v>235</v>
      </c>
    </row>
    <row r="526" spans="1:27">
      <c r="A526" s="6">
        <v>525</v>
      </c>
      <c r="B526" s="6" t="s">
        <v>342</v>
      </c>
      <c r="C526" s="7">
        <v>46117</v>
      </c>
      <c r="D526" s="6" t="s">
        <v>226</v>
      </c>
      <c r="E526" s="6" t="s">
        <v>1477</v>
      </c>
      <c r="F526" s="6" t="s">
        <v>336</v>
      </c>
      <c r="G526" s="6">
        <v>5</v>
      </c>
      <c r="H526" s="6" t="s">
        <v>2074</v>
      </c>
      <c r="I526" s="6" t="s">
        <v>2075</v>
      </c>
      <c r="J526" s="6" t="s">
        <v>2076</v>
      </c>
      <c r="K526" s="6" t="s">
        <v>2076</v>
      </c>
      <c r="L526" s="14">
        <v>3639</v>
      </c>
      <c r="M526" s="6">
        <v>3639</v>
      </c>
      <c r="N526" s="7">
        <v>46119</v>
      </c>
      <c r="O526" s="6" t="s">
        <v>342</v>
      </c>
      <c r="P526" s="6" t="s">
        <v>52</v>
      </c>
      <c r="Q526" s="6" t="s">
        <v>340</v>
      </c>
      <c r="R526" s="6">
        <v>3639</v>
      </c>
      <c r="S526" s="6">
        <f t="shared" si="8"/>
        <v>0</v>
      </c>
      <c r="T526" s="7">
        <v>46119</v>
      </c>
      <c r="U526" s="6" t="s">
        <v>2077</v>
      </c>
      <c r="V526" s="6" t="s">
        <v>54</v>
      </c>
      <c r="W526" s="6" t="s">
        <v>342</v>
      </c>
      <c r="X526" s="6" t="s">
        <v>343</v>
      </c>
      <c r="Y526" s="6" t="s">
        <v>2078</v>
      </c>
      <c r="Z526" s="6" t="s">
        <v>2079</v>
      </c>
      <c r="AA526" s="6" t="s">
        <v>235</v>
      </c>
    </row>
    <row r="527" spans="1:27">
      <c r="A527" s="6">
        <v>526</v>
      </c>
      <c r="B527" s="6" t="s">
        <v>298</v>
      </c>
      <c r="C527" s="7">
        <v>46119</v>
      </c>
      <c r="D527" s="6" t="s">
        <v>226</v>
      </c>
      <c r="E527" s="6" t="s">
        <v>1477</v>
      </c>
      <c r="F527" s="6" t="s">
        <v>395</v>
      </c>
      <c r="G527" s="6">
        <v>5</v>
      </c>
      <c r="H527" s="6" t="s">
        <v>2080</v>
      </c>
      <c r="I527" s="6" t="s">
        <v>2081</v>
      </c>
      <c r="J527" s="6" t="s">
        <v>2082</v>
      </c>
      <c r="K527" s="6" t="s">
        <v>2082</v>
      </c>
      <c r="L527" s="6">
        <v>49400</v>
      </c>
      <c r="M527" s="6">
        <v>19410</v>
      </c>
      <c r="N527" s="7">
        <v>46122</v>
      </c>
      <c r="O527" s="6" t="s">
        <v>2083</v>
      </c>
      <c r="P527" s="6" t="s">
        <v>52</v>
      </c>
      <c r="Q527" s="6" t="s">
        <v>400</v>
      </c>
      <c r="R527" s="6">
        <f>10000+9400</f>
        <v>19400</v>
      </c>
      <c r="S527" s="6">
        <f t="shared" si="8"/>
        <v>10</v>
      </c>
      <c r="T527" s="7">
        <v>46125</v>
      </c>
      <c r="U527" s="6" t="s">
        <v>2084</v>
      </c>
      <c r="V527" s="6" t="s">
        <v>54</v>
      </c>
      <c r="W527" s="6" t="s">
        <v>402</v>
      </c>
      <c r="X527" s="6" t="s">
        <v>2083</v>
      </c>
      <c r="Y527" s="6" t="s">
        <v>2085</v>
      </c>
      <c r="Z527" s="6" t="s">
        <v>1801</v>
      </c>
      <c r="AA527" s="6" t="s">
        <v>2086</v>
      </c>
    </row>
    <row r="528" spans="1:27">
      <c r="A528" s="6">
        <v>527</v>
      </c>
      <c r="B528" s="6"/>
      <c r="C528" s="7">
        <v>46118</v>
      </c>
      <c r="D528" s="6" t="s">
        <v>28</v>
      </c>
      <c r="E528" s="6" t="s">
        <v>1477</v>
      </c>
      <c r="F528" s="6" t="s">
        <v>30</v>
      </c>
      <c r="G528" s="6">
        <v>17</v>
      </c>
      <c r="H528" s="6" t="s">
        <v>2087</v>
      </c>
      <c r="I528" s="6" t="s">
        <v>2088</v>
      </c>
      <c r="J528" s="6" t="s">
        <v>2089</v>
      </c>
      <c r="K528" s="6">
        <v>0</v>
      </c>
      <c r="L528" s="6">
        <v>15365.26</v>
      </c>
      <c r="M528" s="6">
        <v>15365.26</v>
      </c>
      <c r="N528" s="7" t="s">
        <v>35</v>
      </c>
      <c r="O528" s="6" t="s">
        <v>35</v>
      </c>
      <c r="P528" s="6" t="s">
        <v>35</v>
      </c>
      <c r="Q528" s="6" t="s">
        <v>27</v>
      </c>
      <c r="R528" s="6"/>
      <c r="S528" s="6">
        <f t="shared" si="8"/>
        <v>15365.26</v>
      </c>
      <c r="T528" s="6"/>
      <c r="U528" s="6"/>
      <c r="V528" s="6"/>
      <c r="W528" s="6" t="s">
        <v>526</v>
      </c>
      <c r="X528" s="6" t="s">
        <v>526</v>
      </c>
      <c r="Y528" s="6" t="s">
        <v>2090</v>
      </c>
      <c r="Z528" s="6" t="s">
        <v>1973</v>
      </c>
      <c r="AA528" s="6" t="s">
        <v>40</v>
      </c>
    </row>
    <row r="529" spans="1:27" s="30" customFormat="1">
      <c r="A529" s="6">
        <v>528</v>
      </c>
      <c r="B529" s="6"/>
      <c r="C529" s="7">
        <v>46118</v>
      </c>
      <c r="D529" s="6" t="s">
        <v>28</v>
      </c>
      <c r="E529" s="6" t="s">
        <v>1477</v>
      </c>
      <c r="F529" s="6" t="s">
        <v>30</v>
      </c>
      <c r="G529" s="6">
        <v>17</v>
      </c>
      <c r="H529" s="6" t="s">
        <v>2091</v>
      </c>
      <c r="I529" s="6">
        <v>9160055548</v>
      </c>
      <c r="J529" s="6" t="s">
        <v>2092</v>
      </c>
      <c r="K529" s="6" t="s">
        <v>2093</v>
      </c>
      <c r="L529" s="6">
        <v>7620.43</v>
      </c>
      <c r="M529" s="6">
        <v>7620.43</v>
      </c>
      <c r="N529" s="7" t="s">
        <v>35</v>
      </c>
      <c r="O529" s="6" t="s">
        <v>35</v>
      </c>
      <c r="P529" s="6" t="s">
        <v>35</v>
      </c>
      <c r="Q529" s="6" t="s">
        <v>27</v>
      </c>
      <c r="R529" s="6"/>
      <c r="S529" s="6">
        <f t="shared" si="8"/>
        <v>7620.43</v>
      </c>
      <c r="T529" s="6"/>
      <c r="U529" s="6"/>
      <c r="V529" s="6"/>
      <c r="W529" s="6" t="s">
        <v>124</v>
      </c>
      <c r="X529" s="6" t="s">
        <v>124</v>
      </c>
      <c r="Y529" s="6" t="s">
        <v>2094</v>
      </c>
      <c r="Z529" s="6" t="s">
        <v>1500</v>
      </c>
      <c r="AA529" s="6" t="s">
        <v>40</v>
      </c>
    </row>
    <row r="530" spans="1:27">
      <c r="A530" s="6">
        <v>529</v>
      </c>
      <c r="B530" s="6"/>
      <c r="C530" s="7">
        <v>46118</v>
      </c>
      <c r="D530" s="6" t="s">
        <v>28</v>
      </c>
      <c r="E530" s="6" t="s">
        <v>1477</v>
      </c>
      <c r="F530" s="6" t="s">
        <v>30</v>
      </c>
      <c r="G530" s="6">
        <v>17</v>
      </c>
      <c r="H530" s="6" t="s">
        <v>2095</v>
      </c>
      <c r="I530" s="6">
        <v>9414201897</v>
      </c>
      <c r="J530" s="6" t="s">
        <v>2096</v>
      </c>
      <c r="K530" s="6">
        <v>0</v>
      </c>
      <c r="L530" s="6">
        <v>6525.69</v>
      </c>
      <c r="M530" s="6">
        <v>6525.69</v>
      </c>
      <c r="N530" s="7" t="s">
        <v>35</v>
      </c>
      <c r="O530" s="6" t="s">
        <v>35</v>
      </c>
      <c r="P530" s="6" t="s">
        <v>35</v>
      </c>
      <c r="Q530" s="6" t="s">
        <v>27</v>
      </c>
      <c r="R530" s="6">
        <v>5221</v>
      </c>
      <c r="S530" s="6">
        <f t="shared" si="8"/>
        <v>1304.6899999999996</v>
      </c>
      <c r="T530" s="7">
        <v>46119</v>
      </c>
      <c r="U530" s="6" t="s">
        <v>2097</v>
      </c>
      <c r="V530" s="6"/>
      <c r="W530" s="6" t="s">
        <v>103</v>
      </c>
      <c r="X530" s="6" t="s">
        <v>103</v>
      </c>
      <c r="Y530" s="6" t="s">
        <v>2098</v>
      </c>
      <c r="Z530" s="6" t="s">
        <v>1336</v>
      </c>
      <c r="AA530" s="6" t="s">
        <v>40</v>
      </c>
    </row>
    <row r="531" spans="1:27">
      <c r="A531" s="6">
        <v>530</v>
      </c>
      <c r="B531" s="6"/>
      <c r="C531" s="7">
        <v>46118</v>
      </c>
      <c r="D531" s="6" t="s">
        <v>28</v>
      </c>
      <c r="E531" s="6" t="s">
        <v>1477</v>
      </c>
      <c r="F531" s="6" t="s">
        <v>30</v>
      </c>
      <c r="G531" s="6">
        <v>17</v>
      </c>
      <c r="H531" s="6" t="s">
        <v>2099</v>
      </c>
      <c r="I531" s="6">
        <v>9390905497</v>
      </c>
      <c r="J531" s="6" t="s">
        <v>2100</v>
      </c>
      <c r="K531" s="6" t="s">
        <v>2101</v>
      </c>
      <c r="L531" s="6">
        <v>2279.44</v>
      </c>
      <c r="M531" s="6">
        <v>2279.44</v>
      </c>
      <c r="N531" s="7" t="s">
        <v>35</v>
      </c>
      <c r="O531" s="6" t="s">
        <v>35</v>
      </c>
      <c r="P531" s="6" t="s">
        <v>35</v>
      </c>
      <c r="Q531" s="6" t="s">
        <v>27</v>
      </c>
      <c r="R531" s="6"/>
      <c r="S531" s="6">
        <f t="shared" si="8"/>
        <v>2279.44</v>
      </c>
      <c r="T531" s="6"/>
      <c r="U531" s="6"/>
      <c r="V531" s="6"/>
      <c r="W531" s="6" t="s">
        <v>82</v>
      </c>
      <c r="X531" s="6" t="s">
        <v>82</v>
      </c>
      <c r="Y531" s="6" t="s">
        <v>2102</v>
      </c>
      <c r="Z531" s="6" t="s">
        <v>1539</v>
      </c>
      <c r="AA531" s="6" t="s">
        <v>40</v>
      </c>
    </row>
    <row r="532" spans="1:27">
      <c r="A532" s="6">
        <v>531</v>
      </c>
      <c r="B532" s="6"/>
      <c r="C532" s="7">
        <v>46118</v>
      </c>
      <c r="D532" s="6" t="s">
        <v>28</v>
      </c>
      <c r="E532" s="6" t="s">
        <v>1477</v>
      </c>
      <c r="F532" s="6" t="s">
        <v>30</v>
      </c>
      <c r="G532" s="6">
        <v>17</v>
      </c>
      <c r="H532" s="6" t="s">
        <v>2103</v>
      </c>
      <c r="I532" s="6">
        <v>9000643303</v>
      </c>
      <c r="J532" s="6" t="s">
        <v>2104</v>
      </c>
      <c r="K532" s="6">
        <v>0</v>
      </c>
      <c r="L532" s="6">
        <v>4016.16</v>
      </c>
      <c r="M532" s="6">
        <v>4016.16</v>
      </c>
      <c r="N532" s="7" t="s">
        <v>35</v>
      </c>
      <c r="O532" s="6" t="s">
        <v>35</v>
      </c>
      <c r="P532" s="6" t="s">
        <v>35</v>
      </c>
      <c r="Q532" s="6" t="s">
        <v>27</v>
      </c>
      <c r="R532" s="6"/>
      <c r="S532" s="6">
        <f t="shared" si="8"/>
        <v>4016.16</v>
      </c>
      <c r="T532" s="6"/>
      <c r="U532" s="6"/>
      <c r="V532" s="6"/>
      <c r="W532" s="6" t="s">
        <v>444</v>
      </c>
      <c r="X532" s="6" t="s">
        <v>444</v>
      </c>
      <c r="Y532" s="6" t="s">
        <v>2105</v>
      </c>
      <c r="Z532" s="6" t="s">
        <v>1500</v>
      </c>
      <c r="AA532" s="6" t="s">
        <v>40</v>
      </c>
    </row>
    <row r="533" spans="1:27">
      <c r="A533" s="6">
        <v>532</v>
      </c>
      <c r="B533" s="6"/>
      <c r="C533" s="7">
        <v>46118</v>
      </c>
      <c r="D533" s="6" t="s">
        <v>28</v>
      </c>
      <c r="E533" s="6" t="s">
        <v>1477</v>
      </c>
      <c r="F533" s="6" t="s">
        <v>30</v>
      </c>
      <c r="G533" s="6">
        <v>17</v>
      </c>
      <c r="H533" s="6" t="s">
        <v>2106</v>
      </c>
      <c r="I533" s="6">
        <v>7382503724</v>
      </c>
      <c r="J533" s="6" t="s">
        <v>2107</v>
      </c>
      <c r="K533" s="6" t="s">
        <v>2108</v>
      </c>
      <c r="L533" s="6">
        <v>1290.01</v>
      </c>
      <c r="M533" s="6">
        <v>1290.01</v>
      </c>
      <c r="N533" s="7" t="s">
        <v>35</v>
      </c>
      <c r="O533" s="6" t="s">
        <v>35</v>
      </c>
      <c r="P533" s="6" t="s">
        <v>35</v>
      </c>
      <c r="Q533" s="6" t="s">
        <v>27</v>
      </c>
      <c r="R533" s="6"/>
      <c r="S533" s="6">
        <f t="shared" si="8"/>
        <v>1290.01</v>
      </c>
      <c r="T533" s="6"/>
      <c r="U533" s="6"/>
      <c r="V533" s="6"/>
      <c r="W533" s="6" t="s">
        <v>45</v>
      </c>
      <c r="X533" s="6" t="s">
        <v>45</v>
      </c>
      <c r="Y533" s="6" t="s">
        <v>2109</v>
      </c>
      <c r="Z533" s="6" t="s">
        <v>1483</v>
      </c>
      <c r="AA533" s="6" t="s">
        <v>40</v>
      </c>
    </row>
    <row r="534" spans="1:27">
      <c r="A534" s="6">
        <v>533</v>
      </c>
      <c r="B534" s="6" t="s">
        <v>225</v>
      </c>
      <c r="C534" s="7">
        <v>46120</v>
      </c>
      <c r="D534" s="6" t="s">
        <v>226</v>
      </c>
      <c r="E534" s="6" t="s">
        <v>1477</v>
      </c>
      <c r="F534" s="6" t="s">
        <v>336</v>
      </c>
      <c r="G534" s="6">
        <v>8</v>
      </c>
      <c r="H534" s="6" t="s">
        <v>2110</v>
      </c>
      <c r="I534" s="6">
        <v>9985744844</v>
      </c>
      <c r="J534" s="6" t="s">
        <v>697</v>
      </c>
      <c r="K534" s="6" t="s">
        <v>697</v>
      </c>
      <c r="L534" s="14">
        <v>6539</v>
      </c>
      <c r="M534" s="14">
        <v>6540</v>
      </c>
      <c r="N534" s="7">
        <v>46121</v>
      </c>
      <c r="O534" s="6" t="s">
        <v>343</v>
      </c>
      <c r="P534" s="6" t="s">
        <v>52</v>
      </c>
      <c r="Q534" s="6" t="s">
        <v>340</v>
      </c>
      <c r="R534" s="6"/>
      <c r="S534" s="6">
        <f t="shared" si="8"/>
        <v>6540</v>
      </c>
      <c r="T534" s="6"/>
      <c r="U534" s="6"/>
      <c r="V534" s="6"/>
      <c r="W534" s="6" t="s">
        <v>342</v>
      </c>
      <c r="X534" s="6" t="s">
        <v>343</v>
      </c>
      <c r="Y534" s="6" t="s">
        <v>2111</v>
      </c>
      <c r="Z534" s="6" t="s">
        <v>701</v>
      </c>
      <c r="AA534" s="6" t="s">
        <v>235</v>
      </c>
    </row>
    <row r="535" spans="1:27">
      <c r="A535" s="6">
        <v>534</v>
      </c>
      <c r="B535" s="6" t="s">
        <v>225</v>
      </c>
      <c r="C535" s="7">
        <v>46120</v>
      </c>
      <c r="D535" s="6" t="s">
        <v>226</v>
      </c>
      <c r="E535" s="6" t="s">
        <v>1477</v>
      </c>
      <c r="F535" s="6" t="s">
        <v>240</v>
      </c>
      <c r="G535" s="6">
        <v>8</v>
      </c>
      <c r="H535" s="11" t="s">
        <v>2112</v>
      </c>
      <c r="I535" s="11">
        <v>8891008889</v>
      </c>
      <c r="J535" s="10" t="s">
        <v>2113</v>
      </c>
      <c r="K535" s="10" t="s">
        <v>2113</v>
      </c>
      <c r="L535" s="6">
        <v>4000</v>
      </c>
      <c r="M535" s="6">
        <v>4000</v>
      </c>
      <c r="N535" s="7" t="s">
        <v>239</v>
      </c>
      <c r="O535" s="6" t="s">
        <v>239</v>
      </c>
      <c r="P535" s="6" t="s">
        <v>239</v>
      </c>
      <c r="Q535" s="6" t="s">
        <v>236</v>
      </c>
      <c r="R535" s="6"/>
      <c r="S535" s="6">
        <f t="shared" si="8"/>
        <v>4000</v>
      </c>
      <c r="T535" s="6"/>
      <c r="U535" s="6"/>
      <c r="V535" s="6"/>
      <c r="W535" s="6" t="s">
        <v>236</v>
      </c>
      <c r="X535" s="6" t="s">
        <v>236</v>
      </c>
      <c r="Y535" s="6" t="s">
        <v>236</v>
      </c>
      <c r="Z535" s="6" t="s">
        <v>236</v>
      </c>
      <c r="AA535" s="6" t="s">
        <v>236</v>
      </c>
    </row>
    <row r="536" spans="1:27">
      <c r="A536" s="6">
        <v>535</v>
      </c>
      <c r="B536" s="6" t="s">
        <v>225</v>
      </c>
      <c r="C536" s="7">
        <v>46120</v>
      </c>
      <c r="D536" s="6" t="s">
        <v>226</v>
      </c>
      <c r="E536" s="6" t="s">
        <v>1477</v>
      </c>
      <c r="F536" s="6" t="s">
        <v>240</v>
      </c>
      <c r="G536" s="6">
        <v>8</v>
      </c>
      <c r="H536" s="11" t="s">
        <v>2114</v>
      </c>
      <c r="I536" s="6">
        <v>9032112232</v>
      </c>
      <c r="J536" s="10" t="s">
        <v>2115</v>
      </c>
      <c r="K536" s="10" t="s">
        <v>2115</v>
      </c>
      <c r="L536" s="6">
        <v>2160</v>
      </c>
      <c r="M536" s="6">
        <v>2160</v>
      </c>
      <c r="N536" s="7" t="s">
        <v>239</v>
      </c>
      <c r="O536" s="6" t="s">
        <v>239</v>
      </c>
      <c r="P536" s="6" t="s">
        <v>239</v>
      </c>
      <c r="Q536" s="6" t="s">
        <v>236</v>
      </c>
      <c r="R536" s="6"/>
      <c r="S536" s="6">
        <f t="shared" si="8"/>
        <v>2160</v>
      </c>
      <c r="T536" s="6"/>
      <c r="U536" s="6"/>
      <c r="V536" s="6"/>
      <c r="W536" s="6" t="s">
        <v>236</v>
      </c>
      <c r="X536" s="6" t="s">
        <v>236</v>
      </c>
      <c r="Y536" s="6" t="s">
        <v>236</v>
      </c>
      <c r="Z536" s="6" t="s">
        <v>236</v>
      </c>
      <c r="AA536" s="6" t="s">
        <v>236</v>
      </c>
    </row>
    <row r="537" spans="1:27">
      <c r="A537" s="6">
        <v>536</v>
      </c>
      <c r="B537" s="6" t="s">
        <v>342</v>
      </c>
      <c r="C537" s="7">
        <v>46120</v>
      </c>
      <c r="D537" s="6" t="s">
        <v>226</v>
      </c>
      <c r="E537" s="6" t="s">
        <v>1477</v>
      </c>
      <c r="F537" s="6" t="s">
        <v>240</v>
      </c>
      <c r="G537" s="6">
        <v>8</v>
      </c>
      <c r="H537" s="11" t="s">
        <v>2116</v>
      </c>
      <c r="I537" s="6">
        <v>7598626417</v>
      </c>
      <c r="J537" s="10" t="s">
        <v>2117</v>
      </c>
      <c r="K537" s="10" t="s">
        <v>2117</v>
      </c>
      <c r="L537" s="6">
        <v>3070</v>
      </c>
      <c r="M537" s="6">
        <v>3070</v>
      </c>
      <c r="N537" s="7" t="s">
        <v>239</v>
      </c>
      <c r="O537" s="6" t="s">
        <v>239</v>
      </c>
      <c r="P537" s="6" t="s">
        <v>239</v>
      </c>
      <c r="Q537" s="6" t="s">
        <v>236</v>
      </c>
      <c r="R537" s="6"/>
      <c r="S537" s="6">
        <f t="shared" si="8"/>
        <v>3070</v>
      </c>
      <c r="T537" s="6"/>
      <c r="U537" s="6"/>
      <c r="V537" s="6"/>
      <c r="W537" s="6" t="s">
        <v>236</v>
      </c>
      <c r="X537" s="6" t="s">
        <v>236</v>
      </c>
      <c r="Y537" s="6" t="s">
        <v>236</v>
      </c>
      <c r="Z537" s="6" t="s">
        <v>236</v>
      </c>
      <c r="AA537" s="6" t="s">
        <v>236</v>
      </c>
    </row>
    <row r="538" spans="1:27">
      <c r="A538" s="6">
        <v>537</v>
      </c>
      <c r="B538" s="6" t="s">
        <v>225</v>
      </c>
      <c r="C538" s="7">
        <v>46120</v>
      </c>
      <c r="D538" s="6" t="s">
        <v>226</v>
      </c>
      <c r="E538" s="6" t="s">
        <v>1477</v>
      </c>
      <c r="F538" s="6" t="s">
        <v>240</v>
      </c>
      <c r="G538" s="6">
        <v>8</v>
      </c>
      <c r="H538" s="11" t="s">
        <v>2118</v>
      </c>
      <c r="I538" s="11">
        <v>9951188761</v>
      </c>
      <c r="J538" s="10" t="s">
        <v>2119</v>
      </c>
      <c r="K538" s="10" t="s">
        <v>2119</v>
      </c>
      <c r="L538" s="6">
        <v>1100</v>
      </c>
      <c r="M538" s="6">
        <v>1100</v>
      </c>
      <c r="N538" s="7" t="s">
        <v>239</v>
      </c>
      <c r="O538" s="6" t="s">
        <v>239</v>
      </c>
      <c r="P538" s="6" t="s">
        <v>239</v>
      </c>
      <c r="Q538" s="6" t="s">
        <v>236</v>
      </c>
      <c r="R538" s="6"/>
      <c r="S538" s="6">
        <f t="shared" si="8"/>
        <v>1100</v>
      </c>
      <c r="T538" s="6"/>
      <c r="U538" s="6"/>
      <c r="V538" s="6"/>
      <c r="W538" s="6" t="s">
        <v>236</v>
      </c>
      <c r="X538" s="6" t="s">
        <v>236</v>
      </c>
      <c r="Y538" s="6" t="s">
        <v>236</v>
      </c>
      <c r="Z538" s="6" t="s">
        <v>236</v>
      </c>
      <c r="AA538" s="6" t="s">
        <v>236</v>
      </c>
    </row>
    <row r="539" spans="1:27">
      <c r="A539" s="6">
        <v>538</v>
      </c>
      <c r="B539" s="6" t="s">
        <v>342</v>
      </c>
      <c r="C539" s="7">
        <v>46120</v>
      </c>
      <c r="D539" s="6" t="s">
        <v>226</v>
      </c>
      <c r="E539" s="6" t="s">
        <v>1477</v>
      </c>
      <c r="F539" s="6" t="s">
        <v>240</v>
      </c>
      <c r="G539" s="6">
        <v>8</v>
      </c>
      <c r="H539" s="11" t="s">
        <v>2120</v>
      </c>
      <c r="I539" s="6">
        <v>8466895426</v>
      </c>
      <c r="J539" s="10" t="s">
        <v>2121</v>
      </c>
      <c r="K539" s="10" t="s">
        <v>2121</v>
      </c>
      <c r="L539" s="6">
        <v>700</v>
      </c>
      <c r="M539" s="6">
        <v>700</v>
      </c>
      <c r="N539" s="7" t="s">
        <v>239</v>
      </c>
      <c r="O539" s="6" t="s">
        <v>239</v>
      </c>
      <c r="P539" s="6" t="s">
        <v>239</v>
      </c>
      <c r="Q539" s="6" t="s">
        <v>236</v>
      </c>
      <c r="R539" s="6"/>
      <c r="S539" s="6">
        <f t="shared" si="8"/>
        <v>700</v>
      </c>
      <c r="T539" s="6"/>
      <c r="U539" s="6"/>
      <c r="V539" s="6"/>
      <c r="W539" s="6" t="s">
        <v>236</v>
      </c>
      <c r="X539" s="6" t="s">
        <v>236</v>
      </c>
      <c r="Y539" s="6" t="s">
        <v>236</v>
      </c>
      <c r="Z539" s="6" t="s">
        <v>236</v>
      </c>
      <c r="AA539" s="6" t="s">
        <v>236</v>
      </c>
    </row>
    <row r="540" spans="1:27">
      <c r="A540" s="6">
        <v>539</v>
      </c>
      <c r="B540" s="6" t="s">
        <v>225</v>
      </c>
      <c r="C540" s="7">
        <v>46120</v>
      </c>
      <c r="D540" s="6" t="s">
        <v>226</v>
      </c>
      <c r="E540" s="6" t="s">
        <v>1477</v>
      </c>
      <c r="F540" s="6" t="s">
        <v>240</v>
      </c>
      <c r="G540" s="6">
        <v>8</v>
      </c>
      <c r="H540" s="11" t="s">
        <v>2122</v>
      </c>
      <c r="I540" s="6">
        <v>9845466693</v>
      </c>
      <c r="J540" s="10" t="s">
        <v>2123</v>
      </c>
      <c r="K540" s="10" t="s">
        <v>2123</v>
      </c>
      <c r="L540" s="6">
        <v>790</v>
      </c>
      <c r="M540" s="6">
        <v>790</v>
      </c>
      <c r="N540" s="7" t="s">
        <v>239</v>
      </c>
      <c r="O540" s="6" t="s">
        <v>239</v>
      </c>
      <c r="P540" s="6" t="s">
        <v>239</v>
      </c>
      <c r="Q540" s="6" t="s">
        <v>236</v>
      </c>
      <c r="R540" s="6"/>
      <c r="S540" s="6">
        <f t="shared" si="8"/>
        <v>790</v>
      </c>
      <c r="T540" s="6"/>
      <c r="U540" s="6"/>
      <c r="V540" s="6"/>
      <c r="W540" s="6" t="s">
        <v>236</v>
      </c>
      <c r="X540" s="6" t="s">
        <v>236</v>
      </c>
      <c r="Y540" s="6" t="s">
        <v>236</v>
      </c>
      <c r="Z540" s="6" t="s">
        <v>236</v>
      </c>
      <c r="AA540" s="6" t="s">
        <v>236</v>
      </c>
    </row>
    <row r="541" spans="1:27">
      <c r="A541" s="6">
        <v>540</v>
      </c>
      <c r="B541" s="6" t="s">
        <v>225</v>
      </c>
      <c r="C541" s="7">
        <v>46120</v>
      </c>
      <c r="D541" s="6" t="s">
        <v>226</v>
      </c>
      <c r="E541" s="6" t="s">
        <v>1477</v>
      </c>
      <c r="F541" s="6" t="s">
        <v>240</v>
      </c>
      <c r="G541" s="6">
        <v>8</v>
      </c>
      <c r="H541" s="11" t="s">
        <v>2124</v>
      </c>
      <c r="I541" s="6">
        <v>9066769625</v>
      </c>
      <c r="J541" s="10" t="s">
        <v>2125</v>
      </c>
      <c r="K541" s="10" t="s">
        <v>2125</v>
      </c>
      <c r="L541" s="6">
        <v>320</v>
      </c>
      <c r="M541" s="6">
        <v>320</v>
      </c>
      <c r="N541" s="7" t="s">
        <v>239</v>
      </c>
      <c r="O541" s="6" t="s">
        <v>239</v>
      </c>
      <c r="P541" s="6" t="s">
        <v>239</v>
      </c>
      <c r="Q541" s="6" t="s">
        <v>236</v>
      </c>
      <c r="R541" s="6"/>
      <c r="S541" s="6">
        <f t="shared" si="8"/>
        <v>320</v>
      </c>
      <c r="T541" s="6"/>
      <c r="U541" s="6"/>
      <c r="V541" s="6"/>
      <c r="W541" s="6" t="s">
        <v>236</v>
      </c>
      <c r="X541" s="6" t="s">
        <v>236</v>
      </c>
      <c r="Y541" s="6" t="s">
        <v>236</v>
      </c>
      <c r="Z541" s="6" t="s">
        <v>236</v>
      </c>
      <c r="AA541" s="6" t="s">
        <v>236</v>
      </c>
    </row>
    <row r="542" spans="1:27">
      <c r="A542" s="6">
        <v>541</v>
      </c>
      <c r="B542" s="6" t="s">
        <v>225</v>
      </c>
      <c r="C542" s="7">
        <v>46120</v>
      </c>
      <c r="D542" s="6" t="s">
        <v>226</v>
      </c>
      <c r="E542" s="6" t="s">
        <v>1477</v>
      </c>
      <c r="F542" s="6" t="s">
        <v>240</v>
      </c>
      <c r="G542" s="6">
        <v>8</v>
      </c>
      <c r="H542" s="11" t="s">
        <v>2126</v>
      </c>
      <c r="I542" s="6">
        <v>9445169944</v>
      </c>
      <c r="J542" s="10" t="s">
        <v>2127</v>
      </c>
      <c r="K542" s="10" t="s">
        <v>2127</v>
      </c>
      <c r="L542" s="6">
        <v>800</v>
      </c>
      <c r="M542" s="6">
        <v>800</v>
      </c>
      <c r="N542" s="7" t="s">
        <v>239</v>
      </c>
      <c r="O542" s="6" t="s">
        <v>239</v>
      </c>
      <c r="P542" s="6" t="s">
        <v>239</v>
      </c>
      <c r="Q542" s="6" t="s">
        <v>236</v>
      </c>
      <c r="R542" s="6"/>
      <c r="S542" s="6">
        <f t="shared" si="8"/>
        <v>800</v>
      </c>
      <c r="T542" s="6"/>
      <c r="U542" s="6"/>
      <c r="V542" s="6"/>
      <c r="W542" s="6" t="s">
        <v>236</v>
      </c>
      <c r="X542" s="6" t="s">
        <v>236</v>
      </c>
      <c r="Y542" s="6" t="s">
        <v>236</v>
      </c>
      <c r="Z542" s="6" t="s">
        <v>236</v>
      </c>
      <c r="AA542" s="6" t="s">
        <v>236</v>
      </c>
    </row>
    <row r="543" spans="1:27">
      <c r="A543" s="6">
        <v>542</v>
      </c>
      <c r="B543" s="6" t="s">
        <v>225</v>
      </c>
      <c r="C543" s="7">
        <v>46120</v>
      </c>
      <c r="D543" s="6" t="s">
        <v>226</v>
      </c>
      <c r="E543" s="6" t="s">
        <v>1477</v>
      </c>
      <c r="F543" s="6" t="s">
        <v>240</v>
      </c>
      <c r="G543" s="6">
        <v>8</v>
      </c>
      <c r="H543" s="11" t="s">
        <v>2128</v>
      </c>
      <c r="I543" s="6">
        <v>9951429222</v>
      </c>
      <c r="J543" s="10" t="s">
        <v>2129</v>
      </c>
      <c r="K543" s="10" t="s">
        <v>2129</v>
      </c>
      <c r="L543" s="6">
        <v>150</v>
      </c>
      <c r="M543" s="6">
        <v>150</v>
      </c>
      <c r="N543" s="7" t="s">
        <v>239</v>
      </c>
      <c r="O543" s="6" t="s">
        <v>239</v>
      </c>
      <c r="P543" s="6" t="s">
        <v>239</v>
      </c>
      <c r="Q543" s="6" t="s">
        <v>236</v>
      </c>
      <c r="R543" s="6"/>
      <c r="S543" s="6">
        <f t="shared" si="8"/>
        <v>150</v>
      </c>
      <c r="T543" s="6"/>
      <c r="U543" s="6"/>
      <c r="V543" s="6"/>
      <c r="W543" s="6" t="s">
        <v>236</v>
      </c>
      <c r="X543" s="6" t="s">
        <v>236</v>
      </c>
      <c r="Y543" s="6" t="s">
        <v>236</v>
      </c>
      <c r="Z543" s="6" t="s">
        <v>236</v>
      </c>
      <c r="AA543" s="6" t="s">
        <v>236</v>
      </c>
    </row>
    <row r="544" spans="1:27">
      <c r="A544" s="6">
        <v>543</v>
      </c>
      <c r="B544" s="6" t="s">
        <v>342</v>
      </c>
      <c r="C544" s="7">
        <v>46120</v>
      </c>
      <c r="D544" s="6" t="s">
        <v>226</v>
      </c>
      <c r="E544" s="6" t="s">
        <v>1477</v>
      </c>
      <c r="F544" s="6" t="s">
        <v>240</v>
      </c>
      <c r="G544" s="6">
        <v>8</v>
      </c>
      <c r="H544" s="11" t="s">
        <v>2130</v>
      </c>
      <c r="I544" s="6">
        <v>6369959830</v>
      </c>
      <c r="J544" s="10" t="s">
        <v>2131</v>
      </c>
      <c r="K544" s="10" t="s">
        <v>2131</v>
      </c>
      <c r="L544" s="6">
        <v>100</v>
      </c>
      <c r="M544" s="6">
        <v>100</v>
      </c>
      <c r="N544" s="7" t="s">
        <v>239</v>
      </c>
      <c r="O544" s="6" t="s">
        <v>239</v>
      </c>
      <c r="P544" s="6" t="s">
        <v>239</v>
      </c>
      <c r="Q544" s="6" t="s">
        <v>236</v>
      </c>
      <c r="R544" s="6"/>
      <c r="S544" s="6">
        <f t="shared" si="8"/>
        <v>100</v>
      </c>
      <c r="T544" s="6"/>
      <c r="U544" s="6"/>
      <c r="V544" s="6"/>
      <c r="W544" s="6" t="s">
        <v>236</v>
      </c>
      <c r="X544" s="6" t="s">
        <v>236</v>
      </c>
      <c r="Y544" s="6" t="s">
        <v>236</v>
      </c>
      <c r="Z544" s="6" t="s">
        <v>236</v>
      </c>
      <c r="AA544" s="6" t="s">
        <v>236</v>
      </c>
    </row>
    <row r="545" spans="1:27">
      <c r="A545" s="6">
        <v>544</v>
      </c>
      <c r="B545" s="6" t="s">
        <v>225</v>
      </c>
      <c r="C545" s="7">
        <v>46120</v>
      </c>
      <c r="D545" s="6" t="s">
        <v>226</v>
      </c>
      <c r="E545" s="6" t="s">
        <v>1477</v>
      </c>
      <c r="F545" s="6" t="s">
        <v>240</v>
      </c>
      <c r="G545" s="6">
        <v>8</v>
      </c>
      <c r="H545" s="11" t="s">
        <v>2132</v>
      </c>
      <c r="I545" s="6">
        <v>8848351392</v>
      </c>
      <c r="J545" s="10" t="s">
        <v>2133</v>
      </c>
      <c r="K545" s="10" t="s">
        <v>2133</v>
      </c>
      <c r="L545" s="6">
        <v>570</v>
      </c>
      <c r="M545" s="6">
        <v>570</v>
      </c>
      <c r="N545" s="7" t="s">
        <v>239</v>
      </c>
      <c r="O545" s="6" t="s">
        <v>239</v>
      </c>
      <c r="P545" s="6" t="s">
        <v>239</v>
      </c>
      <c r="Q545" s="6" t="s">
        <v>236</v>
      </c>
      <c r="R545" s="6"/>
      <c r="S545" s="6">
        <f t="shared" si="8"/>
        <v>570</v>
      </c>
      <c r="T545" s="6"/>
      <c r="U545" s="6"/>
      <c r="V545" s="6"/>
      <c r="W545" s="6" t="s">
        <v>236</v>
      </c>
      <c r="X545" s="6" t="s">
        <v>236</v>
      </c>
      <c r="Y545" s="6" t="s">
        <v>236</v>
      </c>
      <c r="Z545" s="6" t="s">
        <v>236</v>
      </c>
      <c r="AA545" s="6" t="s">
        <v>236</v>
      </c>
    </row>
    <row r="546" spans="1:27">
      <c r="A546" s="6">
        <v>545</v>
      </c>
      <c r="B546" s="6" t="s">
        <v>342</v>
      </c>
      <c r="C546" s="7">
        <v>46120</v>
      </c>
      <c r="D546" s="6" t="s">
        <v>226</v>
      </c>
      <c r="E546" s="6" t="s">
        <v>1477</v>
      </c>
      <c r="F546" s="6" t="s">
        <v>240</v>
      </c>
      <c r="G546" s="6">
        <v>8</v>
      </c>
      <c r="H546" s="11" t="s">
        <v>2134</v>
      </c>
      <c r="I546" s="6">
        <v>7671823849</v>
      </c>
      <c r="J546" s="10" t="s">
        <v>2135</v>
      </c>
      <c r="K546" s="10" t="s">
        <v>2135</v>
      </c>
      <c r="L546" s="6">
        <v>250</v>
      </c>
      <c r="M546" s="6">
        <v>250</v>
      </c>
      <c r="N546" s="7" t="s">
        <v>239</v>
      </c>
      <c r="O546" s="6" t="s">
        <v>239</v>
      </c>
      <c r="P546" s="6" t="s">
        <v>239</v>
      </c>
      <c r="Q546" s="6" t="s">
        <v>236</v>
      </c>
      <c r="R546" s="6"/>
      <c r="S546" s="6">
        <f t="shared" si="8"/>
        <v>250</v>
      </c>
      <c r="T546" s="6"/>
      <c r="U546" s="6"/>
      <c r="V546" s="6"/>
      <c r="W546" s="6" t="s">
        <v>236</v>
      </c>
      <c r="X546" s="6" t="s">
        <v>236</v>
      </c>
      <c r="Y546" s="6" t="s">
        <v>236</v>
      </c>
      <c r="Z546" s="6" t="s">
        <v>236</v>
      </c>
      <c r="AA546" s="6" t="s">
        <v>236</v>
      </c>
    </row>
    <row r="547" spans="1:27">
      <c r="A547" s="6">
        <v>546</v>
      </c>
      <c r="B547" s="6" t="s">
        <v>225</v>
      </c>
      <c r="C547" s="7">
        <v>46120</v>
      </c>
      <c r="D547" s="6" t="s">
        <v>226</v>
      </c>
      <c r="E547" s="6" t="s">
        <v>1477</v>
      </c>
      <c r="F547" s="6" t="s">
        <v>310</v>
      </c>
      <c r="G547" s="6">
        <v>8</v>
      </c>
      <c r="H547" s="12" t="s">
        <v>2136</v>
      </c>
      <c r="I547" s="12" t="s">
        <v>2137</v>
      </c>
      <c r="J547" s="10" t="s">
        <v>2138</v>
      </c>
      <c r="K547" s="10" t="s">
        <v>2138</v>
      </c>
      <c r="L547" s="6">
        <v>5000</v>
      </c>
      <c r="M547" s="6">
        <v>1360</v>
      </c>
      <c r="N547" s="7" t="s">
        <v>239</v>
      </c>
      <c r="O547" s="6" t="s">
        <v>239</v>
      </c>
      <c r="P547" s="6" t="s">
        <v>239</v>
      </c>
      <c r="Q547" s="6" t="s">
        <v>314</v>
      </c>
      <c r="R547" s="6"/>
      <c r="S547" s="6">
        <f t="shared" si="8"/>
        <v>1360</v>
      </c>
      <c r="T547" s="6"/>
      <c r="U547" s="6"/>
      <c r="V547" s="6"/>
      <c r="W547" s="12" t="s">
        <v>315</v>
      </c>
      <c r="X547" s="12" t="s">
        <v>1317</v>
      </c>
      <c r="Y547" s="12" t="s">
        <v>2139</v>
      </c>
      <c r="Z547" s="6" t="s">
        <v>2140</v>
      </c>
      <c r="AA547" s="6" t="s">
        <v>40</v>
      </c>
    </row>
    <row r="548" spans="1:27">
      <c r="A548" s="6">
        <v>547</v>
      </c>
      <c r="B548" s="6" t="s">
        <v>225</v>
      </c>
      <c r="C548" s="7">
        <v>46123</v>
      </c>
      <c r="D548" s="6" t="s">
        <v>933</v>
      </c>
      <c r="E548" s="6" t="s">
        <v>1477</v>
      </c>
      <c r="F548" s="6" t="s">
        <v>30</v>
      </c>
      <c r="G548" s="6">
        <v>22</v>
      </c>
      <c r="H548" s="31" t="s">
        <v>942</v>
      </c>
      <c r="I548" s="6">
        <v>8978011265</v>
      </c>
      <c r="J548" s="17" t="s">
        <v>944</v>
      </c>
      <c r="K548" s="6" t="s">
        <v>945</v>
      </c>
      <c r="L548" s="14">
        <v>3164</v>
      </c>
      <c r="M548" s="6">
        <v>3165</v>
      </c>
      <c r="N548" s="7" t="s">
        <v>239</v>
      </c>
      <c r="O548" s="6" t="s">
        <v>239</v>
      </c>
      <c r="P548" s="6" t="s">
        <v>239</v>
      </c>
      <c r="Q548" s="6" t="s">
        <v>939</v>
      </c>
      <c r="R548" s="6"/>
      <c r="S548" s="6">
        <f t="shared" si="8"/>
        <v>3165</v>
      </c>
      <c r="T548" s="6"/>
      <c r="U548" s="6"/>
      <c r="V548" s="6"/>
      <c r="W548" s="6" t="s">
        <v>939</v>
      </c>
      <c r="X548" s="6" t="s">
        <v>2141</v>
      </c>
      <c r="Y548" s="6" t="s">
        <v>2142</v>
      </c>
      <c r="Z548" s="6" t="s">
        <v>390</v>
      </c>
      <c r="AA548" s="6" t="s">
        <v>235</v>
      </c>
    </row>
    <row r="549" spans="1:27">
      <c r="A549" s="6">
        <v>548</v>
      </c>
      <c r="B549" s="6" t="s">
        <v>225</v>
      </c>
      <c r="C549" s="7">
        <v>46123</v>
      </c>
      <c r="D549" s="6" t="s">
        <v>933</v>
      </c>
      <c r="E549" s="6" t="s">
        <v>1477</v>
      </c>
      <c r="F549" s="6" t="s">
        <v>30</v>
      </c>
      <c r="G549" s="6">
        <v>22</v>
      </c>
      <c r="H549" s="26" t="s">
        <v>2143</v>
      </c>
      <c r="I549" s="6">
        <v>8106890646</v>
      </c>
      <c r="J549" s="17" t="s">
        <v>2144</v>
      </c>
      <c r="K549" s="6" t="s">
        <v>2145</v>
      </c>
      <c r="L549" s="14">
        <v>2342.6</v>
      </c>
      <c r="M549" s="6">
        <v>2345</v>
      </c>
      <c r="N549" s="7" t="s">
        <v>239</v>
      </c>
      <c r="O549" s="6" t="s">
        <v>239</v>
      </c>
      <c r="P549" s="6" t="s">
        <v>239</v>
      </c>
      <c r="Q549" s="6" t="s">
        <v>939</v>
      </c>
      <c r="R549" s="6"/>
      <c r="S549" s="6">
        <f t="shared" si="8"/>
        <v>2345</v>
      </c>
      <c r="T549" s="6"/>
      <c r="U549" s="6"/>
      <c r="V549" s="6"/>
      <c r="W549" s="6" t="s">
        <v>939</v>
      </c>
      <c r="X549" s="6" t="s">
        <v>2141</v>
      </c>
      <c r="Y549" s="6" t="s">
        <v>2146</v>
      </c>
      <c r="Z549" s="6" t="s">
        <v>710</v>
      </c>
      <c r="AA549" s="6" t="s">
        <v>235</v>
      </c>
    </row>
    <row r="550" spans="1:27">
      <c r="A550" s="6">
        <v>549</v>
      </c>
      <c r="B550" s="6" t="s">
        <v>225</v>
      </c>
      <c r="C550" s="7">
        <v>46123</v>
      </c>
      <c r="D550" s="6" t="s">
        <v>933</v>
      </c>
      <c r="E550" s="6" t="s">
        <v>1477</v>
      </c>
      <c r="F550" s="6" t="s">
        <v>30</v>
      </c>
      <c r="G550" s="6">
        <v>22</v>
      </c>
      <c r="H550" s="26" t="s">
        <v>2147</v>
      </c>
      <c r="I550" s="6">
        <v>8019516428</v>
      </c>
      <c r="J550" s="17" t="s">
        <v>2148</v>
      </c>
      <c r="K550" s="6" t="s">
        <v>2149</v>
      </c>
      <c r="L550" s="14">
        <v>1250</v>
      </c>
      <c r="M550" s="6">
        <v>1251</v>
      </c>
      <c r="N550" s="7" t="s">
        <v>239</v>
      </c>
      <c r="O550" s="6" t="s">
        <v>239</v>
      </c>
      <c r="P550" s="6" t="s">
        <v>239</v>
      </c>
      <c r="Q550" s="6" t="s">
        <v>939</v>
      </c>
      <c r="R550" s="6"/>
      <c r="S550" s="6">
        <f t="shared" si="8"/>
        <v>1251</v>
      </c>
      <c r="T550" s="6"/>
      <c r="U550" s="6"/>
      <c r="V550" s="6"/>
      <c r="W550" s="6" t="s">
        <v>939</v>
      </c>
      <c r="X550" s="6" t="s">
        <v>2150</v>
      </c>
      <c r="Y550" s="6" t="s">
        <v>2151</v>
      </c>
      <c r="Z550" s="6" t="s">
        <v>1973</v>
      </c>
      <c r="AA550" s="6" t="s">
        <v>235</v>
      </c>
    </row>
    <row r="551" spans="1:27">
      <c r="A551" s="6">
        <v>550</v>
      </c>
      <c r="B551" s="6" t="s">
        <v>225</v>
      </c>
      <c r="C551" s="7">
        <v>46123</v>
      </c>
      <c r="D551" s="6" t="s">
        <v>933</v>
      </c>
      <c r="E551" s="6" t="s">
        <v>1477</v>
      </c>
      <c r="F551" s="6" t="s">
        <v>30</v>
      </c>
      <c r="G551" s="6">
        <v>22</v>
      </c>
      <c r="H551" s="26" t="s">
        <v>2152</v>
      </c>
      <c r="I551" s="6">
        <v>9381387963</v>
      </c>
      <c r="J551" s="17" t="s">
        <v>2153</v>
      </c>
      <c r="K551" s="6" t="s">
        <v>2154</v>
      </c>
      <c r="L551" s="14">
        <v>3030</v>
      </c>
      <c r="M551" s="6">
        <v>731</v>
      </c>
      <c r="N551" s="7" t="s">
        <v>239</v>
      </c>
      <c r="O551" s="6" t="s">
        <v>239</v>
      </c>
      <c r="P551" s="6" t="s">
        <v>239</v>
      </c>
      <c r="Q551" s="6" t="s">
        <v>939</v>
      </c>
      <c r="R551" s="6"/>
      <c r="S551" s="6">
        <f t="shared" si="8"/>
        <v>731</v>
      </c>
      <c r="T551" s="6"/>
      <c r="U551" s="6"/>
      <c r="V551" s="6"/>
      <c r="W551" s="6" t="s">
        <v>939</v>
      </c>
      <c r="X551" s="6" t="s">
        <v>1287</v>
      </c>
      <c r="Y551" s="6" t="s">
        <v>2155</v>
      </c>
      <c r="Z551" s="6" t="s">
        <v>71</v>
      </c>
      <c r="AA551" s="6" t="s">
        <v>235</v>
      </c>
    </row>
    <row r="552" spans="1:27">
      <c r="A552" s="6">
        <v>551</v>
      </c>
      <c r="B552" s="6" t="s">
        <v>225</v>
      </c>
      <c r="C552" s="7">
        <v>46123</v>
      </c>
      <c r="D552" s="6" t="s">
        <v>933</v>
      </c>
      <c r="E552" s="6" t="s">
        <v>1477</v>
      </c>
      <c r="F552" s="6" t="s">
        <v>966</v>
      </c>
      <c r="G552" s="6">
        <v>13</v>
      </c>
      <c r="H552" s="12" t="s">
        <v>2156</v>
      </c>
      <c r="I552" s="12">
        <v>6309181435</v>
      </c>
      <c r="J552" s="23" t="s">
        <v>2157</v>
      </c>
      <c r="K552" s="23" t="s">
        <v>2157</v>
      </c>
      <c r="L552" s="13">
        <v>9503</v>
      </c>
      <c r="M552" s="13">
        <v>9503</v>
      </c>
      <c r="N552" s="7"/>
      <c r="O552" s="6" t="s">
        <v>2158</v>
      </c>
      <c r="P552" s="6" t="s">
        <v>52</v>
      </c>
      <c r="Q552" s="6" t="s">
        <v>2159</v>
      </c>
      <c r="R552" s="6"/>
      <c r="S552" s="6">
        <f t="shared" si="8"/>
        <v>9503</v>
      </c>
      <c r="T552" s="6"/>
      <c r="U552" s="6" t="s">
        <v>2160</v>
      </c>
      <c r="V552" s="6"/>
      <c r="W552" s="6" t="s">
        <v>2161</v>
      </c>
      <c r="X552" s="12" t="s">
        <v>2162</v>
      </c>
      <c r="Y552" s="12" t="s">
        <v>2163</v>
      </c>
      <c r="Z552" s="6" t="s">
        <v>1336</v>
      </c>
      <c r="AA552" s="6" t="s">
        <v>235</v>
      </c>
    </row>
    <row r="553" spans="1:27">
      <c r="A553" s="6">
        <v>552</v>
      </c>
      <c r="B553" s="6" t="s">
        <v>342</v>
      </c>
      <c r="C553" s="7">
        <v>46123</v>
      </c>
      <c r="D553" s="6" t="s">
        <v>226</v>
      </c>
      <c r="E553" s="6" t="s">
        <v>1477</v>
      </c>
      <c r="F553" s="6" t="s">
        <v>746</v>
      </c>
      <c r="G553" s="6">
        <v>11</v>
      </c>
      <c r="H553" s="11" t="s">
        <v>2164</v>
      </c>
      <c r="I553" s="11">
        <v>9908182640</v>
      </c>
      <c r="J553" s="10" t="s">
        <v>2165</v>
      </c>
      <c r="K553" s="10" t="s">
        <v>2165</v>
      </c>
      <c r="L553" s="6">
        <v>108</v>
      </c>
      <c r="M553" s="6">
        <v>108</v>
      </c>
      <c r="N553" s="7" t="s">
        <v>239</v>
      </c>
      <c r="O553" s="6" t="s">
        <v>239</v>
      </c>
      <c r="P553" s="6" t="s">
        <v>239</v>
      </c>
      <c r="Q553" s="6" t="s">
        <v>236</v>
      </c>
      <c r="R553" s="6"/>
      <c r="S553" s="6">
        <f t="shared" si="8"/>
        <v>108</v>
      </c>
      <c r="T553" s="6"/>
      <c r="U553" s="6"/>
      <c r="V553" s="6"/>
      <c r="W553" s="6" t="s">
        <v>236</v>
      </c>
      <c r="X553" s="6" t="s">
        <v>236</v>
      </c>
      <c r="Y553" s="6" t="s">
        <v>236</v>
      </c>
      <c r="Z553" s="6" t="s">
        <v>236</v>
      </c>
      <c r="AA553" s="6" t="s">
        <v>236</v>
      </c>
    </row>
    <row r="554" spans="1:27">
      <c r="A554" s="6">
        <v>553</v>
      </c>
      <c r="B554" s="6" t="s">
        <v>225</v>
      </c>
      <c r="C554" s="7">
        <v>46123</v>
      </c>
      <c r="D554" s="6" t="s">
        <v>226</v>
      </c>
      <c r="E554" s="6" t="s">
        <v>1477</v>
      </c>
      <c r="F554" s="6" t="s">
        <v>267</v>
      </c>
      <c r="G554" s="6">
        <v>11</v>
      </c>
      <c r="H554" s="11" t="s">
        <v>2166</v>
      </c>
      <c r="I554" s="11">
        <v>9591089785</v>
      </c>
      <c r="J554" s="10" t="s">
        <v>2167</v>
      </c>
      <c r="K554" s="10" t="s">
        <v>2167</v>
      </c>
      <c r="L554" s="6">
        <v>1530</v>
      </c>
      <c r="M554" s="6">
        <v>1530</v>
      </c>
      <c r="N554" s="7" t="s">
        <v>239</v>
      </c>
      <c r="O554" s="6" t="s">
        <v>239</v>
      </c>
      <c r="P554" s="6" t="s">
        <v>239</v>
      </c>
      <c r="Q554" s="6" t="s">
        <v>236</v>
      </c>
      <c r="R554" s="6"/>
      <c r="S554" s="6">
        <f t="shared" si="8"/>
        <v>1530</v>
      </c>
      <c r="T554" s="6"/>
      <c r="U554" s="6"/>
      <c r="V554" s="6"/>
      <c r="W554" s="6" t="s">
        <v>236</v>
      </c>
      <c r="X554" s="6" t="s">
        <v>236</v>
      </c>
      <c r="Y554" s="6" t="s">
        <v>236</v>
      </c>
      <c r="Z554" s="6" t="s">
        <v>236</v>
      </c>
      <c r="AA554" s="6" t="s">
        <v>236</v>
      </c>
    </row>
    <row r="555" spans="1:27">
      <c r="A555" s="6">
        <v>554</v>
      </c>
      <c r="B555" s="6" t="s">
        <v>225</v>
      </c>
      <c r="C555" s="7">
        <v>46123</v>
      </c>
      <c r="D555" s="6" t="s">
        <v>226</v>
      </c>
      <c r="E555" s="6" t="s">
        <v>1477</v>
      </c>
      <c r="F555" s="6" t="s">
        <v>267</v>
      </c>
      <c r="G555" s="6">
        <v>11</v>
      </c>
      <c r="H555" s="11" t="s">
        <v>2168</v>
      </c>
      <c r="I555" s="11">
        <v>8124475004</v>
      </c>
      <c r="J555" s="10" t="s">
        <v>2169</v>
      </c>
      <c r="K555" s="10" t="s">
        <v>2169</v>
      </c>
      <c r="L555" s="6">
        <v>4840</v>
      </c>
      <c r="M555" s="6">
        <v>4840</v>
      </c>
      <c r="N555" s="7" t="s">
        <v>239</v>
      </c>
      <c r="O555" s="6" t="s">
        <v>239</v>
      </c>
      <c r="P555" s="6" t="s">
        <v>239</v>
      </c>
      <c r="Q555" s="6" t="s">
        <v>236</v>
      </c>
      <c r="R555" s="6"/>
      <c r="S555" s="6">
        <f t="shared" si="8"/>
        <v>4840</v>
      </c>
      <c r="T555" s="6"/>
      <c r="U555" s="6"/>
      <c r="V555" s="6"/>
      <c r="W555" s="6" t="s">
        <v>236</v>
      </c>
      <c r="X555" s="6" t="s">
        <v>236</v>
      </c>
      <c r="Y555" s="6" t="s">
        <v>236</v>
      </c>
      <c r="Z555" s="6" t="s">
        <v>236</v>
      </c>
      <c r="AA555" s="6" t="s">
        <v>236</v>
      </c>
    </row>
    <row r="556" spans="1:27">
      <c r="A556" s="6">
        <v>555</v>
      </c>
      <c r="B556" s="6" t="s">
        <v>225</v>
      </c>
      <c r="C556" s="7">
        <v>46123</v>
      </c>
      <c r="D556" s="6" t="s">
        <v>226</v>
      </c>
      <c r="E556" s="6" t="s">
        <v>1477</v>
      </c>
      <c r="F556" s="6" t="s">
        <v>267</v>
      </c>
      <c r="G556" s="6">
        <v>11</v>
      </c>
      <c r="H556" s="11" t="s">
        <v>2170</v>
      </c>
      <c r="I556" s="11">
        <v>9100596938</v>
      </c>
      <c r="J556" s="10" t="s">
        <v>2171</v>
      </c>
      <c r="K556" s="10" t="s">
        <v>2171</v>
      </c>
      <c r="L556" s="6">
        <v>2320</v>
      </c>
      <c r="M556" s="6">
        <v>2320</v>
      </c>
      <c r="N556" s="7" t="s">
        <v>239</v>
      </c>
      <c r="O556" s="6" t="s">
        <v>239</v>
      </c>
      <c r="P556" s="6" t="s">
        <v>239</v>
      </c>
      <c r="Q556" s="6" t="s">
        <v>236</v>
      </c>
      <c r="R556" s="6"/>
      <c r="S556" s="6">
        <f t="shared" si="8"/>
        <v>2320</v>
      </c>
      <c r="T556" s="6"/>
      <c r="U556" s="6"/>
      <c r="V556" s="6"/>
      <c r="W556" s="6" t="s">
        <v>236</v>
      </c>
      <c r="X556" s="6" t="s">
        <v>236</v>
      </c>
      <c r="Y556" s="6" t="s">
        <v>236</v>
      </c>
      <c r="Z556" s="6" t="s">
        <v>236</v>
      </c>
      <c r="AA556" s="6" t="s">
        <v>236</v>
      </c>
    </row>
    <row r="557" spans="1:27">
      <c r="A557" s="6">
        <v>556</v>
      </c>
      <c r="B557" s="6" t="s">
        <v>225</v>
      </c>
      <c r="C557" s="7">
        <v>46123</v>
      </c>
      <c r="D557" s="6" t="s">
        <v>226</v>
      </c>
      <c r="E557" s="6" t="s">
        <v>1477</v>
      </c>
      <c r="F557" s="6" t="s">
        <v>267</v>
      </c>
      <c r="G557" s="6">
        <v>11</v>
      </c>
      <c r="H557" s="11" t="s">
        <v>2172</v>
      </c>
      <c r="I557" s="11">
        <v>9391861427</v>
      </c>
      <c r="J557" s="10" t="s">
        <v>2173</v>
      </c>
      <c r="K557" s="10" t="s">
        <v>2173</v>
      </c>
      <c r="L557" s="6">
        <v>2120</v>
      </c>
      <c r="M557" s="6">
        <v>2120</v>
      </c>
      <c r="N557" s="7" t="s">
        <v>239</v>
      </c>
      <c r="O557" s="6" t="s">
        <v>239</v>
      </c>
      <c r="P557" s="6" t="s">
        <v>239</v>
      </c>
      <c r="Q557" s="6" t="s">
        <v>236</v>
      </c>
      <c r="R557" s="6"/>
      <c r="S557" s="6">
        <f t="shared" si="8"/>
        <v>2120</v>
      </c>
      <c r="T557" s="6"/>
      <c r="U557" s="6"/>
      <c r="V557" s="6"/>
      <c r="W557" s="6" t="s">
        <v>236</v>
      </c>
      <c r="X557" s="6" t="s">
        <v>236</v>
      </c>
      <c r="Y557" s="6" t="s">
        <v>236</v>
      </c>
      <c r="Z557" s="6" t="s">
        <v>236</v>
      </c>
      <c r="AA557" s="6" t="s">
        <v>236</v>
      </c>
    </row>
    <row r="558" spans="1:27">
      <c r="A558" s="6">
        <v>557</v>
      </c>
      <c r="B558" s="6" t="s">
        <v>225</v>
      </c>
      <c r="C558" s="7">
        <v>46123</v>
      </c>
      <c r="D558" s="6" t="s">
        <v>226</v>
      </c>
      <c r="E558" s="6" t="s">
        <v>1477</v>
      </c>
      <c r="F558" s="6" t="s">
        <v>267</v>
      </c>
      <c r="G558" s="6">
        <v>11</v>
      </c>
      <c r="H558" s="11" t="s">
        <v>2174</v>
      </c>
      <c r="I558" s="11">
        <v>9014759240</v>
      </c>
      <c r="J558" s="10" t="s">
        <v>2175</v>
      </c>
      <c r="K558" s="10" t="s">
        <v>2175</v>
      </c>
      <c r="L558" s="6">
        <v>1855</v>
      </c>
      <c r="M558" s="6">
        <v>1855</v>
      </c>
      <c r="N558" s="7" t="s">
        <v>239</v>
      </c>
      <c r="O558" s="6" t="s">
        <v>239</v>
      </c>
      <c r="P558" s="6" t="s">
        <v>239</v>
      </c>
      <c r="Q558" s="6" t="s">
        <v>236</v>
      </c>
      <c r="R558" s="6"/>
      <c r="S558" s="6">
        <f t="shared" si="8"/>
        <v>1855</v>
      </c>
      <c r="T558" s="6"/>
      <c r="U558" s="6"/>
      <c r="V558" s="6"/>
      <c r="W558" s="6" t="s">
        <v>236</v>
      </c>
      <c r="X558" s="6" t="s">
        <v>236</v>
      </c>
      <c r="Y558" s="6" t="s">
        <v>236</v>
      </c>
      <c r="Z558" s="6" t="s">
        <v>236</v>
      </c>
      <c r="AA558" s="6" t="s">
        <v>236</v>
      </c>
    </row>
    <row r="559" spans="1:27">
      <c r="A559" s="6">
        <v>558</v>
      </c>
      <c r="B559" s="6" t="s">
        <v>225</v>
      </c>
      <c r="C559" s="7">
        <v>46123</v>
      </c>
      <c r="D559" s="6" t="s">
        <v>226</v>
      </c>
      <c r="E559" s="6" t="s">
        <v>1477</v>
      </c>
      <c r="F559" s="6" t="s">
        <v>267</v>
      </c>
      <c r="G559" s="6">
        <v>11</v>
      </c>
      <c r="H559" s="11" t="s">
        <v>2176</v>
      </c>
      <c r="I559" s="11">
        <v>9533358588</v>
      </c>
      <c r="J559" s="10" t="s">
        <v>2177</v>
      </c>
      <c r="K559" s="10" t="s">
        <v>2177</v>
      </c>
      <c r="L559" s="6">
        <v>1700</v>
      </c>
      <c r="M559" s="6">
        <v>1700</v>
      </c>
      <c r="N559" s="7" t="s">
        <v>239</v>
      </c>
      <c r="O559" s="6" t="s">
        <v>239</v>
      </c>
      <c r="P559" s="6" t="s">
        <v>239</v>
      </c>
      <c r="Q559" s="6" t="s">
        <v>236</v>
      </c>
      <c r="R559" s="6"/>
      <c r="S559" s="6">
        <f t="shared" si="8"/>
        <v>1700</v>
      </c>
      <c r="T559" s="6"/>
      <c r="U559" s="6"/>
      <c r="V559" s="6"/>
      <c r="W559" s="6" t="s">
        <v>236</v>
      </c>
      <c r="X559" s="6" t="s">
        <v>236</v>
      </c>
      <c r="Y559" s="6" t="s">
        <v>236</v>
      </c>
      <c r="Z559" s="6" t="s">
        <v>236</v>
      </c>
      <c r="AA559" s="6" t="s">
        <v>236</v>
      </c>
    </row>
    <row r="560" spans="1:27">
      <c r="A560" s="6">
        <v>559</v>
      </c>
      <c r="B560" s="6" t="s">
        <v>225</v>
      </c>
      <c r="C560" s="7">
        <v>46123</v>
      </c>
      <c r="D560" s="6" t="s">
        <v>226</v>
      </c>
      <c r="E560" s="6" t="s">
        <v>1477</v>
      </c>
      <c r="F560" s="6" t="s">
        <v>267</v>
      </c>
      <c r="G560" s="6">
        <v>11</v>
      </c>
      <c r="H560" s="11" t="s">
        <v>2178</v>
      </c>
      <c r="I560" s="11">
        <v>8106630025</v>
      </c>
      <c r="J560" s="10" t="s">
        <v>2179</v>
      </c>
      <c r="K560" s="10" t="s">
        <v>2179</v>
      </c>
      <c r="L560" s="6">
        <v>230</v>
      </c>
      <c r="M560" s="6">
        <v>230</v>
      </c>
      <c r="N560" s="7" t="s">
        <v>239</v>
      </c>
      <c r="O560" s="6" t="s">
        <v>239</v>
      </c>
      <c r="P560" s="6" t="s">
        <v>239</v>
      </c>
      <c r="Q560" s="6" t="s">
        <v>236</v>
      </c>
      <c r="R560" s="6"/>
      <c r="S560" s="6">
        <f t="shared" si="8"/>
        <v>230</v>
      </c>
      <c r="T560" s="6"/>
      <c r="U560" s="6"/>
      <c r="V560" s="6"/>
      <c r="W560" s="6" t="s">
        <v>236</v>
      </c>
      <c r="X560" s="6" t="s">
        <v>236</v>
      </c>
      <c r="Y560" s="6" t="s">
        <v>236</v>
      </c>
      <c r="Z560" s="6" t="s">
        <v>236</v>
      </c>
      <c r="AA560" s="6" t="s">
        <v>236</v>
      </c>
    </row>
    <row r="561" spans="1:27">
      <c r="A561" s="6">
        <v>560</v>
      </c>
      <c r="B561" s="6" t="s">
        <v>225</v>
      </c>
      <c r="C561" s="7">
        <v>46123</v>
      </c>
      <c r="D561" s="6" t="s">
        <v>226</v>
      </c>
      <c r="E561" s="6" t="s">
        <v>1477</v>
      </c>
      <c r="F561" s="6" t="s">
        <v>267</v>
      </c>
      <c r="G561" s="6">
        <v>11</v>
      </c>
      <c r="H561" s="11" t="s">
        <v>2180</v>
      </c>
      <c r="I561" s="11">
        <v>7025161658</v>
      </c>
      <c r="J561" s="10" t="s">
        <v>2181</v>
      </c>
      <c r="K561" s="10" t="s">
        <v>2181</v>
      </c>
      <c r="L561" s="6">
        <v>300</v>
      </c>
      <c r="M561" s="6">
        <v>300</v>
      </c>
      <c r="N561" s="7" t="s">
        <v>239</v>
      </c>
      <c r="O561" s="6" t="s">
        <v>239</v>
      </c>
      <c r="P561" s="6" t="s">
        <v>239</v>
      </c>
      <c r="Q561" s="6" t="s">
        <v>236</v>
      </c>
      <c r="R561" s="6"/>
      <c r="S561" s="6">
        <f t="shared" si="8"/>
        <v>300</v>
      </c>
      <c r="T561" s="6"/>
      <c r="U561" s="6"/>
      <c r="V561" s="6"/>
      <c r="W561" s="6" t="s">
        <v>236</v>
      </c>
      <c r="X561" s="6" t="s">
        <v>236</v>
      </c>
      <c r="Y561" s="6" t="s">
        <v>236</v>
      </c>
      <c r="Z561" s="6" t="s">
        <v>236</v>
      </c>
      <c r="AA561" s="6" t="s">
        <v>236</v>
      </c>
    </row>
    <row r="562" spans="1:27">
      <c r="A562" s="6">
        <v>561</v>
      </c>
      <c r="B562" s="6" t="s">
        <v>225</v>
      </c>
      <c r="C562" s="7">
        <v>46123</v>
      </c>
      <c r="D562" s="6" t="s">
        <v>226</v>
      </c>
      <c r="E562" s="6" t="s">
        <v>1477</v>
      </c>
      <c r="F562" s="6" t="s">
        <v>267</v>
      </c>
      <c r="G562" s="6">
        <v>11</v>
      </c>
      <c r="H562" s="11" t="s">
        <v>2182</v>
      </c>
      <c r="I562" s="11">
        <v>9391276354</v>
      </c>
      <c r="J562" s="10" t="s">
        <v>2183</v>
      </c>
      <c r="K562" s="10" t="s">
        <v>2183</v>
      </c>
      <c r="L562" s="6">
        <v>590</v>
      </c>
      <c r="M562" s="6">
        <v>590</v>
      </c>
      <c r="N562" s="7" t="s">
        <v>239</v>
      </c>
      <c r="O562" s="6" t="s">
        <v>239</v>
      </c>
      <c r="P562" s="6" t="s">
        <v>239</v>
      </c>
      <c r="Q562" s="6" t="s">
        <v>236</v>
      </c>
      <c r="R562" s="6"/>
      <c r="S562" s="6">
        <f t="shared" si="8"/>
        <v>590</v>
      </c>
      <c r="T562" s="6"/>
      <c r="U562" s="6"/>
      <c r="V562" s="6"/>
      <c r="W562" s="6" t="s">
        <v>236</v>
      </c>
      <c r="X562" s="6" t="s">
        <v>236</v>
      </c>
      <c r="Y562" s="6" t="s">
        <v>236</v>
      </c>
      <c r="Z562" s="6" t="s">
        <v>236</v>
      </c>
      <c r="AA562" s="6" t="s">
        <v>236</v>
      </c>
    </row>
    <row r="563" spans="1:27">
      <c r="A563" s="6">
        <v>562</v>
      </c>
      <c r="B563" s="6" t="s">
        <v>342</v>
      </c>
      <c r="C563" s="7">
        <v>46123</v>
      </c>
      <c r="D563" s="6" t="s">
        <v>226</v>
      </c>
      <c r="E563" s="6" t="s">
        <v>1477</v>
      </c>
      <c r="F563" s="6" t="s">
        <v>267</v>
      </c>
      <c r="G563" s="6">
        <v>11</v>
      </c>
      <c r="H563" s="11" t="s">
        <v>2184</v>
      </c>
      <c r="I563" s="11">
        <v>9843740022</v>
      </c>
      <c r="J563" s="10" t="s">
        <v>2185</v>
      </c>
      <c r="K563" s="10" t="s">
        <v>2185</v>
      </c>
      <c r="L563" s="6">
        <v>290</v>
      </c>
      <c r="M563" s="6">
        <v>290</v>
      </c>
      <c r="N563" s="7" t="s">
        <v>239</v>
      </c>
      <c r="O563" s="6" t="s">
        <v>239</v>
      </c>
      <c r="P563" s="6" t="s">
        <v>239</v>
      </c>
      <c r="Q563" s="6" t="s">
        <v>236</v>
      </c>
      <c r="R563" s="6"/>
      <c r="S563" s="6">
        <f t="shared" si="8"/>
        <v>290</v>
      </c>
      <c r="T563" s="6"/>
      <c r="U563" s="6"/>
      <c r="V563" s="6"/>
      <c r="W563" s="6" t="s">
        <v>236</v>
      </c>
      <c r="X563" s="6" t="s">
        <v>236</v>
      </c>
      <c r="Y563" s="6" t="s">
        <v>236</v>
      </c>
      <c r="Z563" s="6" t="s">
        <v>236</v>
      </c>
      <c r="AA563" s="6" t="s">
        <v>236</v>
      </c>
    </row>
    <row r="564" spans="1:27">
      <c r="A564" s="6">
        <v>563</v>
      </c>
      <c r="B564" s="6" t="s">
        <v>225</v>
      </c>
      <c r="C564" s="7">
        <v>46123</v>
      </c>
      <c r="D564" s="6" t="s">
        <v>226</v>
      </c>
      <c r="E564" s="6" t="s">
        <v>1477</v>
      </c>
      <c r="F564" s="6" t="s">
        <v>364</v>
      </c>
      <c r="G564" s="6">
        <v>11</v>
      </c>
      <c r="H564" s="6" t="s">
        <v>2186</v>
      </c>
      <c r="I564" s="6" t="s">
        <v>2187</v>
      </c>
      <c r="J564" s="10" t="s">
        <v>2188</v>
      </c>
      <c r="K564" s="6" t="s">
        <v>2188</v>
      </c>
      <c r="L564" s="6">
        <v>52970</v>
      </c>
      <c r="M564" s="6">
        <v>16970</v>
      </c>
      <c r="N564" s="7">
        <v>46127</v>
      </c>
      <c r="O564" s="6" t="s">
        <v>2189</v>
      </c>
      <c r="P564" s="6" t="s">
        <v>52</v>
      </c>
      <c r="Q564" s="6" t="s">
        <v>367</v>
      </c>
      <c r="R564" s="6">
        <v>16970</v>
      </c>
      <c r="S564" s="6">
        <f t="shared" si="8"/>
        <v>0</v>
      </c>
      <c r="T564" s="7">
        <v>46125</v>
      </c>
      <c r="U564" s="6" t="s">
        <v>2190</v>
      </c>
      <c r="V564" s="6" t="s">
        <v>54</v>
      </c>
      <c r="W564" s="6" t="s">
        <v>369</v>
      </c>
      <c r="X564" s="6" t="s">
        <v>2189</v>
      </c>
      <c r="Y564" s="6" t="s">
        <v>2191</v>
      </c>
      <c r="Z564" s="6" t="s">
        <v>373</v>
      </c>
      <c r="AA564" s="6" t="s">
        <v>373</v>
      </c>
    </row>
    <row r="565" spans="1:27">
      <c r="A565" s="6">
        <v>564</v>
      </c>
      <c r="B565" s="6" t="s">
        <v>225</v>
      </c>
      <c r="C565" s="7">
        <v>46123</v>
      </c>
      <c r="D565" s="6" t="s">
        <v>226</v>
      </c>
      <c r="E565" s="6" t="s">
        <v>1477</v>
      </c>
      <c r="F565" s="6" t="s">
        <v>336</v>
      </c>
      <c r="G565" s="6">
        <v>11</v>
      </c>
      <c r="H565" s="8" t="s">
        <v>723</v>
      </c>
      <c r="I565" s="8" t="s">
        <v>2192</v>
      </c>
      <c r="J565" s="10" t="s">
        <v>724</v>
      </c>
      <c r="K565" s="8" t="s">
        <v>724</v>
      </c>
      <c r="L565" s="8">
        <v>7751</v>
      </c>
      <c r="M565" s="8">
        <v>7751</v>
      </c>
      <c r="N565" s="7">
        <v>46152</v>
      </c>
      <c r="O565" s="6" t="s">
        <v>370</v>
      </c>
      <c r="P565" s="6" t="s">
        <v>52</v>
      </c>
      <c r="Q565" s="6" t="s">
        <v>340</v>
      </c>
      <c r="R565" s="6"/>
      <c r="S565" s="6">
        <f t="shared" si="8"/>
        <v>7751</v>
      </c>
      <c r="T565" s="6"/>
      <c r="U565" s="6"/>
      <c r="V565" s="6"/>
      <c r="W565" s="6" t="s">
        <v>370</v>
      </c>
      <c r="X565" s="6" t="s">
        <v>342</v>
      </c>
      <c r="Y565" s="6" t="s">
        <v>2193</v>
      </c>
      <c r="Z565" s="6" t="s">
        <v>211</v>
      </c>
      <c r="AA565" s="6" t="s">
        <v>235</v>
      </c>
    </row>
    <row r="566" spans="1:27">
      <c r="A566" s="6">
        <v>565</v>
      </c>
      <c r="B566" s="6" t="s">
        <v>225</v>
      </c>
      <c r="C566" s="7">
        <v>46123</v>
      </c>
      <c r="D566" s="6" t="s">
        <v>226</v>
      </c>
      <c r="E566" s="6" t="s">
        <v>1477</v>
      </c>
      <c r="F566" s="6" t="s">
        <v>336</v>
      </c>
      <c r="G566" s="6">
        <v>11</v>
      </c>
      <c r="H566" s="8" t="s">
        <v>2194</v>
      </c>
      <c r="I566" s="8" t="s">
        <v>2195</v>
      </c>
      <c r="J566" s="10" t="s">
        <v>2196</v>
      </c>
      <c r="K566" s="8" t="s">
        <v>2196</v>
      </c>
      <c r="L566" s="8">
        <v>3000</v>
      </c>
      <c r="M566" s="8">
        <v>1500</v>
      </c>
      <c r="N566" s="7">
        <v>46127</v>
      </c>
      <c r="O566" s="6" t="s">
        <v>370</v>
      </c>
      <c r="P566" s="6" t="s">
        <v>52</v>
      </c>
      <c r="Q566" s="6" t="s">
        <v>340</v>
      </c>
      <c r="R566" s="6"/>
      <c r="S566" s="6">
        <f t="shared" si="8"/>
        <v>1500</v>
      </c>
      <c r="T566" s="6"/>
      <c r="U566" s="6"/>
      <c r="V566" s="6"/>
      <c r="W566" s="6" t="s">
        <v>370</v>
      </c>
      <c r="X566" s="6" t="s">
        <v>342</v>
      </c>
      <c r="Y566" s="6" t="s">
        <v>2197</v>
      </c>
      <c r="Z566" s="6" t="s">
        <v>71</v>
      </c>
      <c r="AA566" s="6" t="s">
        <v>235</v>
      </c>
    </row>
    <row r="567" spans="1:27">
      <c r="A567" s="6">
        <v>566</v>
      </c>
      <c r="B567" s="6" t="s">
        <v>225</v>
      </c>
      <c r="C567" s="7">
        <v>46123</v>
      </c>
      <c r="D567" s="6" t="s">
        <v>226</v>
      </c>
      <c r="E567" s="6" t="s">
        <v>1477</v>
      </c>
      <c r="F567" s="6" t="s">
        <v>336</v>
      </c>
      <c r="G567" s="6">
        <v>11</v>
      </c>
      <c r="H567" s="8" t="s">
        <v>706</v>
      </c>
      <c r="I567" s="8">
        <v>9502381265</v>
      </c>
      <c r="J567" s="10" t="s">
        <v>707</v>
      </c>
      <c r="K567" s="24" t="s">
        <v>707</v>
      </c>
      <c r="L567" s="8">
        <v>11000</v>
      </c>
      <c r="M567" s="8">
        <v>11000</v>
      </c>
      <c r="N567" s="7">
        <v>46137</v>
      </c>
      <c r="O567" s="6" t="s">
        <v>2198</v>
      </c>
      <c r="P567" s="6" t="s">
        <v>52</v>
      </c>
      <c r="Q567" s="6" t="s">
        <v>340</v>
      </c>
      <c r="R567" s="6"/>
      <c r="S567" s="6">
        <f t="shared" si="8"/>
        <v>11000</v>
      </c>
      <c r="T567" s="6"/>
      <c r="U567" s="6"/>
      <c r="V567" s="6"/>
      <c r="W567" s="6" t="s">
        <v>2198</v>
      </c>
      <c r="X567" s="6" t="s">
        <v>2198</v>
      </c>
      <c r="Y567" s="6"/>
      <c r="Z567" s="6"/>
      <c r="AA567" s="6" t="s">
        <v>235</v>
      </c>
    </row>
    <row r="568" spans="1:27">
      <c r="A568" s="6">
        <v>567</v>
      </c>
      <c r="B568" s="6" t="s">
        <v>298</v>
      </c>
      <c r="C568" s="7">
        <v>46123</v>
      </c>
      <c r="D568" s="6" t="s">
        <v>226</v>
      </c>
      <c r="E568" s="6" t="s">
        <v>1477</v>
      </c>
      <c r="F568" s="6" t="s">
        <v>395</v>
      </c>
      <c r="G568" s="6">
        <v>11</v>
      </c>
      <c r="H568" s="8" t="s">
        <v>2199</v>
      </c>
      <c r="I568" s="8">
        <v>8309702822</v>
      </c>
      <c r="J568" s="10" t="s">
        <v>2200</v>
      </c>
      <c r="K568" s="10" t="s">
        <v>2200</v>
      </c>
      <c r="L568" s="8">
        <v>920</v>
      </c>
      <c r="M568" s="8">
        <v>920</v>
      </c>
      <c r="N568" s="7"/>
      <c r="O568" s="6"/>
      <c r="P568" s="6" t="s">
        <v>239</v>
      </c>
      <c r="Q568" s="6" t="s">
        <v>400</v>
      </c>
      <c r="R568" s="6"/>
      <c r="S568" s="6">
        <f t="shared" si="8"/>
        <v>920</v>
      </c>
      <c r="T568" s="6"/>
      <c r="U568" s="6"/>
      <c r="V568" s="6"/>
      <c r="W568" s="6" t="s">
        <v>400</v>
      </c>
      <c r="X568" s="8" t="s">
        <v>2201</v>
      </c>
      <c r="Y568" s="12" t="s">
        <v>2202</v>
      </c>
      <c r="Z568" s="6" t="s">
        <v>224</v>
      </c>
      <c r="AA568" s="6" t="s">
        <v>2086</v>
      </c>
    </row>
    <row r="569" spans="1:27">
      <c r="A569" s="6">
        <v>568</v>
      </c>
      <c r="B569" s="6" t="s">
        <v>225</v>
      </c>
      <c r="C569" s="7">
        <v>46124</v>
      </c>
      <c r="D569" s="6" t="s">
        <v>226</v>
      </c>
      <c r="E569" s="6" t="s">
        <v>1477</v>
      </c>
      <c r="F569" s="6" t="s">
        <v>746</v>
      </c>
      <c r="G569" s="6">
        <v>12</v>
      </c>
      <c r="H569" s="11" t="s">
        <v>2203</v>
      </c>
      <c r="I569" s="11">
        <v>9790853711</v>
      </c>
      <c r="J569" s="10" t="s">
        <v>2204</v>
      </c>
      <c r="K569" s="10" t="s">
        <v>2204</v>
      </c>
      <c r="L569" s="6">
        <v>6951</v>
      </c>
      <c r="M569" s="8">
        <v>6951</v>
      </c>
      <c r="N569" s="7" t="s">
        <v>239</v>
      </c>
      <c r="O569" s="6" t="s">
        <v>239</v>
      </c>
      <c r="P569" s="6" t="s">
        <v>239</v>
      </c>
      <c r="Q569" s="6" t="s">
        <v>236</v>
      </c>
      <c r="R569" s="6"/>
      <c r="S569" s="6">
        <f t="shared" si="8"/>
        <v>6951</v>
      </c>
      <c r="T569" s="6"/>
      <c r="U569" s="6"/>
      <c r="V569" s="6"/>
      <c r="W569" s="6" t="s">
        <v>236</v>
      </c>
      <c r="X569" s="6" t="s">
        <v>236</v>
      </c>
      <c r="Y569" s="6" t="s">
        <v>236</v>
      </c>
      <c r="Z569" s="6" t="s">
        <v>236</v>
      </c>
      <c r="AA569" s="6" t="s">
        <v>236</v>
      </c>
    </row>
    <row r="570" spans="1:27">
      <c r="A570" s="6">
        <v>569</v>
      </c>
      <c r="B570" s="6" t="s">
        <v>225</v>
      </c>
      <c r="C570" s="7">
        <v>46124</v>
      </c>
      <c r="D570" s="6" t="s">
        <v>226</v>
      </c>
      <c r="E570" s="6" t="s">
        <v>1477</v>
      </c>
      <c r="F570" s="6" t="s">
        <v>746</v>
      </c>
      <c r="G570" s="6">
        <v>12</v>
      </c>
      <c r="H570" s="11" t="s">
        <v>2205</v>
      </c>
      <c r="I570" s="11">
        <v>8499963329</v>
      </c>
      <c r="J570" s="10" t="s">
        <v>2206</v>
      </c>
      <c r="K570" s="10" t="s">
        <v>2206</v>
      </c>
      <c r="L570" s="6">
        <v>4250</v>
      </c>
      <c r="M570" s="8">
        <v>4250</v>
      </c>
      <c r="N570" s="7" t="s">
        <v>239</v>
      </c>
      <c r="O570" s="6" t="s">
        <v>239</v>
      </c>
      <c r="P570" s="6" t="s">
        <v>239</v>
      </c>
      <c r="Q570" s="6" t="s">
        <v>236</v>
      </c>
      <c r="R570" s="6"/>
      <c r="S570" s="6">
        <f t="shared" si="8"/>
        <v>4250</v>
      </c>
      <c r="T570" s="6"/>
      <c r="U570" s="6"/>
      <c r="V570" s="6"/>
      <c r="W570" s="6" t="s">
        <v>236</v>
      </c>
      <c r="X570" s="6" t="s">
        <v>236</v>
      </c>
      <c r="Y570" s="6" t="s">
        <v>236</v>
      </c>
      <c r="Z570" s="6" t="s">
        <v>236</v>
      </c>
      <c r="AA570" s="6" t="s">
        <v>236</v>
      </c>
    </row>
    <row r="571" spans="1:27">
      <c r="A571" s="6">
        <v>570</v>
      </c>
      <c r="B571" s="6" t="s">
        <v>225</v>
      </c>
      <c r="C571" s="7">
        <v>46124</v>
      </c>
      <c r="D571" s="6" t="s">
        <v>226</v>
      </c>
      <c r="E571" s="6" t="s">
        <v>1477</v>
      </c>
      <c r="F571" s="6" t="s">
        <v>746</v>
      </c>
      <c r="G571" s="6">
        <v>12</v>
      </c>
      <c r="H571" s="11" t="s">
        <v>2207</v>
      </c>
      <c r="I571" s="11">
        <v>8099269737</v>
      </c>
      <c r="J571" s="10" t="s">
        <v>2208</v>
      </c>
      <c r="K571" s="10" t="s">
        <v>2208</v>
      </c>
      <c r="L571" s="6">
        <v>3020</v>
      </c>
      <c r="M571" s="8">
        <v>3020</v>
      </c>
      <c r="N571" s="7" t="s">
        <v>239</v>
      </c>
      <c r="O571" s="6" t="s">
        <v>239</v>
      </c>
      <c r="P571" s="6" t="s">
        <v>239</v>
      </c>
      <c r="Q571" s="6" t="s">
        <v>236</v>
      </c>
      <c r="R571" s="6"/>
      <c r="S571" s="6">
        <f t="shared" si="8"/>
        <v>3020</v>
      </c>
      <c r="T571" s="6"/>
      <c r="U571" s="6"/>
      <c r="V571" s="6"/>
      <c r="W571" s="6" t="s">
        <v>236</v>
      </c>
      <c r="X571" s="6" t="s">
        <v>236</v>
      </c>
      <c r="Y571" s="6" t="s">
        <v>236</v>
      </c>
      <c r="Z571" s="6" t="s">
        <v>236</v>
      </c>
      <c r="AA571" s="6" t="s">
        <v>236</v>
      </c>
    </row>
    <row r="572" spans="1:27">
      <c r="A572" s="6">
        <v>571</v>
      </c>
      <c r="B572" s="6" t="s">
        <v>225</v>
      </c>
      <c r="C572" s="7">
        <v>46124</v>
      </c>
      <c r="D572" s="6" t="s">
        <v>226</v>
      </c>
      <c r="E572" s="6" t="s">
        <v>1477</v>
      </c>
      <c r="F572" s="6" t="s">
        <v>746</v>
      </c>
      <c r="G572" s="6">
        <v>12</v>
      </c>
      <c r="H572" s="11" t="s">
        <v>2209</v>
      </c>
      <c r="I572" s="11">
        <v>9600019495</v>
      </c>
      <c r="J572" s="10" t="s">
        <v>2210</v>
      </c>
      <c r="K572" s="10" t="s">
        <v>2210</v>
      </c>
      <c r="L572" s="6">
        <v>2645</v>
      </c>
      <c r="M572" s="8">
        <v>2645</v>
      </c>
      <c r="N572" s="7" t="s">
        <v>239</v>
      </c>
      <c r="O572" s="6" t="s">
        <v>239</v>
      </c>
      <c r="P572" s="6" t="s">
        <v>239</v>
      </c>
      <c r="Q572" s="6" t="s">
        <v>236</v>
      </c>
      <c r="R572" s="6"/>
      <c r="S572" s="6">
        <f t="shared" si="8"/>
        <v>2645</v>
      </c>
      <c r="T572" s="6"/>
      <c r="U572" s="6"/>
      <c r="V572" s="6"/>
      <c r="W572" s="6" t="s">
        <v>236</v>
      </c>
      <c r="X572" s="6" t="s">
        <v>236</v>
      </c>
      <c r="Y572" s="6" t="s">
        <v>236</v>
      </c>
      <c r="Z572" s="6" t="s">
        <v>236</v>
      </c>
      <c r="AA572" s="6" t="s">
        <v>236</v>
      </c>
    </row>
    <row r="573" spans="1:27">
      <c r="A573" s="6">
        <v>572</v>
      </c>
      <c r="B573" s="6" t="s">
        <v>225</v>
      </c>
      <c r="C573" s="7">
        <v>46124</v>
      </c>
      <c r="D573" s="6" t="s">
        <v>226</v>
      </c>
      <c r="E573" s="6" t="s">
        <v>1477</v>
      </c>
      <c r="F573" s="6" t="s">
        <v>746</v>
      </c>
      <c r="G573" s="6">
        <v>12</v>
      </c>
      <c r="H573" s="11" t="s">
        <v>2211</v>
      </c>
      <c r="I573" s="11">
        <v>9448002444</v>
      </c>
      <c r="J573" s="10" t="s">
        <v>2212</v>
      </c>
      <c r="K573" s="10" t="s">
        <v>2212</v>
      </c>
      <c r="L573" s="6">
        <v>2480</v>
      </c>
      <c r="M573" s="8">
        <v>2480</v>
      </c>
      <c r="N573" s="7" t="s">
        <v>239</v>
      </c>
      <c r="O573" s="6" t="s">
        <v>239</v>
      </c>
      <c r="P573" s="6" t="s">
        <v>239</v>
      </c>
      <c r="Q573" s="6" t="s">
        <v>236</v>
      </c>
      <c r="R573" s="6"/>
      <c r="S573" s="6">
        <f t="shared" si="8"/>
        <v>2480</v>
      </c>
      <c r="T573" s="6"/>
      <c r="U573" s="6"/>
      <c r="V573" s="6"/>
      <c r="W573" s="6" t="s">
        <v>236</v>
      </c>
      <c r="X573" s="6" t="s">
        <v>236</v>
      </c>
      <c r="Y573" s="6" t="s">
        <v>236</v>
      </c>
      <c r="Z573" s="6" t="s">
        <v>236</v>
      </c>
      <c r="AA573" s="6" t="s">
        <v>236</v>
      </c>
    </row>
    <row r="574" spans="1:27">
      <c r="A574" s="6">
        <v>573</v>
      </c>
      <c r="B574" s="6" t="s">
        <v>225</v>
      </c>
      <c r="C574" s="7">
        <v>46124</v>
      </c>
      <c r="D574" s="6" t="s">
        <v>226</v>
      </c>
      <c r="E574" s="6" t="s">
        <v>1477</v>
      </c>
      <c r="F574" s="6" t="s">
        <v>746</v>
      </c>
      <c r="G574" s="6">
        <v>12</v>
      </c>
      <c r="H574" s="11" t="s">
        <v>2213</v>
      </c>
      <c r="I574" s="11">
        <v>9663717273</v>
      </c>
      <c r="J574" s="10" t="s">
        <v>2214</v>
      </c>
      <c r="K574" s="10" t="s">
        <v>2214</v>
      </c>
      <c r="L574" s="6">
        <v>3275</v>
      </c>
      <c r="M574" s="8">
        <v>3275</v>
      </c>
      <c r="N574" s="7" t="s">
        <v>239</v>
      </c>
      <c r="O574" s="6" t="s">
        <v>239</v>
      </c>
      <c r="P574" s="6" t="s">
        <v>239</v>
      </c>
      <c r="Q574" s="6" t="s">
        <v>236</v>
      </c>
      <c r="R574" s="6"/>
      <c r="S574" s="6">
        <f t="shared" si="8"/>
        <v>3275</v>
      </c>
      <c r="T574" s="6"/>
      <c r="U574" s="6"/>
      <c r="V574" s="6"/>
      <c r="W574" s="6" t="s">
        <v>236</v>
      </c>
      <c r="X574" s="6" t="s">
        <v>236</v>
      </c>
      <c r="Y574" s="6" t="s">
        <v>236</v>
      </c>
      <c r="Z574" s="6" t="s">
        <v>236</v>
      </c>
      <c r="AA574" s="6" t="s">
        <v>236</v>
      </c>
    </row>
    <row r="575" spans="1:27">
      <c r="A575" s="6">
        <v>574</v>
      </c>
      <c r="B575" s="6" t="s">
        <v>225</v>
      </c>
      <c r="C575" s="7">
        <v>46124</v>
      </c>
      <c r="D575" s="6" t="s">
        <v>226</v>
      </c>
      <c r="E575" s="6" t="s">
        <v>1477</v>
      </c>
      <c r="F575" s="6" t="s">
        <v>746</v>
      </c>
      <c r="G575" s="6">
        <v>12</v>
      </c>
      <c r="H575" s="11" t="s">
        <v>2215</v>
      </c>
      <c r="I575" s="11">
        <v>8360407238</v>
      </c>
      <c r="J575" s="10" t="s">
        <v>2216</v>
      </c>
      <c r="K575" s="10" t="s">
        <v>2216</v>
      </c>
      <c r="L575" s="6">
        <v>998</v>
      </c>
      <c r="M575" s="8">
        <v>998</v>
      </c>
      <c r="N575" s="7" t="s">
        <v>239</v>
      </c>
      <c r="O575" s="6" t="s">
        <v>239</v>
      </c>
      <c r="P575" s="6" t="s">
        <v>239</v>
      </c>
      <c r="Q575" s="6" t="s">
        <v>236</v>
      </c>
      <c r="R575" s="6"/>
      <c r="S575" s="6">
        <f t="shared" si="8"/>
        <v>998</v>
      </c>
      <c r="T575" s="6"/>
      <c r="U575" s="6"/>
      <c r="V575" s="6"/>
      <c r="W575" s="6" t="s">
        <v>236</v>
      </c>
      <c r="X575" s="6" t="s">
        <v>236</v>
      </c>
      <c r="Y575" s="6" t="s">
        <v>236</v>
      </c>
      <c r="Z575" s="6" t="s">
        <v>236</v>
      </c>
      <c r="AA575" s="6" t="s">
        <v>236</v>
      </c>
    </row>
    <row r="576" spans="1:27">
      <c r="A576" s="6">
        <v>575</v>
      </c>
      <c r="B576" s="6" t="s">
        <v>225</v>
      </c>
      <c r="C576" s="7">
        <v>46124</v>
      </c>
      <c r="D576" s="6" t="s">
        <v>226</v>
      </c>
      <c r="E576" s="6" t="s">
        <v>1477</v>
      </c>
      <c r="F576" s="6" t="s">
        <v>746</v>
      </c>
      <c r="G576" s="6">
        <v>12</v>
      </c>
      <c r="H576" s="11" t="s">
        <v>2217</v>
      </c>
      <c r="I576" s="11">
        <v>9600063003</v>
      </c>
      <c r="J576" s="10" t="s">
        <v>2218</v>
      </c>
      <c r="K576" s="10" t="s">
        <v>2218</v>
      </c>
      <c r="L576" s="6">
        <v>740</v>
      </c>
      <c r="M576" s="8">
        <v>740</v>
      </c>
      <c r="N576" s="7" t="s">
        <v>239</v>
      </c>
      <c r="O576" s="6" t="s">
        <v>239</v>
      </c>
      <c r="P576" s="6" t="s">
        <v>239</v>
      </c>
      <c r="Q576" s="6" t="s">
        <v>236</v>
      </c>
      <c r="R576" s="6"/>
      <c r="S576" s="6">
        <f t="shared" si="8"/>
        <v>740</v>
      </c>
      <c r="T576" s="6"/>
      <c r="U576" s="6"/>
      <c r="V576" s="6"/>
      <c r="W576" s="6" t="s">
        <v>236</v>
      </c>
      <c r="X576" s="6" t="s">
        <v>236</v>
      </c>
      <c r="Y576" s="6" t="s">
        <v>236</v>
      </c>
      <c r="Z576" s="6" t="s">
        <v>236</v>
      </c>
      <c r="AA576" s="6" t="s">
        <v>236</v>
      </c>
    </row>
    <row r="577" spans="1:27">
      <c r="A577" s="6">
        <v>576</v>
      </c>
      <c r="B577" s="6" t="s">
        <v>225</v>
      </c>
      <c r="C577" s="7">
        <v>46124</v>
      </c>
      <c r="D577" s="6" t="s">
        <v>226</v>
      </c>
      <c r="E577" s="6" t="s">
        <v>1477</v>
      </c>
      <c r="F577" s="6" t="s">
        <v>746</v>
      </c>
      <c r="G577" s="6">
        <v>12</v>
      </c>
      <c r="H577" s="11" t="s">
        <v>2219</v>
      </c>
      <c r="I577" s="11">
        <v>9686972280</v>
      </c>
      <c r="J577" s="10" t="s">
        <v>2220</v>
      </c>
      <c r="K577" s="10" t="s">
        <v>2220</v>
      </c>
      <c r="L577" s="6">
        <v>1690</v>
      </c>
      <c r="M577" s="8">
        <v>1690</v>
      </c>
      <c r="N577" s="7" t="s">
        <v>239</v>
      </c>
      <c r="O577" s="6" t="s">
        <v>239</v>
      </c>
      <c r="P577" s="6" t="s">
        <v>239</v>
      </c>
      <c r="Q577" s="6" t="s">
        <v>236</v>
      </c>
      <c r="R577" s="6"/>
      <c r="S577" s="6">
        <f t="shared" si="8"/>
        <v>1690</v>
      </c>
      <c r="T577" s="6"/>
      <c r="U577" s="6"/>
      <c r="V577" s="6"/>
      <c r="W577" s="6" t="s">
        <v>236</v>
      </c>
      <c r="X577" s="6" t="s">
        <v>236</v>
      </c>
      <c r="Y577" s="6" t="s">
        <v>236</v>
      </c>
      <c r="Z577" s="6" t="s">
        <v>236</v>
      </c>
      <c r="AA577" s="6" t="s">
        <v>236</v>
      </c>
    </row>
    <row r="578" spans="1:27">
      <c r="A578" s="6">
        <v>577</v>
      </c>
      <c r="B578" s="6" t="s">
        <v>225</v>
      </c>
      <c r="C578" s="7">
        <v>46124</v>
      </c>
      <c r="D578" s="6" t="s">
        <v>226</v>
      </c>
      <c r="E578" s="6" t="s">
        <v>1477</v>
      </c>
      <c r="F578" s="6" t="s">
        <v>746</v>
      </c>
      <c r="G578" s="6">
        <v>12</v>
      </c>
      <c r="H578" s="11" t="s">
        <v>2221</v>
      </c>
      <c r="I578" s="11">
        <v>9700393674</v>
      </c>
      <c r="J578" s="10" t="s">
        <v>2222</v>
      </c>
      <c r="K578" s="10" t="s">
        <v>2222</v>
      </c>
      <c r="L578" s="6">
        <v>270</v>
      </c>
      <c r="M578" s="8">
        <v>270</v>
      </c>
      <c r="N578" s="7" t="s">
        <v>239</v>
      </c>
      <c r="O578" s="6" t="s">
        <v>239</v>
      </c>
      <c r="P578" s="6" t="s">
        <v>239</v>
      </c>
      <c r="Q578" s="6" t="s">
        <v>236</v>
      </c>
      <c r="R578" s="6"/>
      <c r="S578" s="6">
        <f t="shared" si="8"/>
        <v>270</v>
      </c>
      <c r="T578" s="6"/>
      <c r="U578" s="6"/>
      <c r="V578" s="6"/>
      <c r="W578" s="6" t="s">
        <v>236</v>
      </c>
      <c r="X578" s="6" t="s">
        <v>236</v>
      </c>
      <c r="Y578" s="6" t="s">
        <v>236</v>
      </c>
      <c r="Z578" s="6" t="s">
        <v>236</v>
      </c>
      <c r="AA578" s="6" t="s">
        <v>236</v>
      </c>
    </row>
    <row r="579" spans="1:27">
      <c r="A579" s="6">
        <v>578</v>
      </c>
      <c r="B579" s="6" t="s">
        <v>225</v>
      </c>
      <c r="C579" s="7">
        <v>46124</v>
      </c>
      <c r="D579" s="6" t="s">
        <v>226</v>
      </c>
      <c r="E579" s="6" t="s">
        <v>1477</v>
      </c>
      <c r="F579" s="6" t="s">
        <v>294</v>
      </c>
      <c r="G579" s="6">
        <v>12</v>
      </c>
      <c r="H579" s="12" t="s">
        <v>810</v>
      </c>
      <c r="I579" s="12" t="s">
        <v>811</v>
      </c>
      <c r="J579" s="12" t="s">
        <v>812</v>
      </c>
      <c r="K579" s="12" t="s">
        <v>812</v>
      </c>
      <c r="L579" s="12">
        <v>29300</v>
      </c>
      <c r="M579" s="8">
        <v>29301</v>
      </c>
      <c r="N579" s="7"/>
      <c r="O579" s="6" t="s">
        <v>813</v>
      </c>
      <c r="P579" s="6" t="s">
        <v>52</v>
      </c>
      <c r="Q579" s="6" t="s">
        <v>298</v>
      </c>
      <c r="R579" s="6">
        <f>7000+5000+12000</f>
        <v>24000</v>
      </c>
      <c r="S579" s="6">
        <f t="shared" ref="S579:S642" si="9">M579-R579</f>
        <v>5301</v>
      </c>
      <c r="T579" s="7">
        <v>46133</v>
      </c>
      <c r="U579" s="6" t="s">
        <v>2223</v>
      </c>
      <c r="V579" s="6"/>
      <c r="W579" s="12" t="s">
        <v>813</v>
      </c>
      <c r="X579" s="12" t="s">
        <v>796</v>
      </c>
      <c r="Y579" s="12" t="s">
        <v>2224</v>
      </c>
      <c r="Z579" s="6" t="s">
        <v>309</v>
      </c>
      <c r="AA579" s="6" t="s">
        <v>235</v>
      </c>
    </row>
    <row r="580" spans="1:27">
      <c r="A580" s="6">
        <v>579</v>
      </c>
      <c r="B580" s="6" t="s">
        <v>225</v>
      </c>
      <c r="C580" s="7">
        <v>46124</v>
      </c>
      <c r="D580" s="6" t="s">
        <v>226</v>
      </c>
      <c r="E580" s="6" t="s">
        <v>1477</v>
      </c>
      <c r="F580" s="6" t="s">
        <v>336</v>
      </c>
      <c r="G580" s="6">
        <v>12</v>
      </c>
      <c r="H580" s="8" t="s">
        <v>2225</v>
      </c>
      <c r="I580" s="8" t="s">
        <v>2226</v>
      </c>
      <c r="J580" s="8" t="s">
        <v>871</v>
      </c>
      <c r="K580" s="8" t="s">
        <v>871</v>
      </c>
      <c r="L580" s="16">
        <v>35420</v>
      </c>
      <c r="M580" s="8">
        <v>35420</v>
      </c>
      <c r="N580" s="7">
        <v>46125</v>
      </c>
      <c r="O580" s="6" t="s">
        <v>343</v>
      </c>
      <c r="P580" s="6" t="s">
        <v>52</v>
      </c>
      <c r="Q580" s="6" t="s">
        <v>340</v>
      </c>
      <c r="R580" s="6">
        <f>50000-35530+21000</f>
        <v>35470</v>
      </c>
      <c r="S580" s="6">
        <f t="shared" si="9"/>
        <v>-50</v>
      </c>
      <c r="T580" s="7">
        <v>46153</v>
      </c>
      <c r="U580" s="6" t="s">
        <v>2227</v>
      </c>
      <c r="V580" s="6" t="s">
        <v>54</v>
      </c>
      <c r="W580" s="6" t="s">
        <v>388</v>
      </c>
      <c r="X580" s="6" t="s">
        <v>343</v>
      </c>
      <c r="Y580" s="6" t="s">
        <v>2228</v>
      </c>
      <c r="Z580" s="6" t="s">
        <v>2229</v>
      </c>
      <c r="AA580" s="6" t="s">
        <v>235</v>
      </c>
    </row>
    <row r="581" spans="1:27">
      <c r="A581" s="6">
        <v>580</v>
      </c>
      <c r="B581" s="6" t="s">
        <v>225</v>
      </c>
      <c r="C581" s="7">
        <v>46124</v>
      </c>
      <c r="D581" s="6" t="s">
        <v>226</v>
      </c>
      <c r="E581" s="6" t="s">
        <v>1477</v>
      </c>
      <c r="F581" s="6" t="s">
        <v>336</v>
      </c>
      <c r="G581" s="6">
        <v>12</v>
      </c>
      <c r="H581" s="8" t="s">
        <v>2230</v>
      </c>
      <c r="I581" s="8" t="s">
        <v>2231</v>
      </c>
      <c r="J581" s="8" t="s">
        <v>2232</v>
      </c>
      <c r="K581" s="8" t="s">
        <v>2232</v>
      </c>
      <c r="L581" s="16">
        <v>8580</v>
      </c>
      <c r="M581" s="8">
        <v>8580</v>
      </c>
      <c r="N581" s="7">
        <v>46126</v>
      </c>
      <c r="O581" s="6" t="s">
        <v>370</v>
      </c>
      <c r="P581" s="6" t="s">
        <v>52</v>
      </c>
      <c r="Q581" s="6" t="s">
        <v>340</v>
      </c>
      <c r="R581" s="6">
        <v>8580</v>
      </c>
      <c r="S581" s="6">
        <f t="shared" si="9"/>
        <v>0</v>
      </c>
      <c r="T581" s="7">
        <v>46127</v>
      </c>
      <c r="U581" s="6" t="s">
        <v>2233</v>
      </c>
      <c r="V581" s="6" t="s">
        <v>54</v>
      </c>
      <c r="W581" s="6" t="s">
        <v>342</v>
      </c>
      <c r="X581" s="6" t="s">
        <v>370</v>
      </c>
      <c r="Y581" s="6" t="s">
        <v>2234</v>
      </c>
      <c r="Z581" s="6" t="s">
        <v>2235</v>
      </c>
      <c r="AA581" s="6" t="s">
        <v>235</v>
      </c>
    </row>
    <row r="582" spans="1:27">
      <c r="A582" s="6">
        <v>581</v>
      </c>
      <c r="B582" s="6" t="s">
        <v>225</v>
      </c>
      <c r="C582" s="7">
        <v>46124</v>
      </c>
      <c r="D582" s="6" t="s">
        <v>226</v>
      </c>
      <c r="E582" s="6" t="s">
        <v>1477</v>
      </c>
      <c r="F582" s="6" t="s">
        <v>336</v>
      </c>
      <c r="G582" s="6">
        <v>12</v>
      </c>
      <c r="H582" s="8" t="s">
        <v>2236</v>
      </c>
      <c r="I582" s="8" t="s">
        <v>2237</v>
      </c>
      <c r="J582" s="8" t="s">
        <v>2238</v>
      </c>
      <c r="K582" s="8" t="s">
        <v>2238</v>
      </c>
      <c r="L582" s="16">
        <v>12070</v>
      </c>
      <c r="M582" s="8">
        <v>12070</v>
      </c>
      <c r="N582" s="7">
        <v>46129</v>
      </c>
      <c r="O582" s="6" t="s">
        <v>315</v>
      </c>
      <c r="P582" s="6" t="s">
        <v>52</v>
      </c>
      <c r="Q582" s="6" t="s">
        <v>340</v>
      </c>
      <c r="R582" s="6"/>
      <c r="S582" s="6">
        <f t="shared" si="9"/>
        <v>12070</v>
      </c>
      <c r="T582" s="6"/>
      <c r="U582" s="6"/>
      <c r="V582" s="6"/>
      <c r="W582" s="6" t="s">
        <v>342</v>
      </c>
      <c r="X582" s="6" t="s">
        <v>315</v>
      </c>
      <c r="Y582" s="6" t="s">
        <v>2239</v>
      </c>
      <c r="Z582" s="6" t="s">
        <v>390</v>
      </c>
      <c r="AA582" s="6" t="s">
        <v>235</v>
      </c>
    </row>
    <row r="583" spans="1:27">
      <c r="A583" s="6">
        <v>582</v>
      </c>
      <c r="B583" s="6" t="s">
        <v>298</v>
      </c>
      <c r="C583" s="7">
        <v>46124</v>
      </c>
      <c r="D583" s="6" t="s">
        <v>226</v>
      </c>
      <c r="E583" s="6" t="s">
        <v>1477</v>
      </c>
      <c r="F583" s="6" t="s">
        <v>336</v>
      </c>
      <c r="G583" s="6">
        <v>12</v>
      </c>
      <c r="H583" s="8" t="s">
        <v>2240</v>
      </c>
      <c r="I583" s="8" t="s">
        <v>2241</v>
      </c>
      <c r="J583" s="8" t="s">
        <v>2242</v>
      </c>
      <c r="K583" s="8" t="s">
        <v>2242</v>
      </c>
      <c r="L583" s="16">
        <v>10520</v>
      </c>
      <c r="M583" s="8">
        <v>6920</v>
      </c>
      <c r="N583" s="7">
        <v>46129</v>
      </c>
      <c r="O583" s="6" t="s">
        <v>370</v>
      </c>
      <c r="P583" s="6" t="s">
        <v>52</v>
      </c>
      <c r="Q583" s="6" t="s">
        <v>340</v>
      </c>
      <c r="R583" s="6">
        <v>6500</v>
      </c>
      <c r="S583" s="6">
        <f t="shared" si="9"/>
        <v>420</v>
      </c>
      <c r="T583" s="7">
        <v>46137</v>
      </c>
      <c r="U583" s="6" t="s">
        <v>2243</v>
      </c>
      <c r="V583" s="6"/>
      <c r="W583" s="6" t="s">
        <v>388</v>
      </c>
      <c r="X583" s="6" t="s">
        <v>370</v>
      </c>
      <c r="Y583" s="6" t="s">
        <v>2244</v>
      </c>
      <c r="Z583" s="6" t="s">
        <v>211</v>
      </c>
      <c r="AA583" s="6" t="s">
        <v>235</v>
      </c>
    </row>
    <row r="584" spans="1:27">
      <c r="A584" s="6">
        <v>583</v>
      </c>
      <c r="B584" s="6" t="s">
        <v>225</v>
      </c>
      <c r="C584" s="7">
        <v>46124</v>
      </c>
      <c r="D584" s="6" t="s">
        <v>226</v>
      </c>
      <c r="E584" s="6" t="s">
        <v>1477</v>
      </c>
      <c r="F584" s="6" t="s">
        <v>336</v>
      </c>
      <c r="G584" s="6">
        <v>12</v>
      </c>
      <c r="H584" s="8" t="s">
        <v>2245</v>
      </c>
      <c r="I584" s="8" t="s">
        <v>2246</v>
      </c>
      <c r="J584" s="8" t="s">
        <v>2247</v>
      </c>
      <c r="K584" s="8" t="s">
        <v>2247</v>
      </c>
      <c r="L584" s="16">
        <v>4919.75</v>
      </c>
      <c r="M584" s="8">
        <v>4919.75</v>
      </c>
      <c r="N584" s="7">
        <v>46125</v>
      </c>
      <c r="O584" s="6" t="s">
        <v>350</v>
      </c>
      <c r="P584" s="6" t="s">
        <v>52</v>
      </c>
      <c r="Q584" s="6" t="s">
        <v>340</v>
      </c>
      <c r="R584" s="6">
        <v>4920</v>
      </c>
      <c r="S584" s="6">
        <f t="shared" si="9"/>
        <v>-0.25</v>
      </c>
      <c r="T584" s="7">
        <v>46136</v>
      </c>
      <c r="U584" s="6" t="s">
        <v>2248</v>
      </c>
      <c r="V584" s="6" t="s">
        <v>54</v>
      </c>
      <c r="W584" s="6" t="s">
        <v>342</v>
      </c>
      <c r="X584" s="6" t="s">
        <v>350</v>
      </c>
      <c r="Y584" s="6" t="s">
        <v>2249</v>
      </c>
      <c r="Z584" s="6" t="s">
        <v>1349</v>
      </c>
      <c r="AA584" s="6" t="s">
        <v>235</v>
      </c>
    </row>
    <row r="585" spans="1:27">
      <c r="A585" s="6">
        <v>584</v>
      </c>
      <c r="B585" s="6" t="s">
        <v>225</v>
      </c>
      <c r="C585" s="7">
        <v>46124</v>
      </c>
      <c r="D585" s="6" t="s">
        <v>226</v>
      </c>
      <c r="E585" s="6" t="s">
        <v>1477</v>
      </c>
      <c r="F585" s="6" t="s">
        <v>240</v>
      </c>
      <c r="G585" s="6">
        <v>12</v>
      </c>
      <c r="H585" s="11" t="s">
        <v>2250</v>
      </c>
      <c r="I585" s="11">
        <v>8328558207</v>
      </c>
      <c r="J585" s="10" t="s">
        <v>2251</v>
      </c>
      <c r="K585" s="10" t="s">
        <v>2251</v>
      </c>
      <c r="L585" s="11">
        <v>6540</v>
      </c>
      <c r="M585" s="8">
        <v>6540</v>
      </c>
      <c r="N585" s="7" t="s">
        <v>239</v>
      </c>
      <c r="O585" s="6" t="s">
        <v>239</v>
      </c>
      <c r="P585" s="6" t="s">
        <v>239</v>
      </c>
      <c r="Q585" s="6" t="s">
        <v>236</v>
      </c>
      <c r="R585" s="6"/>
      <c r="S585" s="6">
        <f t="shared" si="9"/>
        <v>6540</v>
      </c>
      <c r="T585" s="6"/>
      <c r="U585" s="6"/>
      <c r="V585" s="6"/>
      <c r="W585" s="6" t="s">
        <v>236</v>
      </c>
      <c r="X585" s="6" t="s">
        <v>236</v>
      </c>
      <c r="Y585" s="6" t="s">
        <v>236</v>
      </c>
      <c r="Z585" s="6" t="s">
        <v>236</v>
      </c>
      <c r="AA585" s="6" t="s">
        <v>236</v>
      </c>
    </row>
    <row r="586" spans="1:27">
      <c r="A586" s="6">
        <v>585</v>
      </c>
      <c r="B586" s="6" t="s">
        <v>225</v>
      </c>
      <c r="C586" s="7">
        <v>46124</v>
      </c>
      <c r="D586" s="6" t="s">
        <v>226</v>
      </c>
      <c r="E586" s="6" t="s">
        <v>1477</v>
      </c>
      <c r="F586" s="6" t="s">
        <v>240</v>
      </c>
      <c r="G586" s="6">
        <v>12</v>
      </c>
      <c r="H586" s="11" t="s">
        <v>2252</v>
      </c>
      <c r="I586" s="11">
        <v>8143567277</v>
      </c>
      <c r="J586" s="10" t="s">
        <v>2253</v>
      </c>
      <c r="K586" s="10" t="s">
        <v>2253</v>
      </c>
      <c r="L586" s="11">
        <v>3890</v>
      </c>
      <c r="M586" s="8">
        <v>3890</v>
      </c>
      <c r="N586" s="7" t="s">
        <v>239</v>
      </c>
      <c r="O586" s="6" t="s">
        <v>239</v>
      </c>
      <c r="P586" s="6" t="s">
        <v>239</v>
      </c>
      <c r="Q586" s="6" t="s">
        <v>236</v>
      </c>
      <c r="R586" s="6"/>
      <c r="S586" s="6">
        <f t="shared" si="9"/>
        <v>3890</v>
      </c>
      <c r="T586" s="6"/>
      <c r="U586" s="6"/>
      <c r="V586" s="6"/>
      <c r="W586" s="6" t="s">
        <v>236</v>
      </c>
      <c r="X586" s="6" t="s">
        <v>236</v>
      </c>
      <c r="Y586" s="6" t="s">
        <v>236</v>
      </c>
      <c r="Z586" s="6" t="s">
        <v>236</v>
      </c>
      <c r="AA586" s="6" t="s">
        <v>236</v>
      </c>
    </row>
    <row r="587" spans="1:27">
      <c r="A587" s="6">
        <v>586</v>
      </c>
      <c r="B587" s="6" t="s">
        <v>225</v>
      </c>
      <c r="C587" s="7">
        <v>46124</v>
      </c>
      <c r="D587" s="6" t="s">
        <v>226</v>
      </c>
      <c r="E587" s="6" t="s">
        <v>1477</v>
      </c>
      <c r="F587" s="6" t="s">
        <v>240</v>
      </c>
      <c r="G587" s="6">
        <v>12</v>
      </c>
      <c r="H587" s="11" t="s">
        <v>2254</v>
      </c>
      <c r="I587" s="11">
        <v>8281395341</v>
      </c>
      <c r="J587" s="10" t="s">
        <v>2255</v>
      </c>
      <c r="K587" s="10" t="s">
        <v>2255</v>
      </c>
      <c r="L587" s="11">
        <v>2380</v>
      </c>
      <c r="M587" s="8">
        <v>2380</v>
      </c>
      <c r="N587" s="7" t="s">
        <v>239</v>
      </c>
      <c r="O587" s="6" t="s">
        <v>239</v>
      </c>
      <c r="P587" s="6" t="s">
        <v>239</v>
      </c>
      <c r="Q587" s="6" t="s">
        <v>236</v>
      </c>
      <c r="R587" s="6"/>
      <c r="S587" s="6">
        <f t="shared" si="9"/>
        <v>2380</v>
      </c>
      <c r="T587" s="6"/>
      <c r="U587" s="6"/>
      <c r="V587" s="6"/>
      <c r="W587" s="6" t="s">
        <v>236</v>
      </c>
      <c r="X587" s="6" t="s">
        <v>236</v>
      </c>
      <c r="Y587" s="6" t="s">
        <v>236</v>
      </c>
      <c r="Z587" s="6" t="s">
        <v>236</v>
      </c>
      <c r="AA587" s="6" t="s">
        <v>236</v>
      </c>
    </row>
    <row r="588" spans="1:27">
      <c r="A588" s="6">
        <v>587</v>
      </c>
      <c r="B588" s="6" t="s">
        <v>225</v>
      </c>
      <c r="C588" s="7">
        <v>46124</v>
      </c>
      <c r="D588" s="6" t="s">
        <v>226</v>
      </c>
      <c r="E588" s="6" t="s">
        <v>1477</v>
      </c>
      <c r="F588" s="6" t="s">
        <v>240</v>
      </c>
      <c r="G588" s="6">
        <v>12</v>
      </c>
      <c r="H588" s="11" t="s">
        <v>2256</v>
      </c>
      <c r="I588" s="11">
        <v>8019998399</v>
      </c>
      <c r="J588" s="10" t="s">
        <v>2257</v>
      </c>
      <c r="K588" s="10" t="s">
        <v>2257</v>
      </c>
      <c r="L588" s="11">
        <v>2580</v>
      </c>
      <c r="M588" s="8">
        <v>2580</v>
      </c>
      <c r="N588" s="7" t="s">
        <v>239</v>
      </c>
      <c r="O588" s="6" t="s">
        <v>239</v>
      </c>
      <c r="P588" s="6" t="s">
        <v>239</v>
      </c>
      <c r="Q588" s="6" t="s">
        <v>236</v>
      </c>
      <c r="R588" s="6"/>
      <c r="S588" s="6">
        <f t="shared" si="9"/>
        <v>2580</v>
      </c>
      <c r="T588" s="6"/>
      <c r="U588" s="6"/>
      <c r="V588" s="6"/>
      <c r="W588" s="6" t="s">
        <v>236</v>
      </c>
      <c r="X588" s="6" t="s">
        <v>236</v>
      </c>
      <c r="Y588" s="6" t="s">
        <v>236</v>
      </c>
      <c r="Z588" s="6" t="s">
        <v>236</v>
      </c>
      <c r="AA588" s="6" t="s">
        <v>236</v>
      </c>
    </row>
    <row r="589" spans="1:27">
      <c r="A589" s="6">
        <v>588</v>
      </c>
      <c r="B589" s="6" t="s">
        <v>225</v>
      </c>
      <c r="C589" s="7">
        <v>46124</v>
      </c>
      <c r="D589" s="6" t="s">
        <v>226</v>
      </c>
      <c r="E589" s="6" t="s">
        <v>1477</v>
      </c>
      <c r="F589" s="6" t="s">
        <v>240</v>
      </c>
      <c r="G589" s="6">
        <v>12</v>
      </c>
      <c r="H589" s="11" t="s">
        <v>2258</v>
      </c>
      <c r="I589" s="11">
        <v>9747176763</v>
      </c>
      <c r="J589" s="10" t="s">
        <v>2259</v>
      </c>
      <c r="K589" s="10" t="s">
        <v>2259</v>
      </c>
      <c r="L589" s="11">
        <v>980</v>
      </c>
      <c r="M589" s="8">
        <v>980</v>
      </c>
      <c r="N589" s="7" t="s">
        <v>239</v>
      </c>
      <c r="O589" s="6" t="s">
        <v>239</v>
      </c>
      <c r="P589" s="6" t="s">
        <v>239</v>
      </c>
      <c r="Q589" s="6" t="s">
        <v>236</v>
      </c>
      <c r="R589" s="6"/>
      <c r="S589" s="6">
        <f t="shared" si="9"/>
        <v>980</v>
      </c>
      <c r="T589" s="6"/>
      <c r="U589" s="6"/>
      <c r="V589" s="6"/>
      <c r="W589" s="6" t="s">
        <v>236</v>
      </c>
      <c r="X589" s="6" t="s">
        <v>236</v>
      </c>
      <c r="Y589" s="6" t="s">
        <v>236</v>
      </c>
      <c r="Z589" s="6" t="s">
        <v>236</v>
      </c>
      <c r="AA589" s="6" t="s">
        <v>236</v>
      </c>
    </row>
    <row r="590" spans="1:27">
      <c r="A590" s="6">
        <v>589</v>
      </c>
      <c r="B590" s="6" t="s">
        <v>225</v>
      </c>
      <c r="C590" s="7">
        <v>46124</v>
      </c>
      <c r="D590" s="6" t="s">
        <v>226</v>
      </c>
      <c r="E590" s="6" t="s">
        <v>1477</v>
      </c>
      <c r="F590" s="6" t="s">
        <v>240</v>
      </c>
      <c r="G590" s="6">
        <v>12</v>
      </c>
      <c r="H590" s="11" t="s">
        <v>2260</v>
      </c>
      <c r="I590" s="11">
        <v>9840537388</v>
      </c>
      <c r="J590" s="10" t="s">
        <v>2261</v>
      </c>
      <c r="K590" s="10" t="s">
        <v>2261</v>
      </c>
      <c r="L590" s="11">
        <v>1840</v>
      </c>
      <c r="M590" s="8">
        <v>1840</v>
      </c>
      <c r="N590" s="7" t="s">
        <v>239</v>
      </c>
      <c r="O590" s="6" t="s">
        <v>239</v>
      </c>
      <c r="P590" s="6" t="s">
        <v>239</v>
      </c>
      <c r="Q590" s="6" t="s">
        <v>236</v>
      </c>
      <c r="R590" s="6"/>
      <c r="S590" s="6">
        <f t="shared" si="9"/>
        <v>1840</v>
      </c>
      <c r="T590" s="6"/>
      <c r="U590" s="6"/>
      <c r="V590" s="6"/>
      <c r="W590" s="6" t="s">
        <v>236</v>
      </c>
      <c r="X590" s="6" t="s">
        <v>236</v>
      </c>
      <c r="Y590" s="6" t="s">
        <v>236</v>
      </c>
      <c r="Z590" s="6" t="s">
        <v>236</v>
      </c>
      <c r="AA590" s="6" t="s">
        <v>236</v>
      </c>
    </row>
    <row r="591" spans="1:27">
      <c r="A591" s="6">
        <v>590</v>
      </c>
      <c r="B591" s="6" t="s">
        <v>225</v>
      </c>
      <c r="C591" s="7">
        <v>46124</v>
      </c>
      <c r="D591" s="6" t="s">
        <v>226</v>
      </c>
      <c r="E591" s="6" t="s">
        <v>1477</v>
      </c>
      <c r="F591" s="6" t="s">
        <v>240</v>
      </c>
      <c r="G591" s="6">
        <v>12</v>
      </c>
      <c r="H591" s="11" t="s">
        <v>2262</v>
      </c>
      <c r="I591" s="11">
        <v>9700419650</v>
      </c>
      <c r="J591" s="10" t="s">
        <v>2263</v>
      </c>
      <c r="K591" s="10" t="s">
        <v>2263</v>
      </c>
      <c r="L591" s="11">
        <v>2390</v>
      </c>
      <c r="M591" s="8">
        <v>2390</v>
      </c>
      <c r="N591" s="7" t="s">
        <v>239</v>
      </c>
      <c r="O591" s="6" t="s">
        <v>239</v>
      </c>
      <c r="P591" s="6" t="s">
        <v>239</v>
      </c>
      <c r="Q591" s="6" t="s">
        <v>236</v>
      </c>
      <c r="R591" s="6"/>
      <c r="S591" s="6">
        <f t="shared" si="9"/>
        <v>2390</v>
      </c>
      <c r="T591" s="6"/>
      <c r="U591" s="6"/>
      <c r="V591" s="6"/>
      <c r="W591" s="6" t="s">
        <v>236</v>
      </c>
      <c r="X591" s="6" t="s">
        <v>236</v>
      </c>
      <c r="Y591" s="6" t="s">
        <v>236</v>
      </c>
      <c r="Z591" s="6" t="s">
        <v>236</v>
      </c>
      <c r="AA591" s="6" t="s">
        <v>236</v>
      </c>
    </row>
    <row r="592" spans="1:27">
      <c r="A592" s="6">
        <v>591</v>
      </c>
      <c r="B592" s="6" t="s">
        <v>225</v>
      </c>
      <c r="C592" s="7">
        <v>46124</v>
      </c>
      <c r="D592" s="6" t="s">
        <v>226</v>
      </c>
      <c r="E592" s="6" t="s">
        <v>1477</v>
      </c>
      <c r="F592" s="6" t="s">
        <v>240</v>
      </c>
      <c r="G592" s="6">
        <v>12</v>
      </c>
      <c r="H592" s="11" t="s">
        <v>2264</v>
      </c>
      <c r="I592" s="11">
        <v>9701804548</v>
      </c>
      <c r="J592" s="10" t="s">
        <v>2265</v>
      </c>
      <c r="K592" s="10" t="s">
        <v>2265</v>
      </c>
      <c r="L592" s="11">
        <v>2530</v>
      </c>
      <c r="M592" s="8">
        <v>2530</v>
      </c>
      <c r="N592" s="7" t="s">
        <v>239</v>
      </c>
      <c r="O592" s="6" t="s">
        <v>239</v>
      </c>
      <c r="P592" s="6" t="s">
        <v>239</v>
      </c>
      <c r="Q592" s="6" t="s">
        <v>236</v>
      </c>
      <c r="R592" s="6"/>
      <c r="S592" s="6">
        <f t="shared" si="9"/>
        <v>2530</v>
      </c>
      <c r="T592" s="6"/>
      <c r="U592" s="6"/>
      <c r="V592" s="6"/>
      <c r="W592" s="6" t="s">
        <v>236</v>
      </c>
      <c r="X592" s="6" t="s">
        <v>236</v>
      </c>
      <c r="Y592" s="6" t="s">
        <v>236</v>
      </c>
      <c r="Z592" s="6" t="s">
        <v>236</v>
      </c>
      <c r="AA592" s="6" t="s">
        <v>236</v>
      </c>
    </row>
    <row r="593" spans="1:27">
      <c r="A593" s="6">
        <v>592</v>
      </c>
      <c r="B593" s="6" t="s">
        <v>225</v>
      </c>
      <c r="C593" s="7">
        <v>46124</v>
      </c>
      <c r="D593" s="6" t="s">
        <v>226</v>
      </c>
      <c r="E593" s="6" t="s">
        <v>1477</v>
      </c>
      <c r="F593" s="6" t="s">
        <v>240</v>
      </c>
      <c r="G593" s="6">
        <v>12</v>
      </c>
      <c r="H593" s="11" t="s">
        <v>2266</v>
      </c>
      <c r="I593" s="11">
        <v>9000687682</v>
      </c>
      <c r="J593" s="10" t="s">
        <v>2267</v>
      </c>
      <c r="K593" s="10" t="s">
        <v>2267</v>
      </c>
      <c r="L593" s="11">
        <v>1080</v>
      </c>
      <c r="M593" s="8">
        <v>1080</v>
      </c>
      <c r="N593" s="7" t="s">
        <v>239</v>
      </c>
      <c r="O593" s="6" t="s">
        <v>239</v>
      </c>
      <c r="P593" s="6" t="s">
        <v>239</v>
      </c>
      <c r="Q593" s="6" t="s">
        <v>236</v>
      </c>
      <c r="R593" s="6"/>
      <c r="S593" s="6">
        <f t="shared" si="9"/>
        <v>1080</v>
      </c>
      <c r="T593" s="6"/>
      <c r="U593" s="6"/>
      <c r="V593" s="6"/>
      <c r="W593" s="6" t="s">
        <v>236</v>
      </c>
      <c r="X593" s="6" t="s">
        <v>236</v>
      </c>
      <c r="Y593" s="6" t="s">
        <v>236</v>
      </c>
      <c r="Z593" s="6" t="s">
        <v>236</v>
      </c>
      <c r="AA593" s="6" t="s">
        <v>236</v>
      </c>
    </row>
    <row r="594" spans="1:27">
      <c r="A594" s="6">
        <v>593</v>
      </c>
      <c r="B594" s="6" t="s">
        <v>225</v>
      </c>
      <c r="C594" s="7">
        <v>46124</v>
      </c>
      <c r="D594" s="6" t="s">
        <v>226</v>
      </c>
      <c r="E594" s="6" t="s">
        <v>1477</v>
      </c>
      <c r="F594" s="6" t="s">
        <v>240</v>
      </c>
      <c r="G594" s="6">
        <v>12</v>
      </c>
      <c r="H594" s="11" t="s">
        <v>2268</v>
      </c>
      <c r="I594" s="11">
        <v>9666242747</v>
      </c>
      <c r="J594" s="10" t="s">
        <v>2269</v>
      </c>
      <c r="K594" s="10" t="s">
        <v>2269</v>
      </c>
      <c r="L594" s="11">
        <v>110</v>
      </c>
      <c r="M594" s="8">
        <v>110</v>
      </c>
      <c r="N594" s="7" t="s">
        <v>239</v>
      </c>
      <c r="O594" s="6" t="s">
        <v>239</v>
      </c>
      <c r="P594" s="6" t="s">
        <v>239</v>
      </c>
      <c r="Q594" s="6" t="s">
        <v>236</v>
      </c>
      <c r="R594" s="6"/>
      <c r="S594" s="6">
        <f t="shared" si="9"/>
        <v>110</v>
      </c>
      <c r="T594" s="6"/>
      <c r="U594" s="6"/>
      <c r="V594" s="6"/>
      <c r="W594" s="6" t="s">
        <v>236</v>
      </c>
      <c r="X594" s="6" t="s">
        <v>236</v>
      </c>
      <c r="Y594" s="6" t="s">
        <v>236</v>
      </c>
      <c r="Z594" s="6" t="s">
        <v>236</v>
      </c>
      <c r="AA594" s="6" t="s">
        <v>236</v>
      </c>
    </row>
    <row r="595" spans="1:27">
      <c r="A595" s="6">
        <v>594</v>
      </c>
      <c r="B595" s="6" t="s">
        <v>225</v>
      </c>
      <c r="C595" s="7">
        <v>46124</v>
      </c>
      <c r="D595" s="6" t="s">
        <v>226</v>
      </c>
      <c r="E595" s="6" t="s">
        <v>1477</v>
      </c>
      <c r="F595" s="6" t="s">
        <v>240</v>
      </c>
      <c r="G595" s="6">
        <v>12</v>
      </c>
      <c r="H595" s="11" t="s">
        <v>2270</v>
      </c>
      <c r="I595" s="11">
        <v>9645930816</v>
      </c>
      <c r="J595" s="10" t="s">
        <v>2271</v>
      </c>
      <c r="K595" s="10" t="s">
        <v>2271</v>
      </c>
      <c r="L595" s="11">
        <v>310</v>
      </c>
      <c r="M595" s="8">
        <v>310</v>
      </c>
      <c r="N595" s="7" t="s">
        <v>239</v>
      </c>
      <c r="O595" s="6" t="s">
        <v>239</v>
      </c>
      <c r="P595" s="6" t="s">
        <v>239</v>
      </c>
      <c r="Q595" s="6" t="s">
        <v>236</v>
      </c>
      <c r="R595" s="6"/>
      <c r="S595" s="6">
        <f t="shared" si="9"/>
        <v>310</v>
      </c>
      <c r="T595" s="6"/>
      <c r="U595" s="6"/>
      <c r="V595" s="6"/>
      <c r="W595" s="6" t="s">
        <v>236</v>
      </c>
      <c r="X595" s="6" t="s">
        <v>236</v>
      </c>
      <c r="Y595" s="6" t="s">
        <v>236</v>
      </c>
      <c r="Z595" s="6" t="s">
        <v>236</v>
      </c>
      <c r="AA595" s="6" t="s">
        <v>236</v>
      </c>
    </row>
    <row r="596" spans="1:27">
      <c r="A596" s="6">
        <v>595</v>
      </c>
      <c r="B596" s="6" t="s">
        <v>225</v>
      </c>
      <c r="C596" s="7">
        <v>46124</v>
      </c>
      <c r="D596" s="6" t="s">
        <v>226</v>
      </c>
      <c r="E596" s="6" t="s">
        <v>1477</v>
      </c>
      <c r="F596" s="6" t="s">
        <v>240</v>
      </c>
      <c r="G596" s="6">
        <v>12</v>
      </c>
      <c r="H596" s="11" t="s">
        <v>2272</v>
      </c>
      <c r="I596" s="11">
        <v>9986028796</v>
      </c>
      <c r="J596" s="10" t="s">
        <v>2273</v>
      </c>
      <c r="K596" s="10" t="s">
        <v>2273</v>
      </c>
      <c r="L596" s="11">
        <v>810</v>
      </c>
      <c r="M596" s="8">
        <v>810</v>
      </c>
      <c r="N596" s="7" t="s">
        <v>239</v>
      </c>
      <c r="O596" s="6" t="s">
        <v>239</v>
      </c>
      <c r="P596" s="6" t="s">
        <v>239</v>
      </c>
      <c r="Q596" s="6" t="s">
        <v>236</v>
      </c>
      <c r="R596" s="6"/>
      <c r="S596" s="6">
        <f t="shared" si="9"/>
        <v>810</v>
      </c>
      <c r="T596" s="6"/>
      <c r="U596" s="6"/>
      <c r="V596" s="6"/>
      <c r="W596" s="6" t="s">
        <v>236</v>
      </c>
      <c r="X596" s="6" t="s">
        <v>236</v>
      </c>
      <c r="Y596" s="6" t="s">
        <v>236</v>
      </c>
      <c r="Z596" s="6" t="s">
        <v>236</v>
      </c>
      <c r="AA596" s="6" t="s">
        <v>236</v>
      </c>
    </row>
    <row r="597" spans="1:27">
      <c r="A597" s="6">
        <v>596</v>
      </c>
      <c r="B597" s="6" t="s">
        <v>225</v>
      </c>
      <c r="C597" s="7">
        <v>46124</v>
      </c>
      <c r="D597" s="6" t="s">
        <v>226</v>
      </c>
      <c r="E597" s="6" t="s">
        <v>1477</v>
      </c>
      <c r="F597" s="6" t="s">
        <v>240</v>
      </c>
      <c r="G597" s="6">
        <v>12</v>
      </c>
      <c r="H597" s="11" t="s">
        <v>2274</v>
      </c>
      <c r="I597" s="11">
        <v>9566339850</v>
      </c>
      <c r="J597" s="10" t="s">
        <v>2275</v>
      </c>
      <c r="K597" s="10" t="s">
        <v>2275</v>
      </c>
      <c r="L597" s="11">
        <v>100</v>
      </c>
      <c r="M597" s="8">
        <v>100</v>
      </c>
      <c r="N597" s="7" t="s">
        <v>239</v>
      </c>
      <c r="O597" s="6" t="s">
        <v>239</v>
      </c>
      <c r="P597" s="6" t="s">
        <v>239</v>
      </c>
      <c r="Q597" s="6" t="s">
        <v>236</v>
      </c>
      <c r="R597" s="6"/>
      <c r="S597" s="6">
        <f t="shared" si="9"/>
        <v>100</v>
      </c>
      <c r="T597" s="6"/>
      <c r="U597" s="6"/>
      <c r="V597" s="6"/>
      <c r="W597" s="6" t="s">
        <v>236</v>
      </c>
      <c r="X597" s="6" t="s">
        <v>236</v>
      </c>
      <c r="Y597" s="6" t="s">
        <v>236</v>
      </c>
      <c r="Z597" s="6" t="s">
        <v>236</v>
      </c>
      <c r="AA597" s="6" t="s">
        <v>236</v>
      </c>
    </row>
    <row r="598" spans="1:27">
      <c r="A598" s="6">
        <v>597</v>
      </c>
      <c r="B598" s="6" t="s">
        <v>225</v>
      </c>
      <c r="C598" s="7">
        <v>46124</v>
      </c>
      <c r="D598" s="6" t="s">
        <v>226</v>
      </c>
      <c r="E598" s="6" t="s">
        <v>1477</v>
      </c>
      <c r="F598" s="6" t="s">
        <v>240</v>
      </c>
      <c r="G598" s="6">
        <v>12</v>
      </c>
      <c r="H598" s="11" t="s">
        <v>2276</v>
      </c>
      <c r="I598" s="11">
        <v>7338001922</v>
      </c>
      <c r="J598" s="10" t="s">
        <v>2277</v>
      </c>
      <c r="K598" s="10" t="s">
        <v>2277</v>
      </c>
      <c r="L598" s="11">
        <v>950</v>
      </c>
      <c r="M598" s="8">
        <v>950</v>
      </c>
      <c r="N598" s="7" t="s">
        <v>239</v>
      </c>
      <c r="O598" s="6" t="s">
        <v>239</v>
      </c>
      <c r="P598" s="6" t="s">
        <v>239</v>
      </c>
      <c r="Q598" s="6" t="s">
        <v>236</v>
      </c>
      <c r="R598" s="6"/>
      <c r="S598" s="6">
        <f t="shared" si="9"/>
        <v>950</v>
      </c>
      <c r="T598" s="6"/>
      <c r="U598" s="6"/>
      <c r="V598" s="6"/>
      <c r="W598" s="6" t="s">
        <v>236</v>
      </c>
      <c r="X598" s="6" t="s">
        <v>236</v>
      </c>
      <c r="Y598" s="6" t="s">
        <v>236</v>
      </c>
      <c r="Z598" s="6" t="s">
        <v>236</v>
      </c>
      <c r="AA598" s="6" t="s">
        <v>236</v>
      </c>
    </row>
    <row r="599" spans="1:27">
      <c r="A599" s="6">
        <v>598</v>
      </c>
      <c r="B599" s="6" t="s">
        <v>225</v>
      </c>
      <c r="C599" s="7">
        <v>46124</v>
      </c>
      <c r="D599" s="6" t="s">
        <v>226</v>
      </c>
      <c r="E599" s="6" t="s">
        <v>1477</v>
      </c>
      <c r="F599" s="6" t="s">
        <v>240</v>
      </c>
      <c r="G599" s="6">
        <v>12</v>
      </c>
      <c r="H599" s="11" t="s">
        <v>2278</v>
      </c>
      <c r="I599" s="11">
        <v>8943711393</v>
      </c>
      <c r="J599" s="10" t="s">
        <v>2279</v>
      </c>
      <c r="K599" s="10" t="s">
        <v>2279</v>
      </c>
      <c r="L599" s="11">
        <v>440</v>
      </c>
      <c r="M599" s="8">
        <v>440</v>
      </c>
      <c r="N599" s="7" t="s">
        <v>239</v>
      </c>
      <c r="O599" s="6" t="s">
        <v>239</v>
      </c>
      <c r="P599" s="6" t="s">
        <v>239</v>
      </c>
      <c r="Q599" s="6" t="s">
        <v>236</v>
      </c>
      <c r="R599" s="6"/>
      <c r="S599" s="6">
        <f t="shared" si="9"/>
        <v>440</v>
      </c>
      <c r="T599" s="6"/>
      <c r="U599" s="6"/>
      <c r="V599" s="6"/>
      <c r="W599" s="6" t="s">
        <v>236</v>
      </c>
      <c r="X599" s="6" t="s">
        <v>236</v>
      </c>
      <c r="Y599" s="6" t="s">
        <v>236</v>
      </c>
      <c r="Z599" s="6" t="s">
        <v>236</v>
      </c>
      <c r="AA599" s="6" t="s">
        <v>236</v>
      </c>
    </row>
    <row r="600" spans="1:27">
      <c r="A600" s="6">
        <v>599</v>
      </c>
      <c r="B600" s="6" t="s">
        <v>225</v>
      </c>
      <c r="C600" s="7">
        <v>46124</v>
      </c>
      <c r="D600" s="6" t="s">
        <v>226</v>
      </c>
      <c r="E600" s="6" t="s">
        <v>1477</v>
      </c>
      <c r="F600" s="6" t="s">
        <v>240</v>
      </c>
      <c r="G600" s="6">
        <v>12</v>
      </c>
      <c r="H600" s="11" t="s">
        <v>2280</v>
      </c>
      <c r="I600" s="11">
        <v>8008627677</v>
      </c>
      <c r="J600" s="10" t="s">
        <v>2281</v>
      </c>
      <c r="K600" s="10" t="s">
        <v>2281</v>
      </c>
      <c r="L600" s="11">
        <v>1120</v>
      </c>
      <c r="M600" s="8">
        <v>1120</v>
      </c>
      <c r="N600" s="7" t="s">
        <v>239</v>
      </c>
      <c r="O600" s="6" t="s">
        <v>239</v>
      </c>
      <c r="P600" s="6" t="s">
        <v>239</v>
      </c>
      <c r="Q600" s="6" t="s">
        <v>236</v>
      </c>
      <c r="R600" s="6"/>
      <c r="S600" s="6">
        <f t="shared" si="9"/>
        <v>1120</v>
      </c>
      <c r="T600" s="6"/>
      <c r="U600" s="6"/>
      <c r="V600" s="6"/>
      <c r="W600" s="6" t="s">
        <v>236</v>
      </c>
      <c r="X600" s="6" t="s">
        <v>236</v>
      </c>
      <c r="Y600" s="6" t="s">
        <v>236</v>
      </c>
      <c r="Z600" s="6" t="s">
        <v>236</v>
      </c>
      <c r="AA600" s="6" t="s">
        <v>236</v>
      </c>
    </row>
    <row r="601" spans="1:27">
      <c r="A601" s="6">
        <v>600</v>
      </c>
      <c r="B601" s="6" t="s">
        <v>225</v>
      </c>
      <c r="C601" s="7">
        <v>46124</v>
      </c>
      <c r="D601" s="6" t="s">
        <v>226</v>
      </c>
      <c r="E601" s="6" t="s">
        <v>1477</v>
      </c>
      <c r="F601" s="6" t="s">
        <v>240</v>
      </c>
      <c r="G601" s="6">
        <v>12</v>
      </c>
      <c r="H601" s="11" t="s">
        <v>2282</v>
      </c>
      <c r="I601" s="11">
        <v>8281853449</v>
      </c>
      <c r="J601" s="10" t="s">
        <v>2283</v>
      </c>
      <c r="K601" s="10" t="s">
        <v>2283</v>
      </c>
      <c r="L601" s="11">
        <v>480</v>
      </c>
      <c r="M601" s="8">
        <v>480</v>
      </c>
      <c r="N601" s="7" t="s">
        <v>239</v>
      </c>
      <c r="O601" s="6" t="s">
        <v>239</v>
      </c>
      <c r="P601" s="6" t="s">
        <v>239</v>
      </c>
      <c r="Q601" s="6" t="s">
        <v>236</v>
      </c>
      <c r="R601" s="6"/>
      <c r="S601" s="6">
        <f t="shared" si="9"/>
        <v>480</v>
      </c>
      <c r="T601" s="6"/>
      <c r="U601" s="6"/>
      <c r="V601" s="6"/>
      <c r="W601" s="6" t="s">
        <v>236</v>
      </c>
      <c r="X601" s="6" t="s">
        <v>236</v>
      </c>
      <c r="Y601" s="6" t="s">
        <v>236</v>
      </c>
      <c r="Z601" s="6" t="s">
        <v>236</v>
      </c>
      <c r="AA601" s="6" t="s">
        <v>236</v>
      </c>
    </row>
    <row r="602" spans="1:27">
      <c r="A602" s="6">
        <v>601</v>
      </c>
      <c r="B602" s="6" t="s">
        <v>225</v>
      </c>
      <c r="C602" s="7">
        <v>46124</v>
      </c>
      <c r="D602" s="6" t="s">
        <v>226</v>
      </c>
      <c r="E602" s="6" t="s">
        <v>1477</v>
      </c>
      <c r="F602" s="6" t="s">
        <v>240</v>
      </c>
      <c r="G602" s="6">
        <v>12</v>
      </c>
      <c r="H602" s="11" t="s">
        <v>2284</v>
      </c>
      <c r="I602" s="11">
        <v>9746681375</v>
      </c>
      <c r="J602" s="10" t="s">
        <v>2285</v>
      </c>
      <c r="K602" s="10" t="s">
        <v>2285</v>
      </c>
      <c r="L602" s="11">
        <v>560</v>
      </c>
      <c r="M602" s="8">
        <v>560</v>
      </c>
      <c r="N602" s="7" t="s">
        <v>239</v>
      </c>
      <c r="O602" s="6" t="s">
        <v>239</v>
      </c>
      <c r="P602" s="6" t="s">
        <v>239</v>
      </c>
      <c r="Q602" s="6" t="s">
        <v>236</v>
      </c>
      <c r="R602" s="6"/>
      <c r="S602" s="6">
        <f t="shared" si="9"/>
        <v>560</v>
      </c>
      <c r="T602" s="6"/>
      <c r="U602" s="6"/>
      <c r="V602" s="6"/>
      <c r="W602" s="6" t="s">
        <v>236</v>
      </c>
      <c r="X602" s="6" t="s">
        <v>236</v>
      </c>
      <c r="Y602" s="6" t="s">
        <v>236</v>
      </c>
      <c r="Z602" s="6" t="s">
        <v>236</v>
      </c>
      <c r="AA602" s="6" t="s">
        <v>236</v>
      </c>
    </row>
    <row r="603" spans="1:27">
      <c r="A603" s="6">
        <v>602</v>
      </c>
      <c r="B603" s="6" t="s">
        <v>225</v>
      </c>
      <c r="C603" s="7">
        <v>46124</v>
      </c>
      <c r="D603" s="6" t="s">
        <v>226</v>
      </c>
      <c r="E603" s="6" t="s">
        <v>1477</v>
      </c>
      <c r="F603" s="6" t="s">
        <v>240</v>
      </c>
      <c r="G603" s="6">
        <v>12</v>
      </c>
      <c r="H603" s="11" t="s">
        <v>2286</v>
      </c>
      <c r="I603" s="11">
        <v>9182599082</v>
      </c>
      <c r="J603" s="10" t="s">
        <v>2287</v>
      </c>
      <c r="K603" s="10" t="s">
        <v>2287</v>
      </c>
      <c r="L603" s="11">
        <v>280</v>
      </c>
      <c r="M603" s="8">
        <v>280</v>
      </c>
      <c r="N603" s="7" t="s">
        <v>239</v>
      </c>
      <c r="O603" s="6" t="s">
        <v>239</v>
      </c>
      <c r="P603" s="6" t="s">
        <v>239</v>
      </c>
      <c r="Q603" s="6" t="s">
        <v>236</v>
      </c>
      <c r="R603" s="6"/>
      <c r="S603" s="6">
        <f t="shared" si="9"/>
        <v>280</v>
      </c>
      <c r="T603" s="6"/>
      <c r="U603" s="6"/>
      <c r="V603" s="6"/>
      <c r="W603" s="6" t="s">
        <v>236</v>
      </c>
      <c r="X603" s="6" t="s">
        <v>236</v>
      </c>
      <c r="Y603" s="6" t="s">
        <v>236</v>
      </c>
      <c r="Z603" s="6" t="s">
        <v>236</v>
      </c>
      <c r="AA603" s="6" t="s">
        <v>236</v>
      </c>
    </row>
    <row r="604" spans="1:27">
      <c r="A604" s="6">
        <v>603</v>
      </c>
      <c r="B604" s="6" t="s">
        <v>225</v>
      </c>
      <c r="C604" s="7">
        <v>46124</v>
      </c>
      <c r="D604" s="6" t="s">
        <v>226</v>
      </c>
      <c r="E604" s="6" t="s">
        <v>1477</v>
      </c>
      <c r="F604" s="6" t="s">
        <v>240</v>
      </c>
      <c r="G604" s="6">
        <v>12</v>
      </c>
      <c r="H604" s="11" t="s">
        <v>2288</v>
      </c>
      <c r="I604" s="11">
        <v>9946120343</v>
      </c>
      <c r="J604" s="10" t="s">
        <v>2289</v>
      </c>
      <c r="K604" s="10" t="s">
        <v>2289</v>
      </c>
      <c r="L604" s="6">
        <v>290</v>
      </c>
      <c r="M604" s="8">
        <v>290</v>
      </c>
      <c r="N604" s="7" t="s">
        <v>239</v>
      </c>
      <c r="O604" s="6" t="s">
        <v>239</v>
      </c>
      <c r="P604" s="6" t="s">
        <v>239</v>
      </c>
      <c r="Q604" s="6" t="s">
        <v>236</v>
      </c>
      <c r="R604" s="6"/>
      <c r="S604" s="6">
        <f t="shared" si="9"/>
        <v>290</v>
      </c>
      <c r="T604" s="6"/>
      <c r="U604" s="6"/>
      <c r="V604" s="6"/>
      <c r="W604" s="6" t="s">
        <v>236</v>
      </c>
      <c r="X604" s="6" t="s">
        <v>236</v>
      </c>
      <c r="Y604" s="6" t="s">
        <v>236</v>
      </c>
      <c r="Z604" s="6" t="s">
        <v>236</v>
      </c>
      <c r="AA604" s="6" t="s">
        <v>236</v>
      </c>
    </row>
    <row r="605" spans="1:27">
      <c r="A605" s="6">
        <v>604</v>
      </c>
      <c r="B605" s="6" t="s">
        <v>225</v>
      </c>
      <c r="C605" s="7">
        <v>46124</v>
      </c>
      <c r="D605" s="6" t="s">
        <v>226</v>
      </c>
      <c r="E605" s="6" t="s">
        <v>1477</v>
      </c>
      <c r="F605" s="12" t="s">
        <v>294</v>
      </c>
      <c r="G605" s="6">
        <v>12</v>
      </c>
      <c r="H605" s="12" t="s">
        <v>2290</v>
      </c>
      <c r="I605" s="12" t="s">
        <v>2291</v>
      </c>
      <c r="J605" s="12" t="s">
        <v>2292</v>
      </c>
      <c r="K605" s="12" t="s">
        <v>2292</v>
      </c>
      <c r="L605" s="12">
        <v>5930</v>
      </c>
      <c r="M605" s="8">
        <v>1831</v>
      </c>
      <c r="N605" s="7" t="s">
        <v>239</v>
      </c>
      <c r="O605" s="6" t="s">
        <v>239</v>
      </c>
      <c r="P605" s="12" t="s">
        <v>239</v>
      </c>
      <c r="Q605" s="6" t="s">
        <v>298</v>
      </c>
      <c r="R605" s="6"/>
      <c r="S605" s="6">
        <f t="shared" si="9"/>
        <v>1831</v>
      </c>
      <c r="T605" s="6"/>
      <c r="U605" s="6"/>
      <c r="V605" s="6"/>
      <c r="W605" s="12" t="s">
        <v>298</v>
      </c>
      <c r="X605" s="12" t="s">
        <v>2293</v>
      </c>
      <c r="Y605" s="12" t="s">
        <v>2294</v>
      </c>
      <c r="Z605" s="12" t="s">
        <v>1363</v>
      </c>
      <c r="AA605" s="6" t="s">
        <v>235</v>
      </c>
    </row>
    <row r="606" spans="1:27">
      <c r="A606" s="6">
        <v>605</v>
      </c>
      <c r="B606" s="6" t="s">
        <v>225</v>
      </c>
      <c r="C606" s="7">
        <v>46124</v>
      </c>
      <c r="D606" s="6" t="s">
        <v>226</v>
      </c>
      <c r="E606" s="6" t="s">
        <v>1477</v>
      </c>
      <c r="F606" s="12" t="s">
        <v>310</v>
      </c>
      <c r="G606" s="6">
        <v>12</v>
      </c>
      <c r="H606" s="12" t="s">
        <v>2295</v>
      </c>
      <c r="I606" s="12" t="s">
        <v>2296</v>
      </c>
      <c r="J606" s="12" t="s">
        <v>2297</v>
      </c>
      <c r="K606" s="12" t="s">
        <v>2297</v>
      </c>
      <c r="L606" s="12">
        <v>32450</v>
      </c>
      <c r="M606" s="8">
        <v>22450</v>
      </c>
      <c r="N606" s="7">
        <v>46127</v>
      </c>
      <c r="O606" s="12" t="s">
        <v>2298</v>
      </c>
      <c r="P606" s="12" t="s">
        <v>52</v>
      </c>
      <c r="Q606" s="6" t="s">
        <v>314</v>
      </c>
      <c r="R606" s="6">
        <v>22450</v>
      </c>
      <c r="S606" s="6">
        <f t="shared" si="9"/>
        <v>0</v>
      </c>
      <c r="T606" s="7">
        <v>46127</v>
      </c>
      <c r="U606" s="6" t="s">
        <v>2299</v>
      </c>
      <c r="V606" s="6" t="s">
        <v>54</v>
      </c>
      <c r="W606" s="12" t="s">
        <v>643</v>
      </c>
      <c r="X606" s="12" t="s">
        <v>660</v>
      </c>
      <c r="Y606" s="12" t="s">
        <v>2300</v>
      </c>
      <c r="Z606" s="12" t="s">
        <v>2301</v>
      </c>
      <c r="AA606" s="6" t="s">
        <v>40</v>
      </c>
    </row>
    <row r="607" spans="1:27">
      <c r="A607" s="6">
        <v>606</v>
      </c>
      <c r="B607" s="6" t="s">
        <v>2302</v>
      </c>
      <c r="C607" s="7">
        <v>46124</v>
      </c>
      <c r="D607" s="6" t="s">
        <v>226</v>
      </c>
      <c r="E607" s="6" t="s">
        <v>1477</v>
      </c>
      <c r="F607" s="12" t="s">
        <v>310</v>
      </c>
      <c r="G607" s="6">
        <v>12</v>
      </c>
      <c r="H607" s="12" t="s">
        <v>2303</v>
      </c>
      <c r="I607" s="12" t="s">
        <v>2304</v>
      </c>
      <c r="J607" s="12" t="s">
        <v>2305</v>
      </c>
      <c r="K607" s="12" t="s">
        <v>2305</v>
      </c>
      <c r="L607" s="12">
        <v>13158</v>
      </c>
      <c r="M607" s="8">
        <v>13158</v>
      </c>
      <c r="N607" s="7"/>
      <c r="O607" s="12" t="s">
        <v>2306</v>
      </c>
      <c r="P607" s="6" t="s">
        <v>52</v>
      </c>
      <c r="Q607" s="6" t="s">
        <v>314</v>
      </c>
      <c r="R607" s="6"/>
      <c r="S607" s="6">
        <f t="shared" si="9"/>
        <v>13158</v>
      </c>
      <c r="T607" s="7">
        <v>46135</v>
      </c>
      <c r="U607" s="6" t="s">
        <v>2307</v>
      </c>
      <c r="V607" s="6" t="s">
        <v>54</v>
      </c>
      <c r="W607" s="12" t="s">
        <v>643</v>
      </c>
      <c r="X607" s="12" t="s">
        <v>775</v>
      </c>
      <c r="Y607" s="6"/>
      <c r="Z607" s="12" t="s">
        <v>2308</v>
      </c>
      <c r="AA607" s="6" t="s">
        <v>40</v>
      </c>
    </row>
    <row r="608" spans="1:27">
      <c r="A608" s="6">
        <v>607</v>
      </c>
      <c r="B608" s="6" t="s">
        <v>225</v>
      </c>
      <c r="C608" s="7">
        <v>46124</v>
      </c>
      <c r="D608" s="6" t="s">
        <v>226</v>
      </c>
      <c r="E608" s="6" t="s">
        <v>1477</v>
      </c>
      <c r="F608" s="6" t="s">
        <v>336</v>
      </c>
      <c r="G608" s="6">
        <v>12</v>
      </c>
      <c r="H608" s="12" t="s">
        <v>2309</v>
      </c>
      <c r="I608" s="6" t="s">
        <v>2310</v>
      </c>
      <c r="J608" s="6" t="s">
        <v>875</v>
      </c>
      <c r="K608" s="6" t="s">
        <v>875</v>
      </c>
      <c r="L608" s="14">
        <v>23610</v>
      </c>
      <c r="M608" s="8">
        <v>23610</v>
      </c>
      <c r="N608" s="7">
        <v>46132</v>
      </c>
      <c r="O608" s="6" t="s">
        <v>388</v>
      </c>
      <c r="P608" s="6" t="s">
        <v>52</v>
      </c>
      <c r="Q608" s="6" t="s">
        <v>340</v>
      </c>
      <c r="R608" s="6">
        <v>23610</v>
      </c>
      <c r="S608" s="6">
        <f t="shared" si="9"/>
        <v>0</v>
      </c>
      <c r="T608" s="7">
        <v>46145</v>
      </c>
      <c r="U608" s="6" t="s">
        <v>2311</v>
      </c>
      <c r="V608" s="6" t="s">
        <v>54</v>
      </c>
      <c r="W608" s="6" t="s">
        <v>315</v>
      </c>
      <c r="X608" s="6" t="s">
        <v>388</v>
      </c>
      <c r="Y608" s="6" t="s">
        <v>2312</v>
      </c>
      <c r="Z608" s="6" t="s">
        <v>390</v>
      </c>
      <c r="AA608" s="6" t="s">
        <v>235</v>
      </c>
    </row>
    <row r="609" spans="1:27">
      <c r="A609" s="6">
        <v>608</v>
      </c>
      <c r="B609" s="6" t="s">
        <v>225</v>
      </c>
      <c r="C609" s="7">
        <v>46124</v>
      </c>
      <c r="D609" s="6" t="s">
        <v>226</v>
      </c>
      <c r="E609" s="6" t="s">
        <v>1477</v>
      </c>
      <c r="F609" s="6" t="s">
        <v>336</v>
      </c>
      <c r="G609" s="6">
        <v>12</v>
      </c>
      <c r="H609" s="12" t="s">
        <v>2313</v>
      </c>
      <c r="I609" s="6" t="s">
        <v>2314</v>
      </c>
      <c r="J609" s="6" t="s">
        <v>2315</v>
      </c>
      <c r="K609" s="6" t="s">
        <v>2315</v>
      </c>
      <c r="L609" s="14">
        <v>17570</v>
      </c>
      <c r="M609" s="8">
        <v>9570</v>
      </c>
      <c r="N609" s="7">
        <v>46129</v>
      </c>
      <c r="O609" s="6" t="s">
        <v>315</v>
      </c>
      <c r="P609" s="6" t="s">
        <v>52</v>
      </c>
      <c r="Q609" s="6" t="s">
        <v>340</v>
      </c>
      <c r="R609" s="6"/>
      <c r="S609" s="6">
        <f t="shared" si="9"/>
        <v>9570</v>
      </c>
      <c r="T609" s="6"/>
      <c r="U609" s="6"/>
      <c r="V609" s="6"/>
      <c r="W609" s="6" t="s">
        <v>315</v>
      </c>
      <c r="X609" s="6" t="s">
        <v>388</v>
      </c>
      <c r="Y609" s="6" t="s">
        <v>2316</v>
      </c>
      <c r="Z609" s="6" t="s">
        <v>715</v>
      </c>
      <c r="AA609" s="6" t="s">
        <v>235</v>
      </c>
    </row>
    <row r="610" spans="1:27">
      <c r="A610" s="6">
        <v>609</v>
      </c>
      <c r="B610" s="6" t="s">
        <v>225</v>
      </c>
      <c r="C610" s="7">
        <v>46124</v>
      </c>
      <c r="D610" s="6" t="s">
        <v>226</v>
      </c>
      <c r="E610" s="6" t="s">
        <v>1477</v>
      </c>
      <c r="F610" s="6" t="s">
        <v>336</v>
      </c>
      <c r="G610" s="6">
        <v>12</v>
      </c>
      <c r="H610" s="12" t="s">
        <v>2317</v>
      </c>
      <c r="I610" s="6" t="s">
        <v>2318</v>
      </c>
      <c r="J610" s="6" t="s">
        <v>2319</v>
      </c>
      <c r="K610" s="6" t="s">
        <v>2319</v>
      </c>
      <c r="L610" s="14">
        <v>3980</v>
      </c>
      <c r="M610" s="8">
        <v>3980</v>
      </c>
      <c r="N610" s="7">
        <v>46127</v>
      </c>
      <c r="O610" s="6" t="s">
        <v>343</v>
      </c>
      <c r="P610" s="6" t="s">
        <v>52</v>
      </c>
      <c r="Q610" s="6" t="s">
        <v>340</v>
      </c>
      <c r="R610" s="6"/>
      <c r="S610" s="6">
        <f t="shared" si="9"/>
        <v>3980</v>
      </c>
      <c r="T610" s="6"/>
      <c r="U610" s="6"/>
      <c r="V610" s="6"/>
      <c r="W610" s="6" t="s">
        <v>343</v>
      </c>
      <c r="X610" s="6" t="s">
        <v>388</v>
      </c>
      <c r="Y610" s="6" t="s">
        <v>2320</v>
      </c>
      <c r="Z610" s="6" t="s">
        <v>2321</v>
      </c>
      <c r="AA610" s="6" t="s">
        <v>235</v>
      </c>
    </row>
    <row r="611" spans="1:27">
      <c r="A611" s="6">
        <v>610</v>
      </c>
      <c r="B611" s="6" t="s">
        <v>346</v>
      </c>
      <c r="C611" s="7">
        <v>46124</v>
      </c>
      <c r="D611" s="6" t="s">
        <v>226</v>
      </c>
      <c r="E611" s="6" t="s">
        <v>1477</v>
      </c>
      <c r="F611" s="6" t="s">
        <v>336</v>
      </c>
      <c r="G611" s="6">
        <v>12</v>
      </c>
      <c r="H611" s="6" t="s">
        <v>2322</v>
      </c>
      <c r="I611" s="6" t="s">
        <v>2323</v>
      </c>
      <c r="J611" s="6" t="s">
        <v>2324</v>
      </c>
      <c r="K611" s="6" t="s">
        <v>2324</v>
      </c>
      <c r="L611" s="14">
        <v>6330</v>
      </c>
      <c r="M611" s="6">
        <v>3330</v>
      </c>
      <c r="N611" s="7"/>
      <c r="O611" s="6" t="s">
        <v>343</v>
      </c>
      <c r="P611" s="6" t="s">
        <v>52</v>
      </c>
      <c r="Q611" s="6" t="s">
        <v>340</v>
      </c>
      <c r="R611" s="6"/>
      <c r="S611" s="6">
        <f t="shared" si="9"/>
        <v>3330</v>
      </c>
      <c r="T611" s="6"/>
      <c r="U611" s="6"/>
      <c r="V611" s="6"/>
      <c r="W611" s="6" t="s">
        <v>343</v>
      </c>
      <c r="X611" s="6" t="s">
        <v>388</v>
      </c>
      <c r="Y611" s="6" t="s">
        <v>2325</v>
      </c>
      <c r="Z611" s="6" t="s">
        <v>2326</v>
      </c>
      <c r="AA611" s="6" t="s">
        <v>235</v>
      </c>
    </row>
    <row r="612" spans="1:27">
      <c r="A612" s="6">
        <v>611</v>
      </c>
      <c r="B612" s="6" t="s">
        <v>225</v>
      </c>
      <c r="C612" s="7">
        <v>46125</v>
      </c>
      <c r="D612" s="6" t="s">
        <v>933</v>
      </c>
      <c r="E612" s="6" t="s">
        <v>1477</v>
      </c>
      <c r="F612" s="6" t="s">
        <v>966</v>
      </c>
      <c r="G612" s="6">
        <v>13</v>
      </c>
      <c r="H612" s="12" t="s">
        <v>2327</v>
      </c>
      <c r="I612" s="12" t="s">
        <v>2328</v>
      </c>
      <c r="J612" s="23" t="s">
        <v>2329</v>
      </c>
      <c r="K612" s="6" t="s">
        <v>2330</v>
      </c>
      <c r="L612" s="13">
        <v>1360</v>
      </c>
      <c r="M612" s="13">
        <v>1361</v>
      </c>
      <c r="N612" s="7">
        <v>46146</v>
      </c>
      <c r="O612" s="12" t="s">
        <v>2161</v>
      </c>
      <c r="P612" s="6" t="s">
        <v>52</v>
      </c>
      <c r="Q612" s="6" t="s">
        <v>971</v>
      </c>
      <c r="R612" s="6">
        <v>1361</v>
      </c>
      <c r="S612" s="6">
        <f t="shared" si="9"/>
        <v>0</v>
      </c>
      <c r="T612" s="7">
        <v>46146</v>
      </c>
      <c r="U612" s="32" t="s">
        <v>2331</v>
      </c>
      <c r="V612" s="6" t="s">
        <v>54</v>
      </c>
      <c r="W612" s="12" t="s">
        <v>2161</v>
      </c>
      <c r="X612" s="12" t="s">
        <v>1341</v>
      </c>
      <c r="Y612" s="12" t="s">
        <v>2332</v>
      </c>
      <c r="Z612" s="6" t="s">
        <v>1500</v>
      </c>
      <c r="AA612" s="6" t="s">
        <v>235</v>
      </c>
    </row>
    <row r="613" spans="1:27">
      <c r="A613" s="6">
        <v>612</v>
      </c>
      <c r="B613" s="6" t="s">
        <v>225</v>
      </c>
      <c r="C613" s="7">
        <v>46125</v>
      </c>
      <c r="D613" s="6" t="s">
        <v>933</v>
      </c>
      <c r="E613" s="6" t="s">
        <v>1477</v>
      </c>
      <c r="F613" s="6" t="s">
        <v>966</v>
      </c>
      <c r="G613" s="6">
        <v>13</v>
      </c>
      <c r="H613" s="12" t="s">
        <v>2333</v>
      </c>
      <c r="I613" s="12" t="s">
        <v>2334</v>
      </c>
      <c r="J613" s="23" t="s">
        <v>2335</v>
      </c>
      <c r="K613" s="6" t="s">
        <v>2336</v>
      </c>
      <c r="L613" s="13">
        <v>2530</v>
      </c>
      <c r="M613" s="13">
        <v>2531</v>
      </c>
      <c r="N613" s="7"/>
      <c r="O613" s="12" t="s">
        <v>2161</v>
      </c>
      <c r="P613" s="6" t="s">
        <v>52</v>
      </c>
      <c r="Q613" s="6" t="s">
        <v>971</v>
      </c>
      <c r="R613" s="6"/>
      <c r="S613" s="6">
        <f t="shared" si="9"/>
        <v>2531</v>
      </c>
      <c r="T613" s="7"/>
      <c r="U613" s="32"/>
      <c r="V613" s="6"/>
      <c r="W613" s="12" t="s">
        <v>2161</v>
      </c>
      <c r="X613" s="12" t="s">
        <v>2337</v>
      </c>
      <c r="Y613" s="12" t="s">
        <v>2338</v>
      </c>
      <c r="Z613" s="6" t="s">
        <v>1682</v>
      </c>
      <c r="AA613" s="6" t="s">
        <v>235</v>
      </c>
    </row>
    <row r="614" spans="1:27">
      <c r="A614" s="6">
        <v>613</v>
      </c>
      <c r="B614" s="6" t="s">
        <v>225</v>
      </c>
      <c r="C614" s="7">
        <v>46125</v>
      </c>
      <c r="D614" s="6" t="s">
        <v>933</v>
      </c>
      <c r="E614" s="6" t="s">
        <v>1477</v>
      </c>
      <c r="F614" s="6" t="s">
        <v>966</v>
      </c>
      <c r="G614" s="6">
        <v>13</v>
      </c>
      <c r="H614" s="12" t="s">
        <v>2339</v>
      </c>
      <c r="I614" s="12">
        <v>9063993264</v>
      </c>
      <c r="J614" s="23" t="s">
        <v>2340</v>
      </c>
      <c r="K614" s="6" t="s">
        <v>2341</v>
      </c>
      <c r="L614" s="13">
        <v>7181.17</v>
      </c>
      <c r="M614" s="13">
        <v>2182</v>
      </c>
      <c r="N614" s="7">
        <v>46146</v>
      </c>
      <c r="O614" s="12" t="s">
        <v>2161</v>
      </c>
      <c r="P614" s="6" t="s">
        <v>52</v>
      </c>
      <c r="Q614" s="6" t="s">
        <v>971</v>
      </c>
      <c r="R614" s="6">
        <v>2182</v>
      </c>
      <c r="S614" s="6">
        <f t="shared" si="9"/>
        <v>0</v>
      </c>
      <c r="T614" s="7">
        <v>46146</v>
      </c>
      <c r="U614" s="32"/>
      <c r="V614" s="6" t="s">
        <v>54</v>
      </c>
      <c r="W614" s="12" t="s">
        <v>2161</v>
      </c>
      <c r="X614" s="12" t="s">
        <v>2342</v>
      </c>
      <c r="Y614" s="12" t="s">
        <v>2343</v>
      </c>
      <c r="Z614" s="6" t="s">
        <v>390</v>
      </c>
      <c r="AA614" s="6" t="s">
        <v>235</v>
      </c>
    </row>
    <row r="615" spans="1:27">
      <c r="A615" s="6">
        <v>614</v>
      </c>
      <c r="B615" s="6" t="s">
        <v>225</v>
      </c>
      <c r="C615" s="7">
        <v>46125</v>
      </c>
      <c r="D615" s="6" t="s">
        <v>933</v>
      </c>
      <c r="E615" s="6" t="s">
        <v>1477</v>
      </c>
      <c r="F615" s="6" t="s">
        <v>966</v>
      </c>
      <c r="G615" s="6">
        <v>13</v>
      </c>
      <c r="H615" s="12" t="s">
        <v>2344</v>
      </c>
      <c r="I615" s="12">
        <v>9951873237</v>
      </c>
      <c r="J615" s="23" t="s">
        <v>2345</v>
      </c>
      <c r="K615" s="6" t="s">
        <v>2346</v>
      </c>
      <c r="L615" s="13">
        <v>3862</v>
      </c>
      <c r="M615" s="13">
        <v>653</v>
      </c>
      <c r="N615" s="7">
        <v>46146</v>
      </c>
      <c r="O615" s="12" t="s">
        <v>2161</v>
      </c>
      <c r="P615" s="6" t="s">
        <v>52</v>
      </c>
      <c r="Q615" s="6" t="s">
        <v>971</v>
      </c>
      <c r="R615" s="6">
        <v>653</v>
      </c>
      <c r="S615" s="6">
        <f t="shared" si="9"/>
        <v>0</v>
      </c>
      <c r="T615" s="7">
        <v>46146</v>
      </c>
      <c r="U615" s="32"/>
      <c r="V615" s="6" t="s">
        <v>54</v>
      </c>
      <c r="W615" s="12" t="s">
        <v>2161</v>
      </c>
      <c r="X615" s="12" t="s">
        <v>2347</v>
      </c>
      <c r="Y615" s="12" t="s">
        <v>2348</v>
      </c>
      <c r="Z615" s="6" t="s">
        <v>1973</v>
      </c>
      <c r="AA615" s="6" t="s">
        <v>235</v>
      </c>
    </row>
    <row r="616" spans="1:27">
      <c r="A616" s="6">
        <v>615</v>
      </c>
      <c r="B616" s="6" t="s">
        <v>225</v>
      </c>
      <c r="C616" s="7">
        <v>46127</v>
      </c>
      <c r="D616" s="6" t="s">
        <v>226</v>
      </c>
      <c r="E616" s="6" t="s">
        <v>1477</v>
      </c>
      <c r="F616" s="6" t="s">
        <v>364</v>
      </c>
      <c r="G616" s="6">
        <v>15</v>
      </c>
      <c r="H616" s="6" t="s">
        <v>2349</v>
      </c>
      <c r="I616" s="6">
        <v>9581131248</v>
      </c>
      <c r="J616" s="6" t="s">
        <v>2350</v>
      </c>
      <c r="K616" s="6" t="s">
        <v>2350</v>
      </c>
      <c r="L616" s="6">
        <v>13210</v>
      </c>
      <c r="M616" s="6">
        <v>13210</v>
      </c>
      <c r="N616" s="7">
        <v>46137</v>
      </c>
      <c r="O616" s="6" t="s">
        <v>369</v>
      </c>
      <c r="P616" s="6" t="s">
        <v>52</v>
      </c>
      <c r="Q616" s="6" t="s">
        <v>367</v>
      </c>
      <c r="R616" s="6"/>
      <c r="S616" s="6">
        <f t="shared" si="9"/>
        <v>13210</v>
      </c>
      <c r="T616" s="6"/>
      <c r="U616" s="6"/>
      <c r="V616" s="6"/>
      <c r="W616" s="6" t="s">
        <v>369</v>
      </c>
      <c r="X616" s="6" t="s">
        <v>369</v>
      </c>
      <c r="Y616" s="6" t="s">
        <v>2351</v>
      </c>
      <c r="Z616" s="6" t="s">
        <v>2352</v>
      </c>
      <c r="AA616" s="6" t="s">
        <v>373</v>
      </c>
    </row>
    <row r="617" spans="1:27">
      <c r="A617" s="6">
        <v>616</v>
      </c>
      <c r="B617" s="6" t="s">
        <v>225</v>
      </c>
      <c r="C617" s="7">
        <v>46128</v>
      </c>
      <c r="D617" s="6" t="s">
        <v>226</v>
      </c>
      <c r="E617" s="6" t="s">
        <v>1477</v>
      </c>
      <c r="F617" s="6" t="s">
        <v>267</v>
      </c>
      <c r="G617" s="6">
        <v>16</v>
      </c>
      <c r="H617" s="11" t="s">
        <v>2353</v>
      </c>
      <c r="I617" s="11">
        <v>7337311561</v>
      </c>
      <c r="J617" s="10" t="s">
        <v>2354</v>
      </c>
      <c r="K617" s="10" t="s">
        <v>2354</v>
      </c>
      <c r="L617" s="6">
        <v>3790</v>
      </c>
      <c r="M617" s="6">
        <v>3790</v>
      </c>
      <c r="N617" s="7" t="s">
        <v>239</v>
      </c>
      <c r="O617" s="6" t="s">
        <v>239</v>
      </c>
      <c r="P617" s="6" t="s">
        <v>239</v>
      </c>
      <c r="Q617" s="6" t="s">
        <v>236</v>
      </c>
      <c r="R617" s="6"/>
      <c r="S617" s="6">
        <f t="shared" si="9"/>
        <v>3790</v>
      </c>
      <c r="T617" s="6"/>
      <c r="U617" s="6"/>
      <c r="V617" s="6"/>
      <c r="W617" s="6" t="s">
        <v>236</v>
      </c>
      <c r="X617" s="6" t="s">
        <v>236</v>
      </c>
      <c r="Y617" s="6" t="s">
        <v>236</v>
      </c>
      <c r="Z617" s="6" t="s">
        <v>236</v>
      </c>
      <c r="AA617" s="6" t="s">
        <v>236</v>
      </c>
    </row>
    <row r="618" spans="1:27" ht="36">
      <c r="A618" s="6">
        <v>617</v>
      </c>
      <c r="B618" s="6" t="s">
        <v>225</v>
      </c>
      <c r="C618" s="7">
        <v>46128</v>
      </c>
      <c r="D618" s="6" t="s">
        <v>226</v>
      </c>
      <c r="E618" s="6" t="s">
        <v>1477</v>
      </c>
      <c r="F618" s="6" t="s">
        <v>267</v>
      </c>
      <c r="G618" s="6">
        <v>16</v>
      </c>
      <c r="H618" s="11" t="s">
        <v>2355</v>
      </c>
      <c r="I618" s="11">
        <v>8296817734</v>
      </c>
      <c r="J618" s="33" t="s">
        <v>2356</v>
      </c>
      <c r="K618" s="33" t="s">
        <v>2356</v>
      </c>
      <c r="L618" s="6">
        <v>3020</v>
      </c>
      <c r="M618" s="6">
        <v>3020</v>
      </c>
      <c r="N618" s="7" t="s">
        <v>239</v>
      </c>
      <c r="O618" s="6" t="s">
        <v>239</v>
      </c>
      <c r="P618" s="6" t="s">
        <v>239</v>
      </c>
      <c r="Q618" s="6" t="s">
        <v>236</v>
      </c>
      <c r="R618" s="6"/>
      <c r="S618" s="6">
        <f t="shared" si="9"/>
        <v>3020</v>
      </c>
      <c r="T618" s="6"/>
      <c r="U618" s="6"/>
      <c r="V618" s="6"/>
      <c r="W618" s="6" t="s">
        <v>236</v>
      </c>
      <c r="X618" s="6" t="s">
        <v>236</v>
      </c>
      <c r="Y618" s="6" t="s">
        <v>236</v>
      </c>
      <c r="Z618" s="6" t="s">
        <v>236</v>
      </c>
      <c r="AA618" s="6" t="s">
        <v>236</v>
      </c>
    </row>
    <row r="619" spans="1:27">
      <c r="A619" s="6">
        <v>618</v>
      </c>
      <c r="B619" s="6" t="s">
        <v>225</v>
      </c>
      <c r="C619" s="7">
        <v>46128</v>
      </c>
      <c r="D619" s="6" t="s">
        <v>226</v>
      </c>
      <c r="E619" s="6" t="s">
        <v>1477</v>
      </c>
      <c r="F619" s="6" t="s">
        <v>267</v>
      </c>
      <c r="G619" s="6">
        <v>16</v>
      </c>
      <c r="H619" s="11" t="s">
        <v>2357</v>
      </c>
      <c r="I619" s="11">
        <v>8220335568</v>
      </c>
      <c r="J619" s="10" t="s">
        <v>2358</v>
      </c>
      <c r="K619" s="10" t="s">
        <v>2358</v>
      </c>
      <c r="L619" s="6">
        <v>990</v>
      </c>
      <c r="M619" s="6">
        <v>990</v>
      </c>
      <c r="N619" s="7" t="s">
        <v>239</v>
      </c>
      <c r="O619" s="6" t="s">
        <v>239</v>
      </c>
      <c r="P619" s="6" t="s">
        <v>239</v>
      </c>
      <c r="Q619" s="6" t="s">
        <v>236</v>
      </c>
      <c r="R619" s="6"/>
      <c r="S619" s="6">
        <f t="shared" si="9"/>
        <v>990</v>
      </c>
      <c r="T619" s="6"/>
      <c r="U619" s="6"/>
      <c r="V619" s="6"/>
      <c r="W619" s="6" t="s">
        <v>236</v>
      </c>
      <c r="X619" s="6" t="s">
        <v>236</v>
      </c>
      <c r="Y619" s="6" t="s">
        <v>236</v>
      </c>
      <c r="Z619" s="6" t="s">
        <v>236</v>
      </c>
      <c r="AA619" s="6" t="s">
        <v>236</v>
      </c>
    </row>
    <row r="620" spans="1:27">
      <c r="A620" s="6">
        <v>619</v>
      </c>
      <c r="B620" s="6" t="s">
        <v>225</v>
      </c>
      <c r="C620" s="7">
        <v>46128</v>
      </c>
      <c r="D620" s="6" t="s">
        <v>226</v>
      </c>
      <c r="E620" s="6" t="s">
        <v>1477</v>
      </c>
      <c r="F620" s="6" t="s">
        <v>267</v>
      </c>
      <c r="G620" s="6">
        <v>16</v>
      </c>
      <c r="H620" s="11" t="s">
        <v>2359</v>
      </c>
      <c r="I620" s="11">
        <v>9866569850</v>
      </c>
      <c r="J620" s="10" t="s">
        <v>2360</v>
      </c>
      <c r="K620" s="10" t="s">
        <v>2360</v>
      </c>
      <c r="L620" s="6">
        <v>3020</v>
      </c>
      <c r="M620" s="6">
        <v>3020</v>
      </c>
      <c r="N620" s="7" t="s">
        <v>239</v>
      </c>
      <c r="O620" s="6" t="s">
        <v>239</v>
      </c>
      <c r="P620" s="6" t="s">
        <v>239</v>
      </c>
      <c r="Q620" s="6" t="s">
        <v>236</v>
      </c>
      <c r="R620" s="6"/>
      <c r="S620" s="6">
        <f t="shared" si="9"/>
        <v>3020</v>
      </c>
      <c r="T620" s="6"/>
      <c r="U620" s="6"/>
      <c r="V620" s="6"/>
      <c r="W620" s="6" t="s">
        <v>236</v>
      </c>
      <c r="X620" s="6" t="s">
        <v>236</v>
      </c>
      <c r="Y620" s="6" t="s">
        <v>236</v>
      </c>
      <c r="Z620" s="6" t="s">
        <v>236</v>
      </c>
      <c r="AA620" s="6" t="s">
        <v>236</v>
      </c>
    </row>
    <row r="621" spans="1:27">
      <c r="A621" s="6">
        <v>620</v>
      </c>
      <c r="B621" s="6" t="s">
        <v>225</v>
      </c>
      <c r="C621" s="7">
        <v>46128</v>
      </c>
      <c r="D621" s="6" t="s">
        <v>226</v>
      </c>
      <c r="E621" s="6" t="s">
        <v>1477</v>
      </c>
      <c r="F621" s="6" t="s">
        <v>267</v>
      </c>
      <c r="G621" s="6">
        <v>16</v>
      </c>
      <c r="H621" s="11" t="s">
        <v>2361</v>
      </c>
      <c r="I621" s="11">
        <v>9847649732</v>
      </c>
      <c r="J621" s="10" t="s">
        <v>2362</v>
      </c>
      <c r="K621" s="10" t="s">
        <v>2362</v>
      </c>
      <c r="L621" s="6">
        <v>2130</v>
      </c>
      <c r="M621" s="6">
        <v>2130</v>
      </c>
      <c r="N621" s="7" t="s">
        <v>239</v>
      </c>
      <c r="O621" s="6" t="s">
        <v>239</v>
      </c>
      <c r="P621" s="6" t="s">
        <v>239</v>
      </c>
      <c r="Q621" s="6" t="s">
        <v>236</v>
      </c>
      <c r="R621" s="6"/>
      <c r="S621" s="6">
        <f t="shared" si="9"/>
        <v>2130</v>
      </c>
      <c r="T621" s="6"/>
      <c r="U621" s="6"/>
      <c r="V621" s="6"/>
      <c r="W621" s="6" t="s">
        <v>236</v>
      </c>
      <c r="X621" s="6" t="s">
        <v>236</v>
      </c>
      <c r="Y621" s="6" t="s">
        <v>236</v>
      </c>
      <c r="Z621" s="6" t="s">
        <v>236</v>
      </c>
      <c r="AA621" s="6" t="s">
        <v>236</v>
      </c>
    </row>
    <row r="622" spans="1:27">
      <c r="A622" s="6">
        <v>621</v>
      </c>
      <c r="B622" s="6" t="s">
        <v>225</v>
      </c>
      <c r="C622" s="7">
        <v>46128</v>
      </c>
      <c r="D622" s="6" t="s">
        <v>226</v>
      </c>
      <c r="E622" s="6" t="s">
        <v>1477</v>
      </c>
      <c r="F622" s="6" t="s">
        <v>267</v>
      </c>
      <c r="G622" s="6">
        <v>16</v>
      </c>
      <c r="H622" s="11" t="s">
        <v>2363</v>
      </c>
      <c r="I622" s="11">
        <v>9880611106</v>
      </c>
      <c r="J622" s="10" t="s">
        <v>2364</v>
      </c>
      <c r="K622" s="10" t="s">
        <v>2364</v>
      </c>
      <c r="L622" s="6">
        <v>2710</v>
      </c>
      <c r="M622" s="6">
        <v>2710</v>
      </c>
      <c r="N622" s="7" t="s">
        <v>239</v>
      </c>
      <c r="O622" s="6" t="s">
        <v>239</v>
      </c>
      <c r="P622" s="6" t="s">
        <v>239</v>
      </c>
      <c r="Q622" s="6" t="s">
        <v>236</v>
      </c>
      <c r="R622" s="6"/>
      <c r="S622" s="6">
        <f t="shared" si="9"/>
        <v>2710</v>
      </c>
      <c r="T622" s="6"/>
      <c r="U622" s="6"/>
      <c r="V622" s="6"/>
      <c r="W622" s="6" t="s">
        <v>236</v>
      </c>
      <c r="X622" s="6" t="s">
        <v>236</v>
      </c>
      <c r="Y622" s="6" t="s">
        <v>236</v>
      </c>
      <c r="Z622" s="6" t="s">
        <v>236</v>
      </c>
      <c r="AA622" s="6" t="s">
        <v>236</v>
      </c>
    </row>
    <row r="623" spans="1:27">
      <c r="A623" s="6">
        <v>622</v>
      </c>
      <c r="B623" s="6" t="s">
        <v>225</v>
      </c>
      <c r="C623" s="7">
        <v>46128</v>
      </c>
      <c r="D623" s="6" t="s">
        <v>226</v>
      </c>
      <c r="E623" s="6" t="s">
        <v>1477</v>
      </c>
      <c r="F623" s="6" t="s">
        <v>267</v>
      </c>
      <c r="G623" s="6">
        <v>16</v>
      </c>
      <c r="H623" s="11" t="s">
        <v>2365</v>
      </c>
      <c r="I623" s="11">
        <v>6379247171</v>
      </c>
      <c r="J623" s="10" t="s">
        <v>2366</v>
      </c>
      <c r="K623" s="10" t="s">
        <v>2366</v>
      </c>
      <c r="L623" s="6">
        <v>825</v>
      </c>
      <c r="M623" s="6">
        <v>825</v>
      </c>
      <c r="N623" s="7" t="s">
        <v>239</v>
      </c>
      <c r="O623" s="6" t="s">
        <v>239</v>
      </c>
      <c r="P623" s="6" t="s">
        <v>239</v>
      </c>
      <c r="Q623" s="6" t="s">
        <v>236</v>
      </c>
      <c r="R623" s="6"/>
      <c r="S623" s="6">
        <f t="shared" si="9"/>
        <v>825</v>
      </c>
      <c r="T623" s="6"/>
      <c r="U623" s="6"/>
      <c r="V623" s="6"/>
      <c r="W623" s="6" t="s">
        <v>236</v>
      </c>
      <c r="X623" s="6" t="s">
        <v>236</v>
      </c>
      <c r="Y623" s="6" t="s">
        <v>236</v>
      </c>
      <c r="Z623" s="6" t="s">
        <v>236</v>
      </c>
      <c r="AA623" s="6" t="s">
        <v>236</v>
      </c>
    </row>
    <row r="624" spans="1:27">
      <c r="A624" s="6">
        <v>623</v>
      </c>
      <c r="B624" s="6" t="s">
        <v>225</v>
      </c>
      <c r="C624" s="7">
        <v>46128</v>
      </c>
      <c r="D624" s="6" t="s">
        <v>226</v>
      </c>
      <c r="E624" s="6" t="s">
        <v>1477</v>
      </c>
      <c r="F624" s="6" t="s">
        <v>267</v>
      </c>
      <c r="G624" s="6">
        <v>16</v>
      </c>
      <c r="H624" s="11" t="s">
        <v>2367</v>
      </c>
      <c r="I624" s="11">
        <v>9895642211</v>
      </c>
      <c r="J624" s="10" t="s">
        <v>2368</v>
      </c>
      <c r="K624" s="10" t="s">
        <v>2368</v>
      </c>
      <c r="L624" s="6">
        <v>1410</v>
      </c>
      <c r="M624" s="6">
        <v>1410</v>
      </c>
      <c r="N624" s="7" t="s">
        <v>239</v>
      </c>
      <c r="O624" s="6" t="s">
        <v>239</v>
      </c>
      <c r="P624" s="6" t="s">
        <v>239</v>
      </c>
      <c r="Q624" s="6" t="s">
        <v>236</v>
      </c>
      <c r="R624" s="6"/>
      <c r="S624" s="6">
        <f t="shared" si="9"/>
        <v>1410</v>
      </c>
      <c r="T624" s="6"/>
      <c r="U624" s="6"/>
      <c r="V624" s="6"/>
      <c r="W624" s="6" t="s">
        <v>236</v>
      </c>
      <c r="X624" s="6" t="s">
        <v>236</v>
      </c>
      <c r="Y624" s="6" t="s">
        <v>236</v>
      </c>
      <c r="Z624" s="6" t="s">
        <v>236</v>
      </c>
      <c r="AA624" s="6" t="s">
        <v>236</v>
      </c>
    </row>
    <row r="625" spans="1:27">
      <c r="A625" s="6">
        <v>624</v>
      </c>
      <c r="B625" s="6" t="s">
        <v>225</v>
      </c>
      <c r="C625" s="7">
        <v>46128</v>
      </c>
      <c r="D625" s="6" t="s">
        <v>226</v>
      </c>
      <c r="E625" s="6" t="s">
        <v>1477</v>
      </c>
      <c r="F625" s="6" t="s">
        <v>267</v>
      </c>
      <c r="G625" s="6">
        <v>16</v>
      </c>
      <c r="H625" s="11" t="s">
        <v>2369</v>
      </c>
      <c r="I625" s="11">
        <v>8137819591</v>
      </c>
      <c r="J625" s="10" t="s">
        <v>2370</v>
      </c>
      <c r="K625" s="10" t="s">
        <v>2370</v>
      </c>
      <c r="L625" s="6">
        <v>1080</v>
      </c>
      <c r="M625" s="6">
        <v>1080</v>
      </c>
      <c r="N625" s="7" t="s">
        <v>239</v>
      </c>
      <c r="O625" s="6" t="s">
        <v>239</v>
      </c>
      <c r="P625" s="6" t="s">
        <v>239</v>
      </c>
      <c r="Q625" s="6" t="s">
        <v>236</v>
      </c>
      <c r="R625" s="6"/>
      <c r="S625" s="6">
        <f t="shared" si="9"/>
        <v>1080</v>
      </c>
      <c r="T625" s="6"/>
      <c r="U625" s="6"/>
      <c r="V625" s="6"/>
      <c r="W625" s="6" t="s">
        <v>236</v>
      </c>
      <c r="X625" s="6" t="s">
        <v>236</v>
      </c>
      <c r="Y625" s="6" t="s">
        <v>236</v>
      </c>
      <c r="Z625" s="6" t="s">
        <v>236</v>
      </c>
      <c r="AA625" s="6" t="s">
        <v>236</v>
      </c>
    </row>
    <row r="626" spans="1:27">
      <c r="A626" s="6">
        <v>625</v>
      </c>
      <c r="B626" s="6" t="s">
        <v>225</v>
      </c>
      <c r="C626" s="7">
        <v>46128</v>
      </c>
      <c r="D626" s="6" t="s">
        <v>226</v>
      </c>
      <c r="E626" s="6" t="s">
        <v>1477</v>
      </c>
      <c r="F626" s="6" t="s">
        <v>267</v>
      </c>
      <c r="G626" s="6">
        <v>16</v>
      </c>
      <c r="H626" s="11" t="s">
        <v>2371</v>
      </c>
      <c r="I626" s="11">
        <v>9207603364</v>
      </c>
      <c r="J626" s="10" t="s">
        <v>2372</v>
      </c>
      <c r="K626" s="10" t="s">
        <v>2372</v>
      </c>
      <c r="L626" s="6">
        <v>510</v>
      </c>
      <c r="M626" s="6">
        <v>510</v>
      </c>
      <c r="N626" s="7" t="s">
        <v>239</v>
      </c>
      <c r="O626" s="6" t="s">
        <v>239</v>
      </c>
      <c r="P626" s="6" t="s">
        <v>239</v>
      </c>
      <c r="Q626" s="6" t="s">
        <v>236</v>
      </c>
      <c r="R626" s="6"/>
      <c r="S626" s="6">
        <f t="shared" si="9"/>
        <v>510</v>
      </c>
      <c r="T626" s="6"/>
      <c r="U626" s="6"/>
      <c r="V626" s="6"/>
      <c r="W626" s="6" t="s">
        <v>236</v>
      </c>
      <c r="X626" s="6" t="s">
        <v>236</v>
      </c>
      <c r="Y626" s="6" t="s">
        <v>236</v>
      </c>
      <c r="Z626" s="6" t="s">
        <v>236</v>
      </c>
      <c r="AA626" s="6" t="s">
        <v>236</v>
      </c>
    </row>
    <row r="627" spans="1:27">
      <c r="A627" s="6">
        <v>626</v>
      </c>
      <c r="B627" s="6" t="s">
        <v>225</v>
      </c>
      <c r="C627" s="7">
        <v>46128</v>
      </c>
      <c r="D627" s="6" t="s">
        <v>226</v>
      </c>
      <c r="E627" s="6" t="s">
        <v>1477</v>
      </c>
      <c r="F627" s="6" t="s">
        <v>267</v>
      </c>
      <c r="G627" s="6">
        <v>16</v>
      </c>
      <c r="H627" s="11" t="s">
        <v>2373</v>
      </c>
      <c r="I627" s="11">
        <v>9704656837</v>
      </c>
      <c r="J627" s="10" t="s">
        <v>2374</v>
      </c>
      <c r="K627" s="10" t="s">
        <v>2374</v>
      </c>
      <c r="L627" s="6">
        <v>280</v>
      </c>
      <c r="M627" s="6">
        <v>280</v>
      </c>
      <c r="N627" s="7" t="s">
        <v>239</v>
      </c>
      <c r="O627" s="6" t="s">
        <v>239</v>
      </c>
      <c r="P627" s="6" t="s">
        <v>239</v>
      </c>
      <c r="Q627" s="6" t="s">
        <v>236</v>
      </c>
      <c r="R627" s="6"/>
      <c r="S627" s="6">
        <f t="shared" si="9"/>
        <v>280</v>
      </c>
      <c r="T627" s="6"/>
      <c r="U627" s="6"/>
      <c r="V627" s="6"/>
      <c r="W627" s="6" t="s">
        <v>236</v>
      </c>
      <c r="X627" s="6" t="s">
        <v>236</v>
      </c>
      <c r="Y627" s="6" t="s">
        <v>236</v>
      </c>
      <c r="Z627" s="6" t="s">
        <v>236</v>
      </c>
      <c r="AA627" s="6" t="s">
        <v>236</v>
      </c>
    </row>
    <row r="628" spans="1:27">
      <c r="A628" s="6">
        <v>627</v>
      </c>
      <c r="B628" s="6" t="s">
        <v>225</v>
      </c>
      <c r="C628" s="7">
        <v>46128</v>
      </c>
      <c r="D628" s="6" t="s">
        <v>226</v>
      </c>
      <c r="E628" s="6" t="s">
        <v>1477</v>
      </c>
      <c r="F628" s="6" t="s">
        <v>267</v>
      </c>
      <c r="G628" s="6">
        <v>16</v>
      </c>
      <c r="H628" s="11" t="s">
        <v>2375</v>
      </c>
      <c r="I628" s="11">
        <v>9581883930</v>
      </c>
      <c r="J628" s="10" t="s">
        <v>2376</v>
      </c>
      <c r="K628" s="10" t="s">
        <v>2376</v>
      </c>
      <c r="L628" s="6">
        <v>630</v>
      </c>
      <c r="M628" s="6">
        <v>630</v>
      </c>
      <c r="N628" s="7" t="s">
        <v>239</v>
      </c>
      <c r="O628" s="6" t="s">
        <v>239</v>
      </c>
      <c r="P628" s="6" t="s">
        <v>239</v>
      </c>
      <c r="Q628" s="6" t="s">
        <v>236</v>
      </c>
      <c r="R628" s="6"/>
      <c r="S628" s="6">
        <f t="shared" si="9"/>
        <v>630</v>
      </c>
      <c r="T628" s="6"/>
      <c r="U628" s="6"/>
      <c r="V628" s="6"/>
      <c r="W628" s="6" t="s">
        <v>236</v>
      </c>
      <c r="X628" s="6" t="s">
        <v>236</v>
      </c>
      <c r="Y628" s="6" t="s">
        <v>236</v>
      </c>
      <c r="Z628" s="6" t="s">
        <v>236</v>
      </c>
      <c r="AA628" s="6" t="s">
        <v>236</v>
      </c>
    </row>
    <row r="629" spans="1:27">
      <c r="A629" s="6">
        <v>628</v>
      </c>
      <c r="B629" s="6" t="s">
        <v>225</v>
      </c>
      <c r="C629" s="7">
        <v>46128</v>
      </c>
      <c r="D629" s="6" t="s">
        <v>226</v>
      </c>
      <c r="E629" s="6" t="s">
        <v>1477</v>
      </c>
      <c r="F629" s="6" t="s">
        <v>746</v>
      </c>
      <c r="G629" s="6">
        <v>16</v>
      </c>
      <c r="H629" s="11" t="s">
        <v>2377</v>
      </c>
      <c r="I629" s="11">
        <v>7842597697</v>
      </c>
      <c r="J629" s="10" t="s">
        <v>2378</v>
      </c>
      <c r="K629" s="10" t="s">
        <v>2378</v>
      </c>
      <c r="L629" s="6">
        <v>3508</v>
      </c>
      <c r="M629" s="6">
        <v>3508</v>
      </c>
      <c r="N629" s="7" t="s">
        <v>239</v>
      </c>
      <c r="O629" s="6" t="s">
        <v>239</v>
      </c>
      <c r="P629" s="6" t="s">
        <v>239</v>
      </c>
      <c r="Q629" s="6" t="s">
        <v>236</v>
      </c>
      <c r="R629" s="6"/>
      <c r="S629" s="6">
        <f t="shared" si="9"/>
        <v>3508</v>
      </c>
      <c r="T629" s="6"/>
      <c r="U629" s="6"/>
      <c r="V629" s="6"/>
      <c r="W629" s="6" t="s">
        <v>236</v>
      </c>
      <c r="X629" s="6" t="s">
        <v>236</v>
      </c>
      <c r="Y629" s="6" t="s">
        <v>236</v>
      </c>
      <c r="Z629" s="6" t="s">
        <v>236</v>
      </c>
      <c r="AA629" s="6" t="s">
        <v>236</v>
      </c>
    </row>
    <row r="630" spans="1:27">
      <c r="A630" s="6">
        <v>629</v>
      </c>
      <c r="B630" s="6" t="s">
        <v>225</v>
      </c>
      <c r="C630" s="7">
        <v>46128</v>
      </c>
      <c r="D630" s="6" t="s">
        <v>226</v>
      </c>
      <c r="E630" s="6" t="s">
        <v>1477</v>
      </c>
      <c r="F630" s="6" t="s">
        <v>746</v>
      </c>
      <c r="G630" s="6">
        <v>16</v>
      </c>
      <c r="H630" s="11" t="s">
        <v>2379</v>
      </c>
      <c r="I630" s="11">
        <v>9363515932</v>
      </c>
      <c r="J630" s="10" t="s">
        <v>2380</v>
      </c>
      <c r="K630" s="10" t="s">
        <v>2380</v>
      </c>
      <c r="L630" s="6">
        <v>1930</v>
      </c>
      <c r="M630" s="6">
        <v>1930</v>
      </c>
      <c r="N630" s="7" t="s">
        <v>239</v>
      </c>
      <c r="O630" s="6" t="s">
        <v>239</v>
      </c>
      <c r="P630" s="6" t="s">
        <v>239</v>
      </c>
      <c r="Q630" s="6" t="s">
        <v>236</v>
      </c>
      <c r="R630" s="6"/>
      <c r="S630" s="6">
        <f t="shared" si="9"/>
        <v>1930</v>
      </c>
      <c r="T630" s="6"/>
      <c r="U630" s="6"/>
      <c r="V630" s="6"/>
      <c r="W630" s="6" t="s">
        <v>236</v>
      </c>
      <c r="X630" s="6" t="s">
        <v>236</v>
      </c>
      <c r="Y630" s="6" t="s">
        <v>236</v>
      </c>
      <c r="Z630" s="6" t="s">
        <v>236</v>
      </c>
      <c r="AA630" s="6" t="s">
        <v>236</v>
      </c>
    </row>
    <row r="631" spans="1:27">
      <c r="A631" s="6">
        <v>630</v>
      </c>
      <c r="B631" s="6" t="s">
        <v>225</v>
      </c>
      <c r="C631" s="7">
        <v>46128</v>
      </c>
      <c r="D631" s="6" t="s">
        <v>226</v>
      </c>
      <c r="E631" s="6" t="s">
        <v>1477</v>
      </c>
      <c r="F631" s="6" t="s">
        <v>746</v>
      </c>
      <c r="G631" s="6">
        <v>16</v>
      </c>
      <c r="H631" s="11" t="s">
        <v>2381</v>
      </c>
      <c r="I631" s="11">
        <v>8095195666</v>
      </c>
      <c r="J631" s="10" t="s">
        <v>2382</v>
      </c>
      <c r="K631" s="10" t="s">
        <v>2382</v>
      </c>
      <c r="L631" s="6">
        <v>3370</v>
      </c>
      <c r="M631" s="6">
        <v>3370</v>
      </c>
      <c r="N631" s="7" t="s">
        <v>239</v>
      </c>
      <c r="O631" s="6" t="s">
        <v>239</v>
      </c>
      <c r="P631" s="6" t="s">
        <v>239</v>
      </c>
      <c r="Q631" s="6" t="s">
        <v>236</v>
      </c>
      <c r="R631" s="6"/>
      <c r="S631" s="6">
        <f t="shared" si="9"/>
        <v>3370</v>
      </c>
      <c r="T631" s="6"/>
      <c r="U631" s="6"/>
      <c r="V631" s="6"/>
      <c r="W631" s="6" t="s">
        <v>236</v>
      </c>
      <c r="X631" s="6" t="s">
        <v>236</v>
      </c>
      <c r="Y631" s="6" t="s">
        <v>236</v>
      </c>
      <c r="Z631" s="6" t="s">
        <v>236</v>
      </c>
      <c r="AA631" s="6" t="s">
        <v>236</v>
      </c>
    </row>
    <row r="632" spans="1:27">
      <c r="A632" s="6">
        <v>631</v>
      </c>
      <c r="B632" s="6" t="s">
        <v>225</v>
      </c>
      <c r="C632" s="7">
        <v>46128</v>
      </c>
      <c r="D632" s="6" t="s">
        <v>226</v>
      </c>
      <c r="E632" s="6" t="s">
        <v>1477</v>
      </c>
      <c r="F632" s="6" t="s">
        <v>746</v>
      </c>
      <c r="G632" s="6">
        <v>16</v>
      </c>
      <c r="H632" s="11" t="s">
        <v>2383</v>
      </c>
      <c r="I632" s="11">
        <v>9844885579</v>
      </c>
      <c r="J632" s="10" t="s">
        <v>2384</v>
      </c>
      <c r="K632" s="10" t="s">
        <v>2384</v>
      </c>
      <c r="L632" s="6">
        <v>850</v>
      </c>
      <c r="M632" s="6">
        <v>850</v>
      </c>
      <c r="N632" s="7" t="s">
        <v>239</v>
      </c>
      <c r="O632" s="6" t="s">
        <v>239</v>
      </c>
      <c r="P632" s="6" t="s">
        <v>239</v>
      </c>
      <c r="Q632" s="6" t="s">
        <v>236</v>
      </c>
      <c r="R632" s="6"/>
      <c r="S632" s="6">
        <f t="shared" si="9"/>
        <v>850</v>
      </c>
      <c r="T632" s="6"/>
      <c r="U632" s="6"/>
      <c r="V632" s="6"/>
      <c r="W632" s="6" t="s">
        <v>236</v>
      </c>
      <c r="X632" s="6" t="s">
        <v>236</v>
      </c>
      <c r="Y632" s="6" t="s">
        <v>236</v>
      </c>
      <c r="Z632" s="6" t="s">
        <v>236</v>
      </c>
      <c r="AA632" s="6" t="s">
        <v>236</v>
      </c>
    </row>
    <row r="633" spans="1:27">
      <c r="A633" s="6">
        <v>632</v>
      </c>
      <c r="B633" s="6" t="s">
        <v>225</v>
      </c>
      <c r="C633" s="7">
        <v>46128</v>
      </c>
      <c r="D633" s="6" t="s">
        <v>226</v>
      </c>
      <c r="E633" s="6" t="s">
        <v>1477</v>
      </c>
      <c r="F633" s="6" t="s">
        <v>746</v>
      </c>
      <c r="G633" s="6">
        <v>16</v>
      </c>
      <c r="H633" s="11" t="s">
        <v>2385</v>
      </c>
      <c r="I633" s="11">
        <v>9090873244</v>
      </c>
      <c r="J633" s="10" t="s">
        <v>2386</v>
      </c>
      <c r="K633" s="10" t="s">
        <v>2386</v>
      </c>
      <c r="L633" s="6">
        <v>1730</v>
      </c>
      <c r="M633" s="6">
        <v>1730</v>
      </c>
      <c r="N633" s="7" t="s">
        <v>239</v>
      </c>
      <c r="O633" s="6" t="s">
        <v>239</v>
      </c>
      <c r="P633" s="6" t="s">
        <v>239</v>
      </c>
      <c r="Q633" s="6" t="s">
        <v>236</v>
      </c>
      <c r="R633" s="6"/>
      <c r="S633" s="6">
        <f t="shared" si="9"/>
        <v>1730</v>
      </c>
      <c r="T633" s="6"/>
      <c r="U633" s="6"/>
      <c r="V633" s="6"/>
      <c r="W633" s="6" t="s">
        <v>236</v>
      </c>
      <c r="X633" s="6" t="s">
        <v>236</v>
      </c>
      <c r="Y633" s="6" t="s">
        <v>236</v>
      </c>
      <c r="Z633" s="6" t="s">
        <v>236</v>
      </c>
      <c r="AA633" s="6" t="s">
        <v>236</v>
      </c>
    </row>
    <row r="634" spans="1:27">
      <c r="A634" s="6">
        <v>633</v>
      </c>
      <c r="B634" s="6" t="s">
        <v>225</v>
      </c>
      <c r="C634" s="7">
        <v>46128</v>
      </c>
      <c r="D634" s="6" t="s">
        <v>226</v>
      </c>
      <c r="E634" s="6" t="s">
        <v>1477</v>
      </c>
      <c r="F634" s="6" t="s">
        <v>746</v>
      </c>
      <c r="G634" s="6">
        <v>16</v>
      </c>
      <c r="H634" s="11" t="s">
        <v>2387</v>
      </c>
      <c r="I634" s="11">
        <v>7550304176</v>
      </c>
      <c r="J634" s="10" t="s">
        <v>2388</v>
      </c>
      <c r="K634" s="10" t="s">
        <v>2388</v>
      </c>
      <c r="L634" s="11">
        <v>2200</v>
      </c>
      <c r="M634" s="11">
        <v>2200</v>
      </c>
      <c r="N634" s="7" t="s">
        <v>239</v>
      </c>
      <c r="O634" s="6" t="s">
        <v>239</v>
      </c>
      <c r="P634" s="6" t="s">
        <v>239</v>
      </c>
      <c r="Q634" s="6" t="s">
        <v>236</v>
      </c>
      <c r="R634" s="6"/>
      <c r="S634" s="6">
        <f t="shared" si="9"/>
        <v>2200</v>
      </c>
      <c r="T634" s="6"/>
      <c r="U634" s="6"/>
      <c r="V634" s="6"/>
      <c r="W634" s="6" t="s">
        <v>236</v>
      </c>
      <c r="X634" s="6" t="s">
        <v>236</v>
      </c>
      <c r="Y634" s="6" t="s">
        <v>236</v>
      </c>
      <c r="Z634" s="6" t="s">
        <v>236</v>
      </c>
      <c r="AA634" s="6" t="s">
        <v>236</v>
      </c>
    </row>
    <row r="635" spans="1:27">
      <c r="A635" s="6">
        <v>634</v>
      </c>
      <c r="B635" s="6" t="s">
        <v>225</v>
      </c>
      <c r="C635" s="7">
        <v>46128</v>
      </c>
      <c r="D635" s="6" t="s">
        <v>226</v>
      </c>
      <c r="E635" s="6" t="s">
        <v>1477</v>
      </c>
      <c r="F635" s="6" t="s">
        <v>746</v>
      </c>
      <c r="G635" s="6">
        <v>16</v>
      </c>
      <c r="H635" s="11" t="s">
        <v>2389</v>
      </c>
      <c r="I635" s="11">
        <v>9600115953</v>
      </c>
      <c r="J635" s="10" t="s">
        <v>2390</v>
      </c>
      <c r="K635" s="10" t="s">
        <v>2390</v>
      </c>
      <c r="L635" s="6">
        <v>1570</v>
      </c>
      <c r="M635" s="6">
        <v>1570</v>
      </c>
      <c r="N635" s="7" t="s">
        <v>239</v>
      </c>
      <c r="O635" s="6" t="s">
        <v>239</v>
      </c>
      <c r="P635" s="6" t="s">
        <v>239</v>
      </c>
      <c r="Q635" s="6" t="s">
        <v>236</v>
      </c>
      <c r="R635" s="6"/>
      <c r="S635" s="6">
        <f t="shared" si="9"/>
        <v>1570</v>
      </c>
      <c r="T635" s="6"/>
      <c r="U635" s="6"/>
      <c r="V635" s="6"/>
      <c r="W635" s="6" t="s">
        <v>236</v>
      </c>
      <c r="X635" s="6" t="s">
        <v>236</v>
      </c>
      <c r="Y635" s="6" t="s">
        <v>236</v>
      </c>
      <c r="Z635" s="6" t="s">
        <v>236</v>
      </c>
      <c r="AA635" s="6" t="s">
        <v>236</v>
      </c>
    </row>
    <row r="636" spans="1:27">
      <c r="A636" s="6">
        <v>635</v>
      </c>
      <c r="B636" s="6" t="s">
        <v>298</v>
      </c>
      <c r="C636" s="7">
        <v>46128</v>
      </c>
      <c r="D636" s="6" t="s">
        <v>226</v>
      </c>
      <c r="E636" s="6" t="s">
        <v>1477</v>
      </c>
      <c r="F636" s="6" t="s">
        <v>364</v>
      </c>
      <c r="G636" s="6">
        <v>16</v>
      </c>
      <c r="H636" s="6" t="s">
        <v>2391</v>
      </c>
      <c r="I636" s="6" t="s">
        <v>2392</v>
      </c>
      <c r="J636" s="6" t="s">
        <v>2393</v>
      </c>
      <c r="K636" s="6" t="s">
        <v>2393</v>
      </c>
      <c r="L636" s="6">
        <v>10160</v>
      </c>
      <c r="M636" s="6">
        <v>5200</v>
      </c>
      <c r="N636" s="7">
        <v>46143</v>
      </c>
      <c r="O636" s="6" t="s">
        <v>1733</v>
      </c>
      <c r="P636" s="6" t="s">
        <v>52</v>
      </c>
      <c r="Q636" s="6" t="s">
        <v>665</v>
      </c>
      <c r="R636" s="6">
        <v>5200</v>
      </c>
      <c r="S636" s="6">
        <f t="shared" si="9"/>
        <v>0</v>
      </c>
      <c r="T636" s="7">
        <v>46149</v>
      </c>
      <c r="U636" s="6" t="s">
        <v>2394</v>
      </c>
      <c r="V636" s="6" t="s">
        <v>54</v>
      </c>
      <c r="W636" s="6" t="s">
        <v>666</v>
      </c>
      <c r="X636" s="6" t="s">
        <v>1733</v>
      </c>
      <c r="Y636" s="6" t="s">
        <v>2395</v>
      </c>
      <c r="Z636" s="6" t="s">
        <v>373</v>
      </c>
      <c r="AA636" s="6" t="s">
        <v>373</v>
      </c>
    </row>
    <row r="637" spans="1:27">
      <c r="A637" s="6">
        <v>636</v>
      </c>
      <c r="B637" s="6" t="s">
        <v>225</v>
      </c>
      <c r="C637" s="7">
        <v>46128</v>
      </c>
      <c r="D637" s="6" t="s">
        <v>226</v>
      </c>
      <c r="E637" s="6" t="s">
        <v>1477</v>
      </c>
      <c r="F637" s="6" t="s">
        <v>364</v>
      </c>
      <c r="G637" s="6">
        <v>16</v>
      </c>
      <c r="H637" s="6" t="s">
        <v>2396</v>
      </c>
      <c r="I637" s="6" t="s">
        <v>2397</v>
      </c>
      <c r="J637" s="6" t="s">
        <v>2398</v>
      </c>
      <c r="K637" s="6" t="s">
        <v>2398</v>
      </c>
      <c r="L637" s="6">
        <v>11720</v>
      </c>
      <c r="M637" s="6">
        <v>11720</v>
      </c>
      <c r="N637" s="7">
        <v>46130</v>
      </c>
      <c r="O637" s="6" t="s">
        <v>860</v>
      </c>
      <c r="P637" s="6" t="s">
        <v>52</v>
      </c>
      <c r="Q637" s="6" t="s">
        <v>665</v>
      </c>
      <c r="R637" s="6">
        <v>11720</v>
      </c>
      <c r="S637" s="6">
        <f t="shared" si="9"/>
        <v>0</v>
      </c>
      <c r="T637" s="7">
        <v>46130</v>
      </c>
      <c r="U637" s="6" t="s">
        <v>2399</v>
      </c>
      <c r="V637" s="6" t="s">
        <v>54</v>
      </c>
      <c r="W637" s="6" t="s">
        <v>666</v>
      </c>
      <c r="X637" s="6" t="s">
        <v>860</v>
      </c>
      <c r="Y637" s="6" t="s">
        <v>2400</v>
      </c>
      <c r="Z637" s="6" t="s">
        <v>2401</v>
      </c>
      <c r="AA637" s="6" t="s">
        <v>373</v>
      </c>
    </row>
    <row r="638" spans="1:27">
      <c r="A638" s="6">
        <v>637</v>
      </c>
      <c r="B638" s="6" t="s">
        <v>225</v>
      </c>
      <c r="C638" s="7">
        <v>46128</v>
      </c>
      <c r="D638" s="6" t="s">
        <v>226</v>
      </c>
      <c r="E638" s="6" t="s">
        <v>1477</v>
      </c>
      <c r="F638" s="6" t="s">
        <v>395</v>
      </c>
      <c r="G638" s="6">
        <v>16</v>
      </c>
      <c r="H638" s="6" t="s">
        <v>2402</v>
      </c>
      <c r="I638" s="6">
        <v>9908362277</v>
      </c>
      <c r="J638" s="10" t="s">
        <v>2403</v>
      </c>
      <c r="K638" s="10" t="s">
        <v>2403</v>
      </c>
      <c r="L638" s="15">
        <v>9220</v>
      </c>
      <c r="M638" s="6">
        <v>4250</v>
      </c>
      <c r="N638" s="7">
        <v>46130</v>
      </c>
      <c r="O638" s="6" t="s">
        <v>327</v>
      </c>
      <c r="P638" s="6" t="s">
        <v>52</v>
      </c>
      <c r="Q638" s="6" t="s">
        <v>314</v>
      </c>
      <c r="R638" s="6">
        <v>4200</v>
      </c>
      <c r="S638" s="6">
        <f t="shared" si="9"/>
        <v>50</v>
      </c>
      <c r="T638" s="7">
        <v>46130</v>
      </c>
      <c r="U638" s="6" t="s">
        <v>2404</v>
      </c>
      <c r="V638" s="6" t="s">
        <v>54</v>
      </c>
      <c r="W638" s="6" t="s">
        <v>400</v>
      </c>
      <c r="X638" s="8" t="s">
        <v>2405</v>
      </c>
      <c r="Y638" s="8" t="s">
        <v>2406</v>
      </c>
      <c r="Z638" s="6" t="s">
        <v>363</v>
      </c>
      <c r="AA638" s="6" t="s">
        <v>2086</v>
      </c>
    </row>
    <row r="639" spans="1:27">
      <c r="A639" s="6">
        <v>638</v>
      </c>
      <c r="B639" s="6" t="s">
        <v>225</v>
      </c>
      <c r="C639" s="7">
        <v>46128</v>
      </c>
      <c r="D639" s="6" t="s">
        <v>226</v>
      </c>
      <c r="E639" s="6" t="s">
        <v>1477</v>
      </c>
      <c r="F639" s="6" t="s">
        <v>395</v>
      </c>
      <c r="G639" s="6">
        <v>16</v>
      </c>
      <c r="H639" s="6" t="s">
        <v>2407</v>
      </c>
      <c r="I639" s="6">
        <v>8660827050</v>
      </c>
      <c r="J639" s="10" t="s">
        <v>2408</v>
      </c>
      <c r="K639" s="10" t="s">
        <v>2408</v>
      </c>
      <c r="L639" s="15">
        <v>2790</v>
      </c>
      <c r="M639" s="6">
        <v>2800</v>
      </c>
      <c r="N639" s="7"/>
      <c r="O639" s="6" t="s">
        <v>327</v>
      </c>
      <c r="P639" s="6" t="s">
        <v>52</v>
      </c>
      <c r="Q639" s="6" t="s">
        <v>314</v>
      </c>
      <c r="R639" s="6"/>
      <c r="S639" s="6">
        <f t="shared" si="9"/>
        <v>2800</v>
      </c>
      <c r="T639" s="6"/>
      <c r="U639" s="6"/>
      <c r="V639" s="6"/>
      <c r="W639" s="6" t="s">
        <v>400</v>
      </c>
      <c r="X639" s="8" t="s">
        <v>2409</v>
      </c>
      <c r="Y639" s="8" t="s">
        <v>2410</v>
      </c>
      <c r="Z639" s="6" t="s">
        <v>2086</v>
      </c>
      <c r="AA639" s="6" t="s">
        <v>2086</v>
      </c>
    </row>
    <row r="640" spans="1:27">
      <c r="A640" s="6">
        <v>639</v>
      </c>
      <c r="B640" s="6" t="s">
        <v>225</v>
      </c>
      <c r="C640" s="7">
        <v>46128</v>
      </c>
      <c r="D640" s="6" t="s">
        <v>226</v>
      </c>
      <c r="E640" s="6" t="s">
        <v>1477</v>
      </c>
      <c r="F640" s="6" t="s">
        <v>310</v>
      </c>
      <c r="G640" s="6">
        <v>16</v>
      </c>
      <c r="H640" s="6" t="s">
        <v>2411</v>
      </c>
      <c r="I640" s="6">
        <v>7013528689</v>
      </c>
      <c r="J640" s="10" t="s">
        <v>2412</v>
      </c>
      <c r="K640" s="10" t="s">
        <v>2412</v>
      </c>
      <c r="L640" s="6">
        <v>21880</v>
      </c>
      <c r="M640" s="6">
        <v>14880</v>
      </c>
      <c r="N640" s="7">
        <v>46140</v>
      </c>
      <c r="O640" s="6" t="s">
        <v>2158</v>
      </c>
      <c r="P640" s="6" t="s">
        <v>52</v>
      </c>
      <c r="Q640" s="6" t="s">
        <v>314</v>
      </c>
      <c r="R640" s="6">
        <v>14880</v>
      </c>
      <c r="S640" s="6">
        <f t="shared" si="9"/>
        <v>0</v>
      </c>
      <c r="T640" s="7">
        <v>46142</v>
      </c>
      <c r="U640" s="6" t="s">
        <v>2413</v>
      </c>
      <c r="V640" s="6" t="s">
        <v>54</v>
      </c>
      <c r="W640" s="12" t="s">
        <v>315</v>
      </c>
      <c r="X640" s="12" t="s">
        <v>1317</v>
      </c>
      <c r="Y640" s="12" t="s">
        <v>2414</v>
      </c>
      <c r="Z640" s="12" t="s">
        <v>851</v>
      </c>
      <c r="AA640" s="6" t="s">
        <v>40</v>
      </c>
    </row>
    <row r="641" spans="1:27">
      <c r="A641" s="6">
        <v>640</v>
      </c>
      <c r="B641" s="6" t="s">
        <v>225</v>
      </c>
      <c r="C641" s="7">
        <v>46128</v>
      </c>
      <c r="D641" s="6" t="s">
        <v>226</v>
      </c>
      <c r="E641" s="6" t="s">
        <v>1477</v>
      </c>
      <c r="F641" s="6" t="s">
        <v>310</v>
      </c>
      <c r="G641" s="6">
        <v>16</v>
      </c>
      <c r="H641" s="6" t="s">
        <v>2415</v>
      </c>
      <c r="I641" s="6">
        <v>9642825622</v>
      </c>
      <c r="J641" s="10" t="s">
        <v>2416</v>
      </c>
      <c r="K641" s="10" t="s">
        <v>2416</v>
      </c>
      <c r="L641" s="6">
        <v>9702</v>
      </c>
      <c r="M641" s="6">
        <v>9702</v>
      </c>
      <c r="N641" s="7">
        <v>46154</v>
      </c>
      <c r="O641" s="6" t="s">
        <v>2158</v>
      </c>
      <c r="P641" s="6" t="s">
        <v>52</v>
      </c>
      <c r="Q641" s="6" t="s">
        <v>314</v>
      </c>
      <c r="R641" s="6">
        <v>6000</v>
      </c>
      <c r="S641" s="6">
        <f t="shared" si="9"/>
        <v>3702</v>
      </c>
      <c r="T641" s="7">
        <v>46154</v>
      </c>
      <c r="U641" s="6" t="s">
        <v>2417</v>
      </c>
      <c r="V641" s="6"/>
      <c r="W641" s="12" t="s">
        <v>643</v>
      </c>
      <c r="X641" s="12" t="s">
        <v>2418</v>
      </c>
      <c r="Y641" s="12" t="s">
        <v>2419</v>
      </c>
      <c r="Z641" s="6" t="s">
        <v>2086</v>
      </c>
      <c r="AA641" s="6" t="s">
        <v>40</v>
      </c>
    </row>
    <row r="642" spans="1:27">
      <c r="A642" s="6">
        <v>641</v>
      </c>
      <c r="B642" s="6" t="s">
        <v>225</v>
      </c>
      <c r="C642" s="7">
        <v>46130</v>
      </c>
      <c r="D642" s="6" t="s">
        <v>226</v>
      </c>
      <c r="E642" s="6" t="s">
        <v>1477</v>
      </c>
      <c r="F642" s="6" t="s">
        <v>364</v>
      </c>
      <c r="G642" s="34">
        <v>18</v>
      </c>
      <c r="H642" s="34" t="s">
        <v>2420</v>
      </c>
      <c r="I642" s="34">
        <v>8712348625</v>
      </c>
      <c r="J642" s="34" t="s">
        <v>2421</v>
      </c>
      <c r="K642" s="34" t="s">
        <v>2421</v>
      </c>
      <c r="L642" s="34">
        <v>100</v>
      </c>
      <c r="M642" s="34">
        <v>100</v>
      </c>
      <c r="N642" s="7" t="s">
        <v>239</v>
      </c>
      <c r="O642" s="6" t="s">
        <v>239</v>
      </c>
      <c r="P642" s="6" t="s">
        <v>239</v>
      </c>
      <c r="Q642" s="6" t="s">
        <v>665</v>
      </c>
      <c r="R642" s="6"/>
      <c r="S642" s="6">
        <f t="shared" si="9"/>
        <v>100</v>
      </c>
      <c r="T642" s="6"/>
      <c r="U642" s="6"/>
      <c r="V642" s="6"/>
      <c r="W642" s="6" t="s">
        <v>666</v>
      </c>
      <c r="X642" s="34" t="s">
        <v>860</v>
      </c>
      <c r="Y642" s="34" t="s">
        <v>2422</v>
      </c>
      <c r="Z642" s="34" t="s">
        <v>373</v>
      </c>
      <c r="AA642" s="6" t="s">
        <v>373</v>
      </c>
    </row>
    <row r="643" spans="1:27">
      <c r="A643" s="6">
        <v>642</v>
      </c>
      <c r="B643" s="6" t="s">
        <v>225</v>
      </c>
      <c r="C643" s="7">
        <v>46130</v>
      </c>
      <c r="D643" s="6" t="s">
        <v>226</v>
      </c>
      <c r="E643" s="6" t="s">
        <v>1477</v>
      </c>
      <c r="F643" s="6" t="s">
        <v>364</v>
      </c>
      <c r="G643" s="6">
        <v>18</v>
      </c>
      <c r="H643" s="6" t="s">
        <v>2423</v>
      </c>
      <c r="I643" s="6" t="s">
        <v>2424</v>
      </c>
      <c r="J643" s="6" t="s">
        <v>2425</v>
      </c>
      <c r="K643" s="6" t="s">
        <v>2425</v>
      </c>
      <c r="L643" s="6">
        <v>1778</v>
      </c>
      <c r="M643" s="6">
        <v>1778</v>
      </c>
      <c r="N643" s="7" t="s">
        <v>239</v>
      </c>
      <c r="O643" s="6" t="s">
        <v>239</v>
      </c>
      <c r="P643" s="6" t="s">
        <v>239</v>
      </c>
      <c r="Q643" s="6" t="s">
        <v>665</v>
      </c>
      <c r="R643" s="6"/>
      <c r="S643" s="6">
        <f t="shared" ref="S643:S706" si="10">M643-R643</f>
        <v>1778</v>
      </c>
      <c r="T643" s="6"/>
      <c r="U643" s="6"/>
      <c r="V643" s="6"/>
      <c r="W643" s="6" t="s">
        <v>666</v>
      </c>
      <c r="X643" s="6" t="s">
        <v>1740</v>
      </c>
      <c r="Y643" s="6" t="s">
        <v>2426</v>
      </c>
      <c r="Z643" s="6" t="s">
        <v>373</v>
      </c>
      <c r="AA643" s="6" t="s">
        <v>373</v>
      </c>
    </row>
    <row r="644" spans="1:27">
      <c r="A644" s="6">
        <v>643</v>
      </c>
      <c r="B644" s="6" t="s">
        <v>225</v>
      </c>
      <c r="C644" s="7">
        <v>46130</v>
      </c>
      <c r="D644" s="6" t="s">
        <v>226</v>
      </c>
      <c r="E644" s="6" t="s">
        <v>1477</v>
      </c>
      <c r="F644" s="6" t="s">
        <v>294</v>
      </c>
      <c r="G644" s="19">
        <v>18</v>
      </c>
      <c r="H644" s="19" t="s">
        <v>2427</v>
      </c>
      <c r="I644" s="19" t="s">
        <v>2428</v>
      </c>
      <c r="J644" s="19" t="s">
        <v>2429</v>
      </c>
      <c r="K644" s="19" t="s">
        <v>2429</v>
      </c>
      <c r="L644" s="20">
        <v>11650</v>
      </c>
      <c r="M644" s="6">
        <v>11652</v>
      </c>
      <c r="N644" s="7"/>
      <c r="O644" s="6" t="s">
        <v>298</v>
      </c>
      <c r="P644" s="6" t="s">
        <v>52</v>
      </c>
      <c r="Q644" s="6" t="s">
        <v>298</v>
      </c>
      <c r="R644" s="6">
        <v>11652</v>
      </c>
      <c r="S644" s="6">
        <f t="shared" si="10"/>
        <v>0</v>
      </c>
      <c r="T644" s="7">
        <v>46142</v>
      </c>
      <c r="U644" s="6" t="s">
        <v>2430</v>
      </c>
      <c r="V644" s="6" t="s">
        <v>54</v>
      </c>
      <c r="W644" s="6" t="s">
        <v>298</v>
      </c>
      <c r="X644" s="19" t="s">
        <v>1229</v>
      </c>
      <c r="Y644" s="19" t="s">
        <v>2431</v>
      </c>
      <c r="Z644" s="6" t="s">
        <v>857</v>
      </c>
      <c r="AA644" s="6" t="s">
        <v>235</v>
      </c>
    </row>
    <row r="645" spans="1:27">
      <c r="A645" s="6">
        <v>644</v>
      </c>
      <c r="B645" s="6" t="s">
        <v>225</v>
      </c>
      <c r="C645" s="7">
        <v>46130</v>
      </c>
      <c r="D645" s="6" t="s">
        <v>226</v>
      </c>
      <c r="E645" s="6" t="s">
        <v>1477</v>
      </c>
      <c r="F645" s="6" t="s">
        <v>294</v>
      </c>
      <c r="G645" s="19">
        <v>18</v>
      </c>
      <c r="H645" s="19" t="s">
        <v>2432</v>
      </c>
      <c r="I645" s="19" t="s">
        <v>2433</v>
      </c>
      <c r="J645" s="19" t="s">
        <v>2434</v>
      </c>
      <c r="K645" s="19" t="s">
        <v>2434</v>
      </c>
      <c r="L645" s="20">
        <v>9400</v>
      </c>
      <c r="M645" s="6">
        <v>9400</v>
      </c>
      <c r="N645" s="7">
        <v>46131</v>
      </c>
      <c r="O645" s="6" t="s">
        <v>2435</v>
      </c>
      <c r="P645" s="6" t="s">
        <v>52</v>
      </c>
      <c r="Q645" s="6" t="s">
        <v>298</v>
      </c>
      <c r="R645" s="6">
        <f>5000+4400</f>
        <v>9400</v>
      </c>
      <c r="S645" s="6">
        <f t="shared" si="10"/>
        <v>0</v>
      </c>
      <c r="T645" s="7">
        <v>46134</v>
      </c>
      <c r="U645" s="6" t="s">
        <v>2436</v>
      </c>
      <c r="V645" s="6" t="s">
        <v>54</v>
      </c>
      <c r="W645" s="6" t="s">
        <v>298</v>
      </c>
      <c r="X645" s="19" t="s">
        <v>2293</v>
      </c>
      <c r="Y645" s="19" t="s">
        <v>2437</v>
      </c>
      <c r="Z645" s="6" t="s">
        <v>841</v>
      </c>
      <c r="AA645" s="6" t="s">
        <v>235</v>
      </c>
    </row>
    <row r="646" spans="1:27">
      <c r="A646" s="6">
        <v>645</v>
      </c>
      <c r="B646" s="6" t="s">
        <v>346</v>
      </c>
      <c r="C646" s="7">
        <v>46130</v>
      </c>
      <c r="D646" s="6" t="s">
        <v>226</v>
      </c>
      <c r="E646" s="6" t="s">
        <v>1477</v>
      </c>
      <c r="F646" s="6" t="s">
        <v>364</v>
      </c>
      <c r="G646" s="6">
        <v>23</v>
      </c>
      <c r="H646" s="6" t="s">
        <v>2438</v>
      </c>
      <c r="I646" s="6" t="s">
        <v>2439</v>
      </c>
      <c r="J646" s="6" t="s">
        <v>2440</v>
      </c>
      <c r="K646" s="6" t="s">
        <v>2440</v>
      </c>
      <c r="L646" s="6">
        <v>9860</v>
      </c>
      <c r="M646" s="6">
        <v>9860</v>
      </c>
      <c r="N646" s="7">
        <v>46132</v>
      </c>
      <c r="O646" s="6" t="s">
        <v>665</v>
      </c>
      <c r="P646" s="6" t="s">
        <v>52</v>
      </c>
      <c r="Q646" s="6" t="s">
        <v>665</v>
      </c>
      <c r="R646" s="6">
        <v>9850</v>
      </c>
      <c r="S646" s="6">
        <f t="shared" si="10"/>
        <v>10</v>
      </c>
      <c r="T646" s="7">
        <v>46132</v>
      </c>
      <c r="U646" s="6" t="s">
        <v>2441</v>
      </c>
      <c r="V646" s="6" t="s">
        <v>54</v>
      </c>
      <c r="W646" s="6" t="s">
        <v>666</v>
      </c>
      <c r="X646" s="6" t="s">
        <v>2442</v>
      </c>
      <c r="Y646" s="35" t="s">
        <v>2443</v>
      </c>
      <c r="Z646" s="6" t="s">
        <v>373</v>
      </c>
      <c r="AA646" s="6" t="s">
        <v>373</v>
      </c>
    </row>
    <row r="647" spans="1:27">
      <c r="A647" s="6">
        <v>646</v>
      </c>
      <c r="B647" s="6" t="s">
        <v>225</v>
      </c>
      <c r="C647" s="7">
        <v>46130</v>
      </c>
      <c r="D647" s="6" t="s">
        <v>226</v>
      </c>
      <c r="E647" s="6" t="s">
        <v>1477</v>
      </c>
      <c r="F647" s="6" t="s">
        <v>240</v>
      </c>
      <c r="G647" s="6">
        <v>18</v>
      </c>
      <c r="H647" s="11" t="s">
        <v>2444</v>
      </c>
      <c r="I647" s="11">
        <v>9168812236</v>
      </c>
      <c r="J647" s="10" t="s">
        <v>2445</v>
      </c>
      <c r="K647" s="10" t="s">
        <v>2445</v>
      </c>
      <c r="L647" s="6">
        <v>2520</v>
      </c>
      <c r="M647" s="6">
        <v>2520</v>
      </c>
      <c r="N647" s="7" t="s">
        <v>239</v>
      </c>
      <c r="O647" s="6" t="s">
        <v>239</v>
      </c>
      <c r="P647" s="6" t="s">
        <v>239</v>
      </c>
      <c r="Q647" s="6" t="s">
        <v>236</v>
      </c>
      <c r="R647" s="6"/>
      <c r="S647" s="6">
        <f t="shared" si="10"/>
        <v>2520</v>
      </c>
      <c r="T647" s="6"/>
      <c r="U647" s="6"/>
      <c r="V647" s="6"/>
      <c r="W647" s="6" t="s">
        <v>236</v>
      </c>
      <c r="X647" s="6" t="s">
        <v>236</v>
      </c>
      <c r="Y647" s="6" t="s">
        <v>236</v>
      </c>
      <c r="Z647" s="6" t="s">
        <v>236</v>
      </c>
      <c r="AA647" s="6" t="s">
        <v>236</v>
      </c>
    </row>
    <row r="648" spans="1:27">
      <c r="A648" s="6">
        <v>647</v>
      </c>
      <c r="B648" s="6" t="s">
        <v>346</v>
      </c>
      <c r="C648" s="7">
        <v>46130</v>
      </c>
      <c r="D648" s="6" t="s">
        <v>226</v>
      </c>
      <c r="E648" s="6" t="s">
        <v>1477</v>
      </c>
      <c r="F648" s="6" t="s">
        <v>240</v>
      </c>
      <c r="G648" s="6">
        <v>18</v>
      </c>
      <c r="H648" s="11" t="s">
        <v>2446</v>
      </c>
      <c r="I648" s="11">
        <v>9441462895</v>
      </c>
      <c r="J648" s="10" t="s">
        <v>2447</v>
      </c>
      <c r="K648" s="10" t="s">
        <v>2447</v>
      </c>
      <c r="L648" s="6">
        <v>1250</v>
      </c>
      <c r="M648" s="6">
        <v>1250</v>
      </c>
      <c r="N648" s="7" t="s">
        <v>239</v>
      </c>
      <c r="O648" s="6" t="s">
        <v>239</v>
      </c>
      <c r="P648" s="6" t="s">
        <v>239</v>
      </c>
      <c r="Q648" s="6" t="s">
        <v>236</v>
      </c>
      <c r="R648" s="6"/>
      <c r="S648" s="6">
        <f t="shared" si="10"/>
        <v>1250</v>
      </c>
      <c r="T648" s="6"/>
      <c r="U648" s="6"/>
      <c r="V648" s="6"/>
      <c r="W648" s="6" t="s">
        <v>236</v>
      </c>
      <c r="X648" s="6" t="s">
        <v>236</v>
      </c>
      <c r="Y648" s="6" t="s">
        <v>236</v>
      </c>
      <c r="Z648" s="6" t="s">
        <v>236</v>
      </c>
      <c r="AA648" s="6" t="s">
        <v>236</v>
      </c>
    </row>
    <row r="649" spans="1:27">
      <c r="A649" s="6">
        <v>648</v>
      </c>
      <c r="B649" s="6" t="s">
        <v>225</v>
      </c>
      <c r="C649" s="7">
        <v>46130</v>
      </c>
      <c r="D649" s="6" t="s">
        <v>226</v>
      </c>
      <c r="E649" s="6" t="s">
        <v>1477</v>
      </c>
      <c r="F649" s="6" t="s">
        <v>240</v>
      </c>
      <c r="G649" s="6">
        <v>18</v>
      </c>
      <c r="H649" s="11" t="s">
        <v>2448</v>
      </c>
      <c r="I649" s="11">
        <v>9871022346</v>
      </c>
      <c r="J649" s="10" t="s">
        <v>2449</v>
      </c>
      <c r="K649" s="10" t="s">
        <v>2449</v>
      </c>
      <c r="L649" s="6">
        <v>3550</v>
      </c>
      <c r="M649" s="6">
        <v>3550</v>
      </c>
      <c r="N649" s="7" t="s">
        <v>239</v>
      </c>
      <c r="O649" s="6" t="s">
        <v>239</v>
      </c>
      <c r="P649" s="6" t="s">
        <v>239</v>
      </c>
      <c r="Q649" s="6" t="s">
        <v>236</v>
      </c>
      <c r="R649" s="6"/>
      <c r="S649" s="6">
        <f t="shared" si="10"/>
        <v>3550</v>
      </c>
      <c r="T649" s="6"/>
      <c r="U649" s="6"/>
      <c r="V649" s="6"/>
      <c r="W649" s="6" t="s">
        <v>236</v>
      </c>
      <c r="X649" s="6" t="s">
        <v>236</v>
      </c>
      <c r="Y649" s="6" t="s">
        <v>236</v>
      </c>
      <c r="Z649" s="6" t="s">
        <v>236</v>
      </c>
      <c r="AA649" s="6" t="s">
        <v>236</v>
      </c>
    </row>
    <row r="650" spans="1:27">
      <c r="A650" s="6">
        <v>649</v>
      </c>
      <c r="B650" s="6" t="s">
        <v>346</v>
      </c>
      <c r="C650" s="7">
        <v>46130</v>
      </c>
      <c r="D650" s="6" t="s">
        <v>226</v>
      </c>
      <c r="E650" s="6" t="s">
        <v>1477</v>
      </c>
      <c r="F650" s="6" t="s">
        <v>240</v>
      </c>
      <c r="G650" s="6">
        <v>18</v>
      </c>
      <c r="H650" s="11" t="s">
        <v>2450</v>
      </c>
      <c r="I650" s="11">
        <v>9747081222</v>
      </c>
      <c r="J650" s="36" t="s">
        <v>2451</v>
      </c>
      <c r="K650" s="36" t="s">
        <v>2451</v>
      </c>
      <c r="L650" s="6">
        <v>1950</v>
      </c>
      <c r="M650" s="6">
        <v>1950</v>
      </c>
      <c r="N650" s="7" t="s">
        <v>239</v>
      </c>
      <c r="O650" s="6" t="s">
        <v>239</v>
      </c>
      <c r="P650" s="6" t="s">
        <v>239</v>
      </c>
      <c r="Q650" s="6" t="s">
        <v>236</v>
      </c>
      <c r="R650" s="6"/>
      <c r="S650" s="6">
        <f t="shared" si="10"/>
        <v>1950</v>
      </c>
      <c r="T650" s="6"/>
      <c r="U650" s="6"/>
      <c r="V650" s="6"/>
      <c r="W650" s="6" t="s">
        <v>236</v>
      </c>
      <c r="X650" s="6" t="s">
        <v>236</v>
      </c>
      <c r="Y650" s="6" t="s">
        <v>236</v>
      </c>
      <c r="Z650" s="6" t="s">
        <v>236</v>
      </c>
      <c r="AA650" s="6" t="s">
        <v>236</v>
      </c>
    </row>
    <row r="651" spans="1:27">
      <c r="A651" s="6">
        <v>650</v>
      </c>
      <c r="B651" s="6" t="s">
        <v>225</v>
      </c>
      <c r="C651" s="7">
        <v>46130</v>
      </c>
      <c r="D651" s="6" t="s">
        <v>226</v>
      </c>
      <c r="E651" s="6" t="s">
        <v>1477</v>
      </c>
      <c r="F651" s="6" t="s">
        <v>240</v>
      </c>
      <c r="G651" s="6">
        <v>18</v>
      </c>
      <c r="H651" s="11" t="s">
        <v>2452</v>
      </c>
      <c r="I651" s="11">
        <v>9633489633</v>
      </c>
      <c r="J651" s="10" t="s">
        <v>2453</v>
      </c>
      <c r="K651" s="10" t="s">
        <v>2453</v>
      </c>
      <c r="L651" s="6">
        <v>2340</v>
      </c>
      <c r="M651" s="6">
        <v>2340</v>
      </c>
      <c r="N651" s="7" t="s">
        <v>239</v>
      </c>
      <c r="O651" s="6" t="s">
        <v>239</v>
      </c>
      <c r="P651" s="6" t="s">
        <v>239</v>
      </c>
      <c r="Q651" s="6" t="s">
        <v>236</v>
      </c>
      <c r="R651" s="6"/>
      <c r="S651" s="6">
        <f t="shared" si="10"/>
        <v>2340</v>
      </c>
      <c r="T651" s="6"/>
      <c r="U651" s="6"/>
      <c r="V651" s="6"/>
      <c r="W651" s="6" t="s">
        <v>236</v>
      </c>
      <c r="X651" s="6" t="s">
        <v>236</v>
      </c>
      <c r="Y651" s="6" t="s">
        <v>236</v>
      </c>
      <c r="Z651" s="6" t="s">
        <v>236</v>
      </c>
      <c r="AA651" s="6" t="s">
        <v>236</v>
      </c>
    </row>
    <row r="652" spans="1:27">
      <c r="A652" s="6">
        <v>651</v>
      </c>
      <c r="B652" s="6" t="s">
        <v>225</v>
      </c>
      <c r="C652" s="7">
        <v>46130</v>
      </c>
      <c r="D652" s="6" t="s">
        <v>226</v>
      </c>
      <c r="E652" s="6" t="s">
        <v>1477</v>
      </c>
      <c r="F652" s="6" t="s">
        <v>240</v>
      </c>
      <c r="G652" s="6">
        <v>18</v>
      </c>
      <c r="H652" s="11" t="s">
        <v>2454</v>
      </c>
      <c r="I652" s="11">
        <v>9008354680</v>
      </c>
      <c r="J652" s="10" t="s">
        <v>2455</v>
      </c>
      <c r="K652" s="10" t="s">
        <v>2455</v>
      </c>
      <c r="L652" s="6">
        <v>2130</v>
      </c>
      <c r="M652" s="6">
        <v>2130</v>
      </c>
      <c r="N652" s="7" t="s">
        <v>239</v>
      </c>
      <c r="O652" s="6" t="s">
        <v>239</v>
      </c>
      <c r="P652" s="6" t="s">
        <v>239</v>
      </c>
      <c r="Q652" s="6" t="s">
        <v>236</v>
      </c>
      <c r="R652" s="6"/>
      <c r="S652" s="6">
        <f t="shared" si="10"/>
        <v>2130</v>
      </c>
      <c r="T652" s="6"/>
      <c r="U652" s="6"/>
      <c r="V652" s="6"/>
      <c r="W652" s="6" t="s">
        <v>236</v>
      </c>
      <c r="X652" s="6" t="s">
        <v>236</v>
      </c>
      <c r="Y652" s="6" t="s">
        <v>236</v>
      </c>
      <c r="Z652" s="6" t="s">
        <v>236</v>
      </c>
      <c r="AA652" s="6" t="s">
        <v>236</v>
      </c>
    </row>
    <row r="653" spans="1:27">
      <c r="A653" s="6">
        <v>652</v>
      </c>
      <c r="B653" s="6" t="s">
        <v>225</v>
      </c>
      <c r="C653" s="7">
        <v>46130</v>
      </c>
      <c r="D653" s="6" t="s">
        <v>226</v>
      </c>
      <c r="E653" s="6" t="s">
        <v>1477</v>
      </c>
      <c r="F653" s="6" t="s">
        <v>240</v>
      </c>
      <c r="G653" s="6">
        <v>18</v>
      </c>
      <c r="H653" s="11" t="s">
        <v>2456</v>
      </c>
      <c r="I653" s="11">
        <v>9710394354</v>
      </c>
      <c r="J653" s="10" t="s">
        <v>683</v>
      </c>
      <c r="K653" s="10" t="s">
        <v>683</v>
      </c>
      <c r="L653" s="6">
        <v>1100</v>
      </c>
      <c r="M653" s="6">
        <v>1100</v>
      </c>
      <c r="N653" s="7" t="s">
        <v>239</v>
      </c>
      <c r="O653" s="6" t="s">
        <v>239</v>
      </c>
      <c r="P653" s="6" t="s">
        <v>239</v>
      </c>
      <c r="Q653" s="6" t="s">
        <v>236</v>
      </c>
      <c r="R653" s="6"/>
      <c r="S653" s="6">
        <f t="shared" si="10"/>
        <v>1100</v>
      </c>
      <c r="T653" s="6"/>
      <c r="U653" s="6"/>
      <c r="V653" s="6"/>
      <c r="W653" s="6" t="s">
        <v>236</v>
      </c>
      <c r="X653" s="6" t="s">
        <v>236</v>
      </c>
      <c r="Y653" s="6" t="s">
        <v>236</v>
      </c>
      <c r="Z653" s="6" t="s">
        <v>236</v>
      </c>
      <c r="AA653" s="6" t="s">
        <v>236</v>
      </c>
    </row>
    <row r="654" spans="1:27">
      <c r="A654" s="6">
        <v>653</v>
      </c>
      <c r="B654" s="6" t="s">
        <v>225</v>
      </c>
      <c r="C654" s="7">
        <v>46130</v>
      </c>
      <c r="D654" s="6" t="s">
        <v>226</v>
      </c>
      <c r="E654" s="6" t="s">
        <v>1477</v>
      </c>
      <c r="F654" s="6" t="s">
        <v>240</v>
      </c>
      <c r="G654" s="6">
        <v>18</v>
      </c>
      <c r="H654" s="11" t="s">
        <v>2457</v>
      </c>
      <c r="I654" s="11">
        <v>9845509786</v>
      </c>
      <c r="J654" s="10" t="s">
        <v>2458</v>
      </c>
      <c r="K654" s="10" t="s">
        <v>2458</v>
      </c>
      <c r="L654" s="6">
        <v>130</v>
      </c>
      <c r="M654" s="6">
        <v>130</v>
      </c>
      <c r="N654" s="7" t="s">
        <v>239</v>
      </c>
      <c r="O654" s="6" t="s">
        <v>239</v>
      </c>
      <c r="P654" s="6" t="s">
        <v>239</v>
      </c>
      <c r="Q654" s="6" t="s">
        <v>236</v>
      </c>
      <c r="R654" s="6"/>
      <c r="S654" s="6">
        <f t="shared" si="10"/>
        <v>130</v>
      </c>
      <c r="T654" s="6"/>
      <c r="U654" s="6"/>
      <c r="V654" s="6"/>
      <c r="W654" s="6" t="s">
        <v>236</v>
      </c>
      <c r="X654" s="6" t="s">
        <v>236</v>
      </c>
      <c r="Y654" s="6" t="s">
        <v>236</v>
      </c>
      <c r="Z654" s="6" t="s">
        <v>236</v>
      </c>
      <c r="AA654" s="6" t="s">
        <v>236</v>
      </c>
    </row>
    <row r="655" spans="1:27">
      <c r="A655" s="6">
        <v>654</v>
      </c>
      <c r="B655" s="6" t="s">
        <v>225</v>
      </c>
      <c r="C655" s="7">
        <v>46130</v>
      </c>
      <c r="D655" s="6" t="s">
        <v>226</v>
      </c>
      <c r="E655" s="6" t="s">
        <v>1477</v>
      </c>
      <c r="F655" s="6" t="s">
        <v>240</v>
      </c>
      <c r="G655" s="6">
        <v>18</v>
      </c>
      <c r="H655" s="11" t="s">
        <v>2459</v>
      </c>
      <c r="I655" s="11">
        <v>9895661251</v>
      </c>
      <c r="J655" s="10" t="s">
        <v>2460</v>
      </c>
      <c r="K655" s="10" t="s">
        <v>2460</v>
      </c>
      <c r="L655" s="6">
        <v>110</v>
      </c>
      <c r="M655" s="6">
        <v>110</v>
      </c>
      <c r="N655" s="7" t="s">
        <v>239</v>
      </c>
      <c r="O655" s="6" t="s">
        <v>239</v>
      </c>
      <c r="P655" s="6" t="s">
        <v>239</v>
      </c>
      <c r="Q655" s="6" t="s">
        <v>236</v>
      </c>
      <c r="R655" s="6"/>
      <c r="S655" s="6">
        <f t="shared" si="10"/>
        <v>110</v>
      </c>
      <c r="T655" s="6"/>
      <c r="U655" s="6"/>
      <c r="V655" s="6"/>
      <c r="W655" s="6" t="s">
        <v>236</v>
      </c>
      <c r="X655" s="6" t="s">
        <v>236</v>
      </c>
      <c r="Y655" s="6" t="s">
        <v>236</v>
      </c>
      <c r="Z655" s="6" t="s">
        <v>236</v>
      </c>
      <c r="AA655" s="6" t="s">
        <v>236</v>
      </c>
    </row>
    <row r="656" spans="1:27">
      <c r="A656" s="6">
        <v>655</v>
      </c>
      <c r="B656" s="6" t="s">
        <v>346</v>
      </c>
      <c r="C656" s="7">
        <v>46132</v>
      </c>
      <c r="D656" s="6" t="s">
        <v>226</v>
      </c>
      <c r="E656" s="6" t="s">
        <v>1477</v>
      </c>
      <c r="F656" s="6" t="s">
        <v>240</v>
      </c>
      <c r="G656" s="6">
        <v>20</v>
      </c>
      <c r="H656" s="11" t="s">
        <v>2461</v>
      </c>
      <c r="I656" s="11">
        <v>9885870914</v>
      </c>
      <c r="J656" s="10" t="s">
        <v>2462</v>
      </c>
      <c r="K656" s="10" t="s">
        <v>2462</v>
      </c>
      <c r="L656" s="11">
        <v>6420</v>
      </c>
      <c r="M656" s="11">
        <v>6420</v>
      </c>
      <c r="N656" s="7" t="s">
        <v>239</v>
      </c>
      <c r="O656" s="6" t="s">
        <v>239</v>
      </c>
      <c r="P656" s="6" t="s">
        <v>239</v>
      </c>
      <c r="Q656" s="6" t="s">
        <v>236</v>
      </c>
      <c r="R656" s="6"/>
      <c r="S656" s="6">
        <f t="shared" si="10"/>
        <v>6420</v>
      </c>
      <c r="T656" s="6"/>
      <c r="U656" s="6"/>
      <c r="V656" s="6"/>
      <c r="W656" s="6" t="s">
        <v>236</v>
      </c>
      <c r="X656" s="6" t="s">
        <v>236</v>
      </c>
      <c r="Y656" s="6" t="s">
        <v>236</v>
      </c>
      <c r="Z656" s="6" t="s">
        <v>236</v>
      </c>
      <c r="AA656" s="6" t="s">
        <v>236</v>
      </c>
    </row>
    <row r="657" spans="1:27">
      <c r="A657" s="6">
        <v>656</v>
      </c>
      <c r="B657" s="6" t="s">
        <v>225</v>
      </c>
      <c r="C657" s="7">
        <v>46132</v>
      </c>
      <c r="D657" s="6" t="s">
        <v>226</v>
      </c>
      <c r="E657" s="6" t="s">
        <v>1477</v>
      </c>
      <c r="F657" s="6" t="s">
        <v>240</v>
      </c>
      <c r="G657" s="6">
        <v>20</v>
      </c>
      <c r="H657" s="11" t="s">
        <v>2463</v>
      </c>
      <c r="I657" s="11">
        <v>9397119901</v>
      </c>
      <c r="J657" s="10" t="s">
        <v>2464</v>
      </c>
      <c r="K657" s="10" t="s">
        <v>2464</v>
      </c>
      <c r="L657" s="11">
        <v>3260</v>
      </c>
      <c r="M657" s="11">
        <v>3260</v>
      </c>
      <c r="N657" s="7" t="s">
        <v>239</v>
      </c>
      <c r="O657" s="6" t="s">
        <v>239</v>
      </c>
      <c r="P657" s="6" t="s">
        <v>239</v>
      </c>
      <c r="Q657" s="6" t="s">
        <v>236</v>
      </c>
      <c r="R657" s="6"/>
      <c r="S657" s="6">
        <f t="shared" si="10"/>
        <v>3260</v>
      </c>
      <c r="T657" s="6"/>
      <c r="U657" s="6"/>
      <c r="V657" s="6"/>
      <c r="W657" s="6" t="s">
        <v>236</v>
      </c>
      <c r="X657" s="6" t="s">
        <v>236</v>
      </c>
      <c r="Y657" s="6" t="s">
        <v>236</v>
      </c>
      <c r="Z657" s="6" t="s">
        <v>236</v>
      </c>
      <c r="AA657" s="6" t="s">
        <v>236</v>
      </c>
    </row>
    <row r="658" spans="1:27">
      <c r="A658" s="6">
        <v>657</v>
      </c>
      <c r="B658" s="6" t="s">
        <v>225</v>
      </c>
      <c r="C658" s="7">
        <v>46132</v>
      </c>
      <c r="D658" s="6" t="s">
        <v>226</v>
      </c>
      <c r="E658" s="6" t="s">
        <v>1477</v>
      </c>
      <c r="F658" s="6" t="s">
        <v>240</v>
      </c>
      <c r="G658" s="6">
        <v>20</v>
      </c>
      <c r="H658" s="11" t="s">
        <v>2465</v>
      </c>
      <c r="I658" s="11">
        <v>9349888855</v>
      </c>
      <c r="J658" s="10" t="s">
        <v>2466</v>
      </c>
      <c r="K658" s="10" t="s">
        <v>2466</v>
      </c>
      <c r="L658" s="11">
        <v>3210</v>
      </c>
      <c r="M658" s="11">
        <v>3210</v>
      </c>
      <c r="N658" s="7" t="s">
        <v>239</v>
      </c>
      <c r="O658" s="6" t="s">
        <v>239</v>
      </c>
      <c r="P658" s="6" t="s">
        <v>239</v>
      </c>
      <c r="Q658" s="6" t="s">
        <v>236</v>
      </c>
      <c r="R658" s="6"/>
      <c r="S658" s="6">
        <f t="shared" si="10"/>
        <v>3210</v>
      </c>
      <c r="T658" s="6"/>
      <c r="U658" s="6"/>
      <c r="V658" s="6"/>
      <c r="W658" s="6" t="s">
        <v>236</v>
      </c>
      <c r="X658" s="6" t="s">
        <v>236</v>
      </c>
      <c r="Y658" s="6" t="s">
        <v>236</v>
      </c>
      <c r="Z658" s="6" t="s">
        <v>236</v>
      </c>
      <c r="AA658" s="6" t="s">
        <v>236</v>
      </c>
    </row>
    <row r="659" spans="1:27">
      <c r="A659" s="6">
        <v>658</v>
      </c>
      <c r="B659" s="6" t="s">
        <v>225</v>
      </c>
      <c r="C659" s="7">
        <v>46132</v>
      </c>
      <c r="D659" s="6" t="s">
        <v>226</v>
      </c>
      <c r="E659" s="6" t="s">
        <v>1477</v>
      </c>
      <c r="F659" s="6" t="s">
        <v>240</v>
      </c>
      <c r="G659" s="6">
        <v>20</v>
      </c>
      <c r="H659" s="11" t="s">
        <v>2467</v>
      </c>
      <c r="I659" s="11">
        <v>9605044005</v>
      </c>
      <c r="J659" s="10" t="s">
        <v>2468</v>
      </c>
      <c r="K659" s="10" t="s">
        <v>2468</v>
      </c>
      <c r="L659" s="11">
        <v>4310</v>
      </c>
      <c r="M659" s="11">
        <v>4310</v>
      </c>
      <c r="N659" s="7" t="s">
        <v>239</v>
      </c>
      <c r="O659" s="6" t="s">
        <v>239</v>
      </c>
      <c r="P659" s="6" t="s">
        <v>239</v>
      </c>
      <c r="Q659" s="6" t="s">
        <v>236</v>
      </c>
      <c r="R659" s="6"/>
      <c r="S659" s="6">
        <f t="shared" si="10"/>
        <v>4310</v>
      </c>
      <c r="T659" s="6"/>
      <c r="U659" s="6"/>
      <c r="V659" s="6"/>
      <c r="W659" s="6" t="s">
        <v>236</v>
      </c>
      <c r="X659" s="6" t="s">
        <v>236</v>
      </c>
      <c r="Y659" s="6" t="s">
        <v>236</v>
      </c>
      <c r="Z659" s="6" t="s">
        <v>236</v>
      </c>
      <c r="AA659" s="6" t="s">
        <v>236</v>
      </c>
    </row>
    <row r="660" spans="1:27">
      <c r="A660" s="6">
        <v>659</v>
      </c>
      <c r="B660" s="6" t="s">
        <v>225</v>
      </c>
      <c r="C660" s="7">
        <v>46132</v>
      </c>
      <c r="D660" s="6" t="s">
        <v>226</v>
      </c>
      <c r="E660" s="6" t="s">
        <v>1477</v>
      </c>
      <c r="F660" s="6" t="s">
        <v>240</v>
      </c>
      <c r="G660" s="6">
        <v>20</v>
      </c>
      <c r="H660" s="11" t="s">
        <v>2469</v>
      </c>
      <c r="I660" s="11">
        <v>9751656173</v>
      </c>
      <c r="J660" s="10" t="s">
        <v>2470</v>
      </c>
      <c r="K660" s="10" t="s">
        <v>2470</v>
      </c>
      <c r="L660" s="11">
        <v>3090</v>
      </c>
      <c r="M660" s="11">
        <v>3090</v>
      </c>
      <c r="N660" s="7" t="s">
        <v>239</v>
      </c>
      <c r="O660" s="6" t="s">
        <v>239</v>
      </c>
      <c r="P660" s="6" t="s">
        <v>239</v>
      </c>
      <c r="Q660" s="6" t="s">
        <v>236</v>
      </c>
      <c r="R660" s="6"/>
      <c r="S660" s="6">
        <f t="shared" si="10"/>
        <v>3090</v>
      </c>
      <c r="T660" s="6"/>
      <c r="U660" s="6"/>
      <c r="V660" s="6"/>
      <c r="W660" s="6" t="s">
        <v>236</v>
      </c>
      <c r="X660" s="6" t="s">
        <v>236</v>
      </c>
      <c r="Y660" s="6" t="s">
        <v>236</v>
      </c>
      <c r="Z660" s="6" t="s">
        <v>236</v>
      </c>
      <c r="AA660" s="6" t="s">
        <v>236</v>
      </c>
    </row>
    <row r="661" spans="1:27">
      <c r="A661" s="6">
        <v>660</v>
      </c>
      <c r="B661" s="6" t="s">
        <v>225</v>
      </c>
      <c r="C661" s="7">
        <v>46132</v>
      </c>
      <c r="D661" s="6" t="s">
        <v>226</v>
      </c>
      <c r="E661" s="6" t="s">
        <v>1477</v>
      </c>
      <c r="F661" s="6" t="s">
        <v>240</v>
      </c>
      <c r="G661" s="6">
        <v>20</v>
      </c>
      <c r="H661" s="11" t="s">
        <v>2471</v>
      </c>
      <c r="I661" s="11">
        <v>6364858214</v>
      </c>
      <c r="J661" s="10" t="s">
        <v>2472</v>
      </c>
      <c r="K661" s="10" t="s">
        <v>2472</v>
      </c>
      <c r="L661" s="11">
        <v>1500</v>
      </c>
      <c r="M661" s="11">
        <v>1500</v>
      </c>
      <c r="N661" s="7" t="s">
        <v>239</v>
      </c>
      <c r="O661" s="6" t="s">
        <v>239</v>
      </c>
      <c r="P661" s="6" t="s">
        <v>239</v>
      </c>
      <c r="Q661" s="6" t="s">
        <v>236</v>
      </c>
      <c r="R661" s="6"/>
      <c r="S661" s="6">
        <f t="shared" si="10"/>
        <v>1500</v>
      </c>
      <c r="T661" s="6"/>
      <c r="U661" s="6"/>
      <c r="V661" s="6"/>
      <c r="W661" s="6" t="s">
        <v>236</v>
      </c>
      <c r="X661" s="6" t="s">
        <v>236</v>
      </c>
      <c r="Y661" s="6" t="s">
        <v>236</v>
      </c>
      <c r="Z661" s="6" t="s">
        <v>236</v>
      </c>
      <c r="AA661" s="6" t="s">
        <v>236</v>
      </c>
    </row>
    <row r="662" spans="1:27">
      <c r="A662" s="6">
        <v>661</v>
      </c>
      <c r="B662" s="6" t="s">
        <v>346</v>
      </c>
      <c r="C662" s="7">
        <v>46132</v>
      </c>
      <c r="D662" s="6" t="s">
        <v>226</v>
      </c>
      <c r="E662" s="6" t="s">
        <v>1477</v>
      </c>
      <c r="F662" s="6" t="s">
        <v>240</v>
      </c>
      <c r="G662" s="6">
        <v>20</v>
      </c>
      <c r="H662" s="11" t="s">
        <v>2473</v>
      </c>
      <c r="I662" s="11">
        <v>9995069646</v>
      </c>
      <c r="J662" s="10" t="s">
        <v>2474</v>
      </c>
      <c r="K662" s="10" t="s">
        <v>2474</v>
      </c>
      <c r="L662" s="11">
        <v>240</v>
      </c>
      <c r="M662" s="11">
        <v>240</v>
      </c>
      <c r="N662" s="7" t="s">
        <v>239</v>
      </c>
      <c r="O662" s="6" t="s">
        <v>239</v>
      </c>
      <c r="P662" s="6" t="s">
        <v>239</v>
      </c>
      <c r="Q662" s="6" t="s">
        <v>236</v>
      </c>
      <c r="R662" s="6"/>
      <c r="S662" s="6">
        <f t="shared" si="10"/>
        <v>240</v>
      </c>
      <c r="T662" s="6"/>
      <c r="U662" s="6"/>
      <c r="V662" s="6"/>
      <c r="W662" s="6" t="s">
        <v>236</v>
      </c>
      <c r="X662" s="6" t="s">
        <v>236</v>
      </c>
      <c r="Y662" s="6" t="s">
        <v>236</v>
      </c>
      <c r="Z662" s="6" t="s">
        <v>236</v>
      </c>
      <c r="AA662" s="6" t="s">
        <v>236</v>
      </c>
    </row>
    <row r="663" spans="1:27">
      <c r="A663" s="6">
        <v>662</v>
      </c>
      <c r="B663" s="6" t="s">
        <v>225</v>
      </c>
      <c r="C663" s="7">
        <v>46132</v>
      </c>
      <c r="D663" s="6" t="s">
        <v>226</v>
      </c>
      <c r="E663" s="6" t="s">
        <v>1477</v>
      </c>
      <c r="F663" s="6" t="s">
        <v>240</v>
      </c>
      <c r="G663" s="6">
        <v>20</v>
      </c>
      <c r="H663" s="11" t="s">
        <v>2475</v>
      </c>
      <c r="I663" s="11">
        <v>9961506611</v>
      </c>
      <c r="J663" s="10" t="s">
        <v>2476</v>
      </c>
      <c r="K663" s="10" t="s">
        <v>2476</v>
      </c>
      <c r="L663" s="11">
        <v>940</v>
      </c>
      <c r="M663" s="11">
        <v>940</v>
      </c>
      <c r="N663" s="7" t="s">
        <v>239</v>
      </c>
      <c r="O663" s="6" t="s">
        <v>239</v>
      </c>
      <c r="P663" s="6" t="s">
        <v>239</v>
      </c>
      <c r="Q663" s="6" t="s">
        <v>236</v>
      </c>
      <c r="R663" s="6"/>
      <c r="S663" s="6">
        <f t="shared" si="10"/>
        <v>940</v>
      </c>
      <c r="T663" s="6"/>
      <c r="U663" s="6"/>
      <c r="V663" s="6"/>
      <c r="W663" s="6" t="s">
        <v>236</v>
      </c>
      <c r="X663" s="6" t="s">
        <v>236</v>
      </c>
      <c r="Y663" s="6" t="s">
        <v>236</v>
      </c>
      <c r="Z663" s="6" t="s">
        <v>236</v>
      </c>
      <c r="AA663" s="6" t="s">
        <v>236</v>
      </c>
    </row>
    <row r="664" spans="1:27">
      <c r="A664" s="6">
        <v>663</v>
      </c>
      <c r="B664" s="6" t="s">
        <v>346</v>
      </c>
      <c r="C664" s="7">
        <v>46132</v>
      </c>
      <c r="D664" s="6" t="s">
        <v>226</v>
      </c>
      <c r="E664" s="6" t="s">
        <v>1477</v>
      </c>
      <c r="F664" s="6" t="s">
        <v>240</v>
      </c>
      <c r="G664" s="6">
        <v>20</v>
      </c>
      <c r="H664" s="11" t="s">
        <v>2477</v>
      </c>
      <c r="I664" s="11">
        <v>9676831006</v>
      </c>
      <c r="J664" s="10" t="s">
        <v>2478</v>
      </c>
      <c r="K664" s="10" t="s">
        <v>2478</v>
      </c>
      <c r="L664" s="11">
        <v>230</v>
      </c>
      <c r="M664" s="11">
        <v>230</v>
      </c>
      <c r="N664" s="7" t="s">
        <v>239</v>
      </c>
      <c r="O664" s="6" t="s">
        <v>239</v>
      </c>
      <c r="P664" s="6" t="s">
        <v>239</v>
      </c>
      <c r="Q664" s="6" t="s">
        <v>236</v>
      </c>
      <c r="R664" s="6"/>
      <c r="S664" s="6">
        <f t="shared" si="10"/>
        <v>230</v>
      </c>
      <c r="T664" s="6"/>
      <c r="U664" s="6"/>
      <c r="V664" s="6"/>
      <c r="W664" s="6" t="s">
        <v>236</v>
      </c>
      <c r="X664" s="6" t="s">
        <v>236</v>
      </c>
      <c r="Y664" s="6" t="s">
        <v>236</v>
      </c>
      <c r="Z664" s="6" t="s">
        <v>236</v>
      </c>
      <c r="AA664" s="6" t="s">
        <v>236</v>
      </c>
    </row>
    <row r="665" spans="1:27">
      <c r="A665" s="6">
        <v>664</v>
      </c>
      <c r="B665" s="6" t="s">
        <v>225</v>
      </c>
      <c r="C665" s="7">
        <v>46132</v>
      </c>
      <c r="D665" s="6" t="s">
        <v>226</v>
      </c>
      <c r="E665" s="6" t="s">
        <v>1477</v>
      </c>
      <c r="F665" s="6" t="s">
        <v>240</v>
      </c>
      <c r="G665" s="6">
        <v>20</v>
      </c>
      <c r="H665" s="11" t="s">
        <v>2479</v>
      </c>
      <c r="I665" s="11">
        <v>9778588358</v>
      </c>
      <c r="J665" s="10" t="s">
        <v>2480</v>
      </c>
      <c r="K665" s="10" t="s">
        <v>2480</v>
      </c>
      <c r="L665" s="11">
        <v>600</v>
      </c>
      <c r="M665" s="11">
        <v>600</v>
      </c>
      <c r="N665" s="7" t="s">
        <v>239</v>
      </c>
      <c r="O665" s="6" t="s">
        <v>239</v>
      </c>
      <c r="P665" s="6" t="s">
        <v>239</v>
      </c>
      <c r="Q665" s="6" t="s">
        <v>236</v>
      </c>
      <c r="R665" s="6"/>
      <c r="S665" s="6">
        <f t="shared" si="10"/>
        <v>600</v>
      </c>
      <c r="T665" s="6"/>
      <c r="U665" s="6"/>
      <c r="V665" s="6"/>
      <c r="W665" s="6" t="s">
        <v>236</v>
      </c>
      <c r="X665" s="6" t="s">
        <v>236</v>
      </c>
      <c r="Y665" s="6" t="s">
        <v>236</v>
      </c>
      <c r="Z665" s="6" t="s">
        <v>236</v>
      </c>
      <c r="AA665" s="6" t="s">
        <v>236</v>
      </c>
    </row>
    <row r="666" spans="1:27">
      <c r="A666" s="6">
        <v>665</v>
      </c>
      <c r="B666" s="6" t="s">
        <v>346</v>
      </c>
      <c r="C666" s="7">
        <v>46132</v>
      </c>
      <c r="D666" s="6" t="s">
        <v>226</v>
      </c>
      <c r="E666" s="6" t="s">
        <v>1477</v>
      </c>
      <c r="F666" s="6" t="s">
        <v>240</v>
      </c>
      <c r="G666" s="6">
        <v>20</v>
      </c>
      <c r="H666" s="11" t="s">
        <v>2481</v>
      </c>
      <c r="I666" s="11">
        <v>9496441102</v>
      </c>
      <c r="J666" s="10" t="s">
        <v>2482</v>
      </c>
      <c r="K666" s="10" t="s">
        <v>2482</v>
      </c>
      <c r="L666" s="6">
        <v>60</v>
      </c>
      <c r="M666" s="6">
        <v>60</v>
      </c>
      <c r="N666" s="7" t="s">
        <v>239</v>
      </c>
      <c r="O666" s="6" t="s">
        <v>239</v>
      </c>
      <c r="P666" s="6" t="s">
        <v>239</v>
      </c>
      <c r="Q666" s="6" t="s">
        <v>236</v>
      </c>
      <c r="R666" s="6"/>
      <c r="S666" s="6">
        <f t="shared" si="10"/>
        <v>60</v>
      </c>
      <c r="T666" s="6"/>
      <c r="U666" s="6"/>
      <c r="V666" s="6"/>
      <c r="W666" s="6" t="s">
        <v>236</v>
      </c>
      <c r="X666" s="6" t="s">
        <v>236</v>
      </c>
      <c r="Y666" s="6" t="s">
        <v>236</v>
      </c>
      <c r="Z666" s="6" t="s">
        <v>236</v>
      </c>
      <c r="AA666" s="6" t="s">
        <v>236</v>
      </c>
    </row>
    <row r="667" spans="1:27">
      <c r="A667" s="6">
        <v>666</v>
      </c>
      <c r="B667" s="6" t="s">
        <v>225</v>
      </c>
      <c r="C667" s="7">
        <v>46132</v>
      </c>
      <c r="D667" s="6" t="s">
        <v>226</v>
      </c>
      <c r="E667" s="6" t="s">
        <v>1477</v>
      </c>
      <c r="F667" s="6" t="s">
        <v>240</v>
      </c>
      <c r="G667" s="6">
        <v>20</v>
      </c>
      <c r="H667" s="11" t="s">
        <v>2483</v>
      </c>
      <c r="I667" s="11">
        <v>7012943957</v>
      </c>
      <c r="J667" s="10" t="s">
        <v>2484</v>
      </c>
      <c r="K667" s="10" t="s">
        <v>2484</v>
      </c>
      <c r="L667" s="11">
        <v>700</v>
      </c>
      <c r="M667" s="11">
        <v>700</v>
      </c>
      <c r="N667" s="7" t="s">
        <v>239</v>
      </c>
      <c r="O667" s="6" t="s">
        <v>239</v>
      </c>
      <c r="P667" s="6" t="s">
        <v>239</v>
      </c>
      <c r="Q667" s="6" t="s">
        <v>236</v>
      </c>
      <c r="R667" s="6"/>
      <c r="S667" s="6">
        <f t="shared" si="10"/>
        <v>700</v>
      </c>
      <c r="T667" s="6"/>
      <c r="U667" s="6"/>
      <c r="V667" s="6"/>
      <c r="W667" s="6" t="s">
        <v>236</v>
      </c>
      <c r="X667" s="6" t="s">
        <v>236</v>
      </c>
      <c r="Y667" s="6" t="s">
        <v>236</v>
      </c>
      <c r="Z667" s="6" t="s">
        <v>236</v>
      </c>
      <c r="AA667" s="6" t="s">
        <v>236</v>
      </c>
    </row>
    <row r="668" spans="1:27">
      <c r="A668" s="6">
        <v>667</v>
      </c>
      <c r="B668" s="6" t="s">
        <v>225</v>
      </c>
      <c r="C668" s="7">
        <v>46132</v>
      </c>
      <c r="D668" s="6" t="s">
        <v>226</v>
      </c>
      <c r="E668" s="6" t="s">
        <v>1477</v>
      </c>
      <c r="F668" s="6" t="s">
        <v>240</v>
      </c>
      <c r="G668" s="6">
        <v>20</v>
      </c>
      <c r="H668" s="11" t="s">
        <v>2485</v>
      </c>
      <c r="I668" s="11">
        <v>7569007882</v>
      </c>
      <c r="J668" s="10" t="s">
        <v>2486</v>
      </c>
      <c r="K668" s="10" t="s">
        <v>2486</v>
      </c>
      <c r="L668" s="6">
        <v>830</v>
      </c>
      <c r="M668" s="6">
        <v>830</v>
      </c>
      <c r="N668" s="7" t="s">
        <v>239</v>
      </c>
      <c r="O668" s="6" t="s">
        <v>239</v>
      </c>
      <c r="P668" s="6" t="s">
        <v>239</v>
      </c>
      <c r="Q668" s="6" t="s">
        <v>236</v>
      </c>
      <c r="R668" s="6"/>
      <c r="S668" s="6">
        <f t="shared" si="10"/>
        <v>830</v>
      </c>
      <c r="T668" s="6"/>
      <c r="U668" s="6"/>
      <c r="V668" s="6"/>
      <c r="W668" s="6" t="s">
        <v>236</v>
      </c>
      <c r="X668" s="6" t="s">
        <v>236</v>
      </c>
      <c r="Y668" s="6" t="s">
        <v>236</v>
      </c>
      <c r="Z668" s="6" t="s">
        <v>236</v>
      </c>
      <c r="AA668" s="6" t="s">
        <v>236</v>
      </c>
    </row>
    <row r="669" spans="1:27">
      <c r="A669" s="6">
        <v>668</v>
      </c>
      <c r="B669" s="6" t="s">
        <v>225</v>
      </c>
      <c r="C669" s="7">
        <v>46132</v>
      </c>
      <c r="D669" s="6" t="s">
        <v>226</v>
      </c>
      <c r="E669" s="6" t="s">
        <v>1477</v>
      </c>
      <c r="F669" s="6" t="s">
        <v>240</v>
      </c>
      <c r="G669" s="6">
        <v>20</v>
      </c>
      <c r="H669" s="11" t="s">
        <v>2487</v>
      </c>
      <c r="I669" s="11">
        <v>8547546707</v>
      </c>
      <c r="J669" s="10" t="s">
        <v>2488</v>
      </c>
      <c r="K669" s="10" t="s">
        <v>2488</v>
      </c>
      <c r="L669" s="6">
        <v>380</v>
      </c>
      <c r="M669" s="6">
        <v>380</v>
      </c>
      <c r="N669" s="7" t="s">
        <v>239</v>
      </c>
      <c r="O669" s="6" t="s">
        <v>239</v>
      </c>
      <c r="P669" s="6" t="s">
        <v>239</v>
      </c>
      <c r="Q669" s="6" t="s">
        <v>236</v>
      </c>
      <c r="R669" s="6"/>
      <c r="S669" s="6">
        <f t="shared" si="10"/>
        <v>380</v>
      </c>
      <c r="T669" s="6"/>
      <c r="U669" s="6"/>
      <c r="V669" s="6"/>
      <c r="W669" s="6" t="s">
        <v>236</v>
      </c>
      <c r="X669" s="6" t="s">
        <v>236</v>
      </c>
      <c r="Y669" s="6" t="s">
        <v>236</v>
      </c>
      <c r="Z669" s="6" t="s">
        <v>236</v>
      </c>
      <c r="AA669" s="6" t="s">
        <v>236</v>
      </c>
    </row>
    <row r="670" spans="1:27">
      <c r="A670" s="6">
        <v>669</v>
      </c>
      <c r="B670" s="6" t="s">
        <v>225</v>
      </c>
      <c r="C670" s="7">
        <v>46132</v>
      </c>
      <c r="D670" s="6" t="s">
        <v>226</v>
      </c>
      <c r="E670" s="6" t="s">
        <v>1477</v>
      </c>
      <c r="F670" s="6" t="s">
        <v>240</v>
      </c>
      <c r="G670" s="6">
        <v>20</v>
      </c>
      <c r="H670" s="11" t="s">
        <v>2489</v>
      </c>
      <c r="I670" s="11">
        <v>8136902606</v>
      </c>
      <c r="J670" s="10" t="s">
        <v>2490</v>
      </c>
      <c r="K670" s="10" t="s">
        <v>2490</v>
      </c>
      <c r="L670" s="6">
        <v>230</v>
      </c>
      <c r="M670" s="6">
        <v>230</v>
      </c>
      <c r="N670" s="7" t="s">
        <v>239</v>
      </c>
      <c r="O670" s="6" t="s">
        <v>239</v>
      </c>
      <c r="P670" s="6" t="s">
        <v>239</v>
      </c>
      <c r="Q670" s="6" t="s">
        <v>236</v>
      </c>
      <c r="R670" s="6"/>
      <c r="S670" s="6">
        <f t="shared" si="10"/>
        <v>230</v>
      </c>
      <c r="T670" s="6"/>
      <c r="U670" s="6"/>
      <c r="V670" s="6"/>
      <c r="W670" s="6" t="s">
        <v>236</v>
      </c>
      <c r="X670" s="6" t="s">
        <v>236</v>
      </c>
      <c r="Y670" s="6" t="s">
        <v>236</v>
      </c>
      <c r="Z670" s="6" t="s">
        <v>236</v>
      </c>
      <c r="AA670" s="6" t="s">
        <v>236</v>
      </c>
    </row>
    <row r="671" spans="1:27">
      <c r="A671" s="6">
        <v>670</v>
      </c>
      <c r="B671" s="6" t="s">
        <v>225</v>
      </c>
      <c r="C671" s="7">
        <v>46132</v>
      </c>
      <c r="D671" s="6" t="s">
        <v>226</v>
      </c>
      <c r="E671" s="6" t="s">
        <v>1477</v>
      </c>
      <c r="F671" s="6" t="s">
        <v>240</v>
      </c>
      <c r="G671" s="6">
        <v>20</v>
      </c>
      <c r="H671" s="11" t="s">
        <v>2491</v>
      </c>
      <c r="I671" s="11">
        <v>9946600133</v>
      </c>
      <c r="J671" s="10" t="s">
        <v>2492</v>
      </c>
      <c r="K671" s="10" t="s">
        <v>2492</v>
      </c>
      <c r="L671" s="11">
        <v>110</v>
      </c>
      <c r="M671" s="11">
        <v>110</v>
      </c>
      <c r="N671" s="7" t="s">
        <v>239</v>
      </c>
      <c r="O671" s="6" t="s">
        <v>239</v>
      </c>
      <c r="P671" s="6" t="s">
        <v>239</v>
      </c>
      <c r="Q671" s="6" t="s">
        <v>236</v>
      </c>
      <c r="R671" s="6"/>
      <c r="S671" s="6">
        <f t="shared" si="10"/>
        <v>110</v>
      </c>
      <c r="T671" s="6"/>
      <c r="U671" s="6"/>
      <c r="V671" s="6"/>
      <c r="W671" s="6" t="s">
        <v>236</v>
      </c>
      <c r="X671" s="6" t="s">
        <v>236</v>
      </c>
      <c r="Y671" s="6" t="s">
        <v>236</v>
      </c>
      <c r="Z671" s="6" t="s">
        <v>236</v>
      </c>
      <c r="AA671" s="6" t="s">
        <v>236</v>
      </c>
    </row>
    <row r="672" spans="1:27">
      <c r="A672" s="6">
        <v>671</v>
      </c>
      <c r="B672" s="6" t="s">
        <v>225</v>
      </c>
      <c r="C672" s="7">
        <v>46132</v>
      </c>
      <c r="D672" s="6" t="s">
        <v>226</v>
      </c>
      <c r="E672" s="6" t="s">
        <v>1477</v>
      </c>
      <c r="F672" s="6" t="s">
        <v>240</v>
      </c>
      <c r="G672" s="6">
        <v>20</v>
      </c>
      <c r="H672" s="11" t="s">
        <v>2493</v>
      </c>
      <c r="I672" s="11">
        <v>7339698828</v>
      </c>
      <c r="J672" s="10" t="s">
        <v>2494</v>
      </c>
      <c r="K672" s="10" t="s">
        <v>2494</v>
      </c>
      <c r="L672" s="11">
        <v>400</v>
      </c>
      <c r="M672" s="11">
        <v>400</v>
      </c>
      <c r="N672" s="7" t="s">
        <v>239</v>
      </c>
      <c r="O672" s="6" t="s">
        <v>239</v>
      </c>
      <c r="P672" s="6" t="s">
        <v>239</v>
      </c>
      <c r="Q672" s="6" t="s">
        <v>236</v>
      </c>
      <c r="R672" s="6"/>
      <c r="S672" s="6">
        <f t="shared" si="10"/>
        <v>400</v>
      </c>
      <c r="T672" s="6"/>
      <c r="U672" s="6"/>
      <c r="V672" s="6"/>
      <c r="W672" s="6" t="s">
        <v>236</v>
      </c>
      <c r="X672" s="6" t="s">
        <v>236</v>
      </c>
      <c r="Y672" s="6" t="s">
        <v>236</v>
      </c>
      <c r="Z672" s="6" t="s">
        <v>236</v>
      </c>
      <c r="AA672" s="6" t="s">
        <v>236</v>
      </c>
    </row>
    <row r="673" spans="1:27">
      <c r="A673" s="6">
        <v>672</v>
      </c>
      <c r="B673" s="6" t="s">
        <v>225</v>
      </c>
      <c r="C673" s="7">
        <v>46132</v>
      </c>
      <c r="D673" s="6" t="s">
        <v>226</v>
      </c>
      <c r="E673" s="6" t="s">
        <v>1477</v>
      </c>
      <c r="F673" s="6" t="s">
        <v>240</v>
      </c>
      <c r="G673" s="6">
        <v>20</v>
      </c>
      <c r="H673" s="11" t="s">
        <v>2495</v>
      </c>
      <c r="I673" s="11">
        <v>9032389149</v>
      </c>
      <c r="J673" s="10" t="s">
        <v>2496</v>
      </c>
      <c r="K673" s="10" t="s">
        <v>2496</v>
      </c>
      <c r="L673" s="11">
        <v>440</v>
      </c>
      <c r="M673" s="11">
        <v>440</v>
      </c>
      <c r="N673" s="7" t="s">
        <v>239</v>
      </c>
      <c r="O673" s="6" t="s">
        <v>239</v>
      </c>
      <c r="P673" s="6" t="s">
        <v>239</v>
      </c>
      <c r="Q673" s="6" t="s">
        <v>236</v>
      </c>
      <c r="R673" s="6"/>
      <c r="S673" s="6">
        <f t="shared" si="10"/>
        <v>440</v>
      </c>
      <c r="T673" s="6"/>
      <c r="U673" s="6"/>
      <c r="V673" s="6"/>
      <c r="W673" s="6" t="s">
        <v>236</v>
      </c>
      <c r="X673" s="6" t="s">
        <v>236</v>
      </c>
      <c r="Y673" s="6" t="s">
        <v>236</v>
      </c>
      <c r="Z673" s="6" t="s">
        <v>236</v>
      </c>
      <c r="AA673" s="6" t="s">
        <v>236</v>
      </c>
    </row>
    <row r="674" spans="1:27">
      <c r="A674" s="6">
        <v>673</v>
      </c>
      <c r="B674" s="6" t="s">
        <v>225</v>
      </c>
      <c r="C674" s="7">
        <v>46132</v>
      </c>
      <c r="D674" s="6" t="s">
        <v>226</v>
      </c>
      <c r="E674" s="6" t="s">
        <v>1477</v>
      </c>
      <c r="F674" s="6" t="s">
        <v>240</v>
      </c>
      <c r="G674" s="6">
        <v>20</v>
      </c>
      <c r="H674" s="11" t="s">
        <v>2497</v>
      </c>
      <c r="I674" s="11">
        <v>9494448648</v>
      </c>
      <c r="J674" s="10" t="s">
        <v>2498</v>
      </c>
      <c r="K674" s="10" t="s">
        <v>2498</v>
      </c>
      <c r="L674" s="11">
        <v>510</v>
      </c>
      <c r="M674" s="11">
        <v>510</v>
      </c>
      <c r="N674" s="7" t="s">
        <v>239</v>
      </c>
      <c r="O674" s="6" t="s">
        <v>239</v>
      </c>
      <c r="P674" s="6" t="s">
        <v>239</v>
      </c>
      <c r="Q674" s="6" t="s">
        <v>236</v>
      </c>
      <c r="R674" s="6"/>
      <c r="S674" s="6">
        <f t="shared" si="10"/>
        <v>510</v>
      </c>
      <c r="T674" s="6"/>
      <c r="U674" s="6"/>
      <c r="V674" s="6"/>
      <c r="W674" s="6" t="s">
        <v>236</v>
      </c>
      <c r="X674" s="6" t="s">
        <v>236</v>
      </c>
      <c r="Y674" s="6" t="s">
        <v>236</v>
      </c>
      <c r="Z674" s="6" t="s">
        <v>236</v>
      </c>
      <c r="AA674" s="6" t="s">
        <v>236</v>
      </c>
    </row>
    <row r="675" spans="1:27">
      <c r="A675" s="6">
        <v>674</v>
      </c>
      <c r="B675" s="6" t="s">
        <v>225</v>
      </c>
      <c r="C675" s="7">
        <v>46132</v>
      </c>
      <c r="D675" s="6" t="s">
        <v>933</v>
      </c>
      <c r="E675" s="6" t="s">
        <v>1477</v>
      </c>
      <c r="F675" s="6" t="s">
        <v>30</v>
      </c>
      <c r="G675" s="6">
        <v>20</v>
      </c>
      <c r="H675" s="31" t="s">
        <v>2499</v>
      </c>
      <c r="I675" s="6">
        <v>9553083021</v>
      </c>
      <c r="J675" s="17" t="s">
        <v>2500</v>
      </c>
      <c r="K675" s="6" t="s">
        <v>2501</v>
      </c>
      <c r="L675" s="14">
        <v>1036</v>
      </c>
      <c r="M675" s="6">
        <v>1037</v>
      </c>
      <c r="N675" s="7" t="s">
        <v>239</v>
      </c>
      <c r="O675" s="6" t="s">
        <v>239</v>
      </c>
      <c r="P675" s="6" t="s">
        <v>239</v>
      </c>
      <c r="Q675" s="6" t="s">
        <v>939</v>
      </c>
      <c r="R675" s="6"/>
      <c r="S675" s="6">
        <f t="shared" si="10"/>
        <v>1037</v>
      </c>
      <c r="T675" s="6"/>
      <c r="U675" s="6"/>
      <c r="V675" s="6"/>
      <c r="W675" s="6" t="s">
        <v>939</v>
      </c>
      <c r="X675" s="6" t="s">
        <v>2502</v>
      </c>
      <c r="Y675" s="6" t="s">
        <v>2503</v>
      </c>
      <c r="Z675" s="6" t="s">
        <v>710</v>
      </c>
      <c r="AA675" s="6" t="s">
        <v>235</v>
      </c>
    </row>
    <row r="676" spans="1:27">
      <c r="A676" s="6">
        <v>675</v>
      </c>
      <c r="B676" s="6" t="s">
        <v>225</v>
      </c>
      <c r="C676" s="7">
        <v>46132</v>
      </c>
      <c r="D676" s="6" t="s">
        <v>933</v>
      </c>
      <c r="E676" s="6" t="s">
        <v>1477</v>
      </c>
      <c r="F676" s="6" t="s">
        <v>30</v>
      </c>
      <c r="G676" s="6">
        <v>20</v>
      </c>
      <c r="H676" s="31" t="s">
        <v>2504</v>
      </c>
      <c r="I676" s="6">
        <v>9346061444</v>
      </c>
      <c r="J676" s="17" t="s">
        <v>2505</v>
      </c>
      <c r="K676" s="6" t="s">
        <v>2506</v>
      </c>
      <c r="L676" s="14">
        <v>693</v>
      </c>
      <c r="M676" s="6">
        <v>594</v>
      </c>
      <c r="N676" s="7" t="s">
        <v>239</v>
      </c>
      <c r="O676" s="6" t="s">
        <v>239</v>
      </c>
      <c r="P676" s="6" t="s">
        <v>239</v>
      </c>
      <c r="Q676" s="6" t="s">
        <v>939</v>
      </c>
      <c r="R676" s="6"/>
      <c r="S676" s="6">
        <f t="shared" si="10"/>
        <v>594</v>
      </c>
      <c r="T676" s="6"/>
      <c r="U676" s="6"/>
      <c r="V676" s="6"/>
      <c r="W676" s="6" t="s">
        <v>939</v>
      </c>
      <c r="X676" s="6" t="s">
        <v>2502</v>
      </c>
      <c r="Y676" s="6" t="s">
        <v>2507</v>
      </c>
      <c r="Z676" s="6" t="s">
        <v>2508</v>
      </c>
      <c r="AA676" s="6" t="s">
        <v>235</v>
      </c>
    </row>
    <row r="677" spans="1:27">
      <c r="A677" s="6">
        <v>676</v>
      </c>
      <c r="B677" s="6" t="s">
        <v>225</v>
      </c>
      <c r="C677" s="7">
        <v>46132</v>
      </c>
      <c r="D677" s="6" t="s">
        <v>933</v>
      </c>
      <c r="E677" s="6" t="s">
        <v>1477</v>
      </c>
      <c r="F677" s="6" t="s">
        <v>30</v>
      </c>
      <c r="G677" s="6">
        <v>20</v>
      </c>
      <c r="H677" s="31" t="s">
        <v>2509</v>
      </c>
      <c r="I677" s="6">
        <v>9816527502</v>
      </c>
      <c r="J677" s="17" t="s">
        <v>2510</v>
      </c>
      <c r="K677" s="31" t="s">
        <v>2511</v>
      </c>
      <c r="L677" s="14">
        <v>1124</v>
      </c>
      <c r="M677" s="6">
        <v>1125</v>
      </c>
      <c r="N677" s="7" t="s">
        <v>239</v>
      </c>
      <c r="O677" s="6" t="s">
        <v>239</v>
      </c>
      <c r="P677" s="6" t="s">
        <v>239</v>
      </c>
      <c r="Q677" s="6" t="s">
        <v>939</v>
      </c>
      <c r="R677" s="6"/>
      <c r="S677" s="6">
        <f t="shared" si="10"/>
        <v>1125</v>
      </c>
      <c r="T677" s="6"/>
      <c r="U677" s="6"/>
      <c r="V677" s="6"/>
      <c r="W677" s="6" t="s">
        <v>939</v>
      </c>
      <c r="X677" s="6" t="s">
        <v>1287</v>
      </c>
      <c r="Y677" s="6" t="s">
        <v>2512</v>
      </c>
      <c r="Z677" s="6" t="s">
        <v>211</v>
      </c>
      <c r="AA677" s="6" t="s">
        <v>235</v>
      </c>
    </row>
    <row r="678" spans="1:27">
      <c r="A678" s="6">
        <v>677</v>
      </c>
      <c r="B678" s="6" t="s">
        <v>225</v>
      </c>
      <c r="C678" s="7">
        <v>46132</v>
      </c>
      <c r="D678" s="6" t="s">
        <v>226</v>
      </c>
      <c r="E678" s="6" t="s">
        <v>1477</v>
      </c>
      <c r="F678" s="12" t="s">
        <v>310</v>
      </c>
      <c r="G678" s="6">
        <v>20</v>
      </c>
      <c r="H678" s="6" t="s">
        <v>2513</v>
      </c>
      <c r="I678" s="6">
        <v>8886502669</v>
      </c>
      <c r="J678" s="10" t="s">
        <v>2514</v>
      </c>
      <c r="K678" s="10" t="s">
        <v>2514</v>
      </c>
      <c r="L678" s="6">
        <v>4410</v>
      </c>
      <c r="M678" s="6">
        <v>4410</v>
      </c>
      <c r="N678" s="7"/>
      <c r="O678" s="6" t="s">
        <v>643</v>
      </c>
      <c r="P678" s="6" t="s">
        <v>52</v>
      </c>
      <c r="Q678" s="6" t="s">
        <v>314</v>
      </c>
      <c r="R678" s="6"/>
      <c r="S678" s="6">
        <f t="shared" si="10"/>
        <v>4410</v>
      </c>
      <c r="T678" s="6"/>
      <c r="U678" s="6"/>
      <c r="V678" s="6"/>
      <c r="W678" s="12" t="s">
        <v>643</v>
      </c>
      <c r="X678" s="12" t="s">
        <v>660</v>
      </c>
      <c r="Y678" s="12" t="s">
        <v>2515</v>
      </c>
      <c r="Z678" s="6" t="s">
        <v>224</v>
      </c>
      <c r="AA678" s="6" t="s">
        <v>40</v>
      </c>
    </row>
    <row r="679" spans="1:27">
      <c r="A679" s="6">
        <v>678</v>
      </c>
      <c r="B679" s="6" t="s">
        <v>225</v>
      </c>
      <c r="C679" s="7">
        <v>46133</v>
      </c>
      <c r="D679" s="6" t="s">
        <v>226</v>
      </c>
      <c r="E679" s="6" t="s">
        <v>1477</v>
      </c>
      <c r="F679" s="6" t="s">
        <v>746</v>
      </c>
      <c r="G679" s="6">
        <v>21</v>
      </c>
      <c r="H679" s="6" t="s">
        <v>2516</v>
      </c>
      <c r="I679" s="6">
        <v>9948871656</v>
      </c>
      <c r="J679" s="10" t="s">
        <v>2517</v>
      </c>
      <c r="K679" s="10" t="s">
        <v>2517</v>
      </c>
      <c r="L679" s="6">
        <v>4434</v>
      </c>
      <c r="M679" s="6">
        <v>4434</v>
      </c>
      <c r="N679" s="7" t="s">
        <v>239</v>
      </c>
      <c r="O679" s="6" t="s">
        <v>239</v>
      </c>
      <c r="P679" s="6" t="s">
        <v>239</v>
      </c>
      <c r="Q679" s="6" t="s">
        <v>236</v>
      </c>
      <c r="R679" s="6"/>
      <c r="S679" s="6">
        <f t="shared" si="10"/>
        <v>4434</v>
      </c>
      <c r="T679" s="6"/>
      <c r="U679" s="6"/>
      <c r="V679" s="6"/>
      <c r="W679" s="6" t="s">
        <v>236</v>
      </c>
      <c r="X679" s="6" t="s">
        <v>236</v>
      </c>
      <c r="Y679" s="6" t="s">
        <v>236</v>
      </c>
      <c r="Z679" s="6" t="s">
        <v>236</v>
      </c>
      <c r="AA679" s="6" t="s">
        <v>236</v>
      </c>
    </row>
    <row r="680" spans="1:27">
      <c r="A680" s="6">
        <v>679</v>
      </c>
      <c r="B680" s="6" t="s">
        <v>225</v>
      </c>
      <c r="C680" s="7">
        <v>46133</v>
      </c>
      <c r="D680" s="6" t="s">
        <v>226</v>
      </c>
      <c r="E680" s="6" t="s">
        <v>1477</v>
      </c>
      <c r="F680" s="6" t="s">
        <v>746</v>
      </c>
      <c r="G680" s="6">
        <v>21</v>
      </c>
      <c r="H680" s="6" t="s">
        <v>2518</v>
      </c>
      <c r="I680" s="6">
        <v>9908130848</v>
      </c>
      <c r="J680" s="10" t="s">
        <v>2519</v>
      </c>
      <c r="K680" s="10" t="s">
        <v>2519</v>
      </c>
      <c r="L680" s="6">
        <v>8359</v>
      </c>
      <c r="M680" s="6">
        <v>8359</v>
      </c>
      <c r="N680" s="7" t="s">
        <v>239</v>
      </c>
      <c r="O680" s="6" t="s">
        <v>239</v>
      </c>
      <c r="P680" s="6" t="s">
        <v>239</v>
      </c>
      <c r="Q680" s="6" t="s">
        <v>236</v>
      </c>
      <c r="R680" s="6"/>
      <c r="S680" s="6">
        <f t="shared" si="10"/>
        <v>8359</v>
      </c>
      <c r="T680" s="6"/>
      <c r="U680" s="6"/>
      <c r="V680" s="6"/>
      <c r="W680" s="6" t="s">
        <v>236</v>
      </c>
      <c r="X680" s="6" t="s">
        <v>236</v>
      </c>
      <c r="Y680" s="6" t="s">
        <v>236</v>
      </c>
      <c r="Z680" s="6" t="s">
        <v>236</v>
      </c>
      <c r="AA680" s="6" t="s">
        <v>236</v>
      </c>
    </row>
    <row r="681" spans="1:27">
      <c r="A681" s="6">
        <v>680</v>
      </c>
      <c r="B681" s="6" t="s">
        <v>225</v>
      </c>
      <c r="C681" s="7">
        <v>46133</v>
      </c>
      <c r="D681" s="6" t="s">
        <v>226</v>
      </c>
      <c r="E681" s="6" t="s">
        <v>1477</v>
      </c>
      <c r="F681" s="6" t="s">
        <v>746</v>
      </c>
      <c r="G681" s="6">
        <v>21</v>
      </c>
      <c r="H681" s="6" t="s">
        <v>2520</v>
      </c>
      <c r="I681" s="6">
        <v>9494128429</v>
      </c>
      <c r="J681" s="10" t="s">
        <v>2521</v>
      </c>
      <c r="K681" s="10" t="s">
        <v>2521</v>
      </c>
      <c r="L681" s="6">
        <v>3250</v>
      </c>
      <c r="M681" s="6">
        <v>3250</v>
      </c>
      <c r="N681" s="7" t="s">
        <v>239</v>
      </c>
      <c r="O681" s="6" t="s">
        <v>239</v>
      </c>
      <c r="P681" s="6" t="s">
        <v>239</v>
      </c>
      <c r="Q681" s="6" t="s">
        <v>236</v>
      </c>
      <c r="R681" s="6"/>
      <c r="S681" s="6">
        <f t="shared" si="10"/>
        <v>3250</v>
      </c>
      <c r="T681" s="6"/>
      <c r="U681" s="6"/>
      <c r="V681" s="6"/>
      <c r="W681" s="6" t="s">
        <v>236</v>
      </c>
      <c r="X681" s="6" t="s">
        <v>236</v>
      </c>
      <c r="Y681" s="6" t="s">
        <v>236</v>
      </c>
      <c r="Z681" s="6" t="s">
        <v>236</v>
      </c>
      <c r="AA681" s="6" t="s">
        <v>236</v>
      </c>
    </row>
    <row r="682" spans="1:27">
      <c r="A682" s="6">
        <v>681</v>
      </c>
      <c r="B682" s="6" t="s">
        <v>225</v>
      </c>
      <c r="C682" s="7">
        <v>46133</v>
      </c>
      <c r="D682" s="6" t="s">
        <v>226</v>
      </c>
      <c r="E682" s="6" t="s">
        <v>1477</v>
      </c>
      <c r="F682" s="6" t="s">
        <v>746</v>
      </c>
      <c r="G682" s="6">
        <v>21</v>
      </c>
      <c r="H682" s="6" t="s">
        <v>2522</v>
      </c>
      <c r="I682" s="6">
        <v>9035336978</v>
      </c>
      <c r="J682" s="10" t="s">
        <v>2523</v>
      </c>
      <c r="K682" s="10" t="s">
        <v>2523</v>
      </c>
      <c r="L682" s="6">
        <v>1559</v>
      </c>
      <c r="M682" s="6">
        <v>1559</v>
      </c>
      <c r="N682" s="7" t="s">
        <v>239</v>
      </c>
      <c r="O682" s="6" t="s">
        <v>239</v>
      </c>
      <c r="P682" s="6" t="s">
        <v>239</v>
      </c>
      <c r="Q682" s="6" t="s">
        <v>236</v>
      </c>
      <c r="R682" s="6"/>
      <c r="S682" s="6">
        <f t="shared" si="10"/>
        <v>1559</v>
      </c>
      <c r="T682" s="6"/>
      <c r="U682" s="6"/>
      <c r="V682" s="6"/>
      <c r="W682" s="6" t="s">
        <v>236</v>
      </c>
      <c r="X682" s="6" t="s">
        <v>236</v>
      </c>
      <c r="Y682" s="6" t="s">
        <v>236</v>
      </c>
      <c r="Z682" s="6" t="s">
        <v>236</v>
      </c>
      <c r="AA682" s="6" t="s">
        <v>236</v>
      </c>
    </row>
    <row r="683" spans="1:27">
      <c r="A683" s="6">
        <v>682</v>
      </c>
      <c r="B683" s="6" t="s">
        <v>225</v>
      </c>
      <c r="C683" s="7">
        <v>46133</v>
      </c>
      <c r="D683" s="6" t="s">
        <v>226</v>
      </c>
      <c r="E683" s="6" t="s">
        <v>1477</v>
      </c>
      <c r="F683" s="6" t="s">
        <v>746</v>
      </c>
      <c r="G683" s="6">
        <v>21</v>
      </c>
      <c r="H683" s="6" t="s">
        <v>2524</v>
      </c>
      <c r="I683" s="6">
        <v>7676001000</v>
      </c>
      <c r="J683" s="10" t="s">
        <v>2525</v>
      </c>
      <c r="K683" s="10" t="s">
        <v>2525</v>
      </c>
      <c r="L683" s="6">
        <v>369</v>
      </c>
      <c r="M683" s="6">
        <v>369</v>
      </c>
      <c r="N683" s="7" t="s">
        <v>239</v>
      </c>
      <c r="O683" s="6" t="s">
        <v>239</v>
      </c>
      <c r="P683" s="6" t="s">
        <v>239</v>
      </c>
      <c r="Q683" s="6" t="s">
        <v>236</v>
      </c>
      <c r="R683" s="6"/>
      <c r="S683" s="6">
        <f t="shared" si="10"/>
        <v>369</v>
      </c>
      <c r="T683" s="6"/>
      <c r="U683" s="6"/>
      <c r="V683" s="6"/>
      <c r="W683" s="6" t="s">
        <v>236</v>
      </c>
      <c r="X683" s="6" t="s">
        <v>236</v>
      </c>
      <c r="Y683" s="6" t="s">
        <v>236</v>
      </c>
      <c r="Z683" s="6" t="s">
        <v>236</v>
      </c>
      <c r="AA683" s="6" t="s">
        <v>236</v>
      </c>
    </row>
    <row r="684" spans="1:27">
      <c r="A684" s="6">
        <v>683</v>
      </c>
      <c r="B684" s="6" t="s">
        <v>225</v>
      </c>
      <c r="C684" s="7">
        <v>46133</v>
      </c>
      <c r="D684" s="6" t="s">
        <v>226</v>
      </c>
      <c r="E684" s="6" t="s">
        <v>1477</v>
      </c>
      <c r="F684" s="6" t="s">
        <v>746</v>
      </c>
      <c r="G684" s="6">
        <v>21</v>
      </c>
      <c r="H684" s="6" t="s">
        <v>2526</v>
      </c>
      <c r="I684" s="6">
        <v>9980618008</v>
      </c>
      <c r="J684" s="10" t="s">
        <v>2527</v>
      </c>
      <c r="K684" s="10" t="s">
        <v>2527</v>
      </c>
      <c r="L684" s="6">
        <v>1590</v>
      </c>
      <c r="M684" s="6">
        <v>1590</v>
      </c>
      <c r="N684" s="7" t="s">
        <v>239</v>
      </c>
      <c r="O684" s="6" t="s">
        <v>239</v>
      </c>
      <c r="P684" s="6" t="s">
        <v>239</v>
      </c>
      <c r="Q684" s="6" t="s">
        <v>236</v>
      </c>
      <c r="R684" s="6"/>
      <c r="S684" s="6">
        <f t="shared" si="10"/>
        <v>1590</v>
      </c>
      <c r="T684" s="6"/>
      <c r="U684" s="6"/>
      <c r="V684" s="6"/>
      <c r="W684" s="6" t="s">
        <v>236</v>
      </c>
      <c r="X684" s="6" t="s">
        <v>236</v>
      </c>
      <c r="Y684" s="6" t="s">
        <v>236</v>
      </c>
      <c r="Z684" s="6" t="s">
        <v>236</v>
      </c>
      <c r="AA684" s="6" t="s">
        <v>236</v>
      </c>
    </row>
    <row r="685" spans="1:27">
      <c r="A685" s="6">
        <v>684</v>
      </c>
      <c r="B685" s="6" t="s">
        <v>225</v>
      </c>
      <c r="C685" s="7">
        <v>46133</v>
      </c>
      <c r="D685" s="6" t="s">
        <v>226</v>
      </c>
      <c r="E685" s="6" t="s">
        <v>1477</v>
      </c>
      <c r="F685" s="6" t="s">
        <v>746</v>
      </c>
      <c r="G685" s="6">
        <v>21</v>
      </c>
      <c r="H685" s="6" t="s">
        <v>2528</v>
      </c>
      <c r="I685" s="6">
        <v>9566700090</v>
      </c>
      <c r="J685" s="10" t="s">
        <v>2529</v>
      </c>
      <c r="K685" s="10" t="s">
        <v>2529</v>
      </c>
      <c r="L685" s="6">
        <v>1100</v>
      </c>
      <c r="M685" s="6">
        <v>1100</v>
      </c>
      <c r="N685" s="7" t="s">
        <v>239</v>
      </c>
      <c r="O685" s="6" t="s">
        <v>239</v>
      </c>
      <c r="P685" s="6" t="s">
        <v>239</v>
      </c>
      <c r="Q685" s="6" t="s">
        <v>236</v>
      </c>
      <c r="R685" s="6"/>
      <c r="S685" s="6">
        <f t="shared" si="10"/>
        <v>1100</v>
      </c>
      <c r="T685" s="6"/>
      <c r="U685" s="6"/>
      <c r="V685" s="6"/>
      <c r="W685" s="6" t="s">
        <v>236</v>
      </c>
      <c r="X685" s="6" t="s">
        <v>236</v>
      </c>
      <c r="Y685" s="6" t="s">
        <v>236</v>
      </c>
      <c r="Z685" s="6" t="s">
        <v>236</v>
      </c>
      <c r="AA685" s="6" t="s">
        <v>236</v>
      </c>
    </row>
    <row r="686" spans="1:27">
      <c r="A686" s="6">
        <v>685</v>
      </c>
      <c r="B686" s="6" t="s">
        <v>225</v>
      </c>
      <c r="C686" s="7">
        <v>46133</v>
      </c>
      <c r="D686" s="6" t="s">
        <v>226</v>
      </c>
      <c r="E686" s="6" t="s">
        <v>1477</v>
      </c>
      <c r="F686" s="6" t="s">
        <v>746</v>
      </c>
      <c r="G686" s="6">
        <v>21</v>
      </c>
      <c r="H686" s="6" t="s">
        <v>2530</v>
      </c>
      <c r="I686" s="6">
        <v>9176457861</v>
      </c>
      <c r="J686" s="10" t="s">
        <v>2531</v>
      </c>
      <c r="K686" s="10" t="s">
        <v>2531</v>
      </c>
      <c r="L686" s="6">
        <v>100</v>
      </c>
      <c r="M686" s="6">
        <v>100</v>
      </c>
      <c r="N686" s="7" t="s">
        <v>239</v>
      </c>
      <c r="O686" s="6" t="s">
        <v>239</v>
      </c>
      <c r="P686" s="6" t="s">
        <v>239</v>
      </c>
      <c r="Q686" s="6" t="s">
        <v>236</v>
      </c>
      <c r="R686" s="6"/>
      <c r="S686" s="6">
        <f t="shared" si="10"/>
        <v>100</v>
      </c>
      <c r="T686" s="6"/>
      <c r="U686" s="6"/>
      <c r="V686" s="6"/>
      <c r="W686" s="6" t="s">
        <v>236</v>
      </c>
      <c r="X686" s="6" t="s">
        <v>236</v>
      </c>
      <c r="Y686" s="6" t="s">
        <v>236</v>
      </c>
      <c r="Z686" s="6" t="s">
        <v>236</v>
      </c>
      <c r="AA686" s="6" t="s">
        <v>236</v>
      </c>
    </row>
    <row r="687" spans="1:27">
      <c r="A687" s="6">
        <v>686</v>
      </c>
      <c r="B687" s="6" t="s">
        <v>225</v>
      </c>
      <c r="C687" s="7">
        <v>46133</v>
      </c>
      <c r="D687" s="6" t="s">
        <v>226</v>
      </c>
      <c r="E687" s="6" t="s">
        <v>1477</v>
      </c>
      <c r="F687" s="6" t="s">
        <v>294</v>
      </c>
      <c r="G687" s="6">
        <v>21</v>
      </c>
      <c r="H687" s="19" t="s">
        <v>1246</v>
      </c>
      <c r="I687" s="19" t="s">
        <v>1247</v>
      </c>
      <c r="J687" s="19" t="s">
        <v>1248</v>
      </c>
      <c r="K687" s="19" t="s">
        <v>1248</v>
      </c>
      <c r="L687" s="20">
        <v>25281</v>
      </c>
      <c r="M687" s="20">
        <v>25281</v>
      </c>
      <c r="N687" s="7">
        <v>46157</v>
      </c>
      <c r="O687" s="12" t="s">
        <v>298</v>
      </c>
      <c r="P687" s="6" t="s">
        <v>52</v>
      </c>
      <c r="Q687" s="6" t="s">
        <v>298</v>
      </c>
      <c r="R687" s="6">
        <f>10000+10000</f>
        <v>20000</v>
      </c>
      <c r="S687" s="6">
        <f t="shared" si="10"/>
        <v>5281</v>
      </c>
      <c r="T687" s="7">
        <v>46157</v>
      </c>
      <c r="U687" s="6" t="s">
        <v>2532</v>
      </c>
      <c r="V687" s="6"/>
      <c r="W687" s="19" t="s">
        <v>1089</v>
      </c>
      <c r="X687" s="19" t="s">
        <v>782</v>
      </c>
      <c r="Y687" s="19" t="s">
        <v>1250</v>
      </c>
      <c r="Z687" s="19" t="s">
        <v>821</v>
      </c>
      <c r="AA687" s="6" t="s">
        <v>235</v>
      </c>
    </row>
    <row r="688" spans="1:27">
      <c r="A688" s="6">
        <v>687</v>
      </c>
      <c r="B688" s="6" t="s">
        <v>2533</v>
      </c>
      <c r="C688" s="7">
        <v>46133</v>
      </c>
      <c r="D688" s="6" t="s">
        <v>933</v>
      </c>
      <c r="E688" s="6" t="s">
        <v>1477</v>
      </c>
      <c r="F688" s="6" t="s">
        <v>2534</v>
      </c>
      <c r="G688" s="6" t="s">
        <v>2534</v>
      </c>
      <c r="H688" s="6" t="s">
        <v>2535</v>
      </c>
      <c r="I688" s="6" t="s">
        <v>2536</v>
      </c>
      <c r="J688" s="6" t="s">
        <v>2537</v>
      </c>
      <c r="K688" s="6" t="s">
        <v>2537</v>
      </c>
      <c r="L688" s="6">
        <v>2000</v>
      </c>
      <c r="M688" s="6">
        <v>2000</v>
      </c>
      <c r="N688" s="7" t="s">
        <v>239</v>
      </c>
      <c r="O688" s="6" t="s">
        <v>239</v>
      </c>
      <c r="P688" s="6" t="s">
        <v>239</v>
      </c>
      <c r="Q688" s="6" t="s">
        <v>939</v>
      </c>
      <c r="R688" s="6"/>
      <c r="S688" s="6">
        <f t="shared" si="10"/>
        <v>2000</v>
      </c>
      <c r="T688" s="6"/>
      <c r="U688" s="6" t="s">
        <v>2538</v>
      </c>
      <c r="V688" s="6" t="s">
        <v>54</v>
      </c>
      <c r="W688" s="6" t="s">
        <v>1208</v>
      </c>
      <c r="X688" s="6" t="s">
        <v>2539</v>
      </c>
      <c r="Y688" s="6" t="s">
        <v>2540</v>
      </c>
      <c r="Z688" s="6" t="s">
        <v>2541</v>
      </c>
      <c r="AA688" s="6" t="s">
        <v>235</v>
      </c>
    </row>
    <row r="689" spans="1:27">
      <c r="A689" s="6">
        <v>688</v>
      </c>
      <c r="B689" s="6" t="s">
        <v>225</v>
      </c>
      <c r="C689" s="7">
        <v>46133</v>
      </c>
      <c r="D689" s="6" t="s">
        <v>226</v>
      </c>
      <c r="E689" s="6" t="s">
        <v>1477</v>
      </c>
      <c r="F689" s="6" t="s">
        <v>267</v>
      </c>
      <c r="G689" s="6">
        <v>21</v>
      </c>
      <c r="H689" s="11" t="s">
        <v>2542</v>
      </c>
      <c r="I689" s="11">
        <v>9703961180</v>
      </c>
      <c r="J689" s="10" t="s">
        <v>2543</v>
      </c>
      <c r="K689" s="10" t="s">
        <v>2543</v>
      </c>
      <c r="L689" s="6">
        <v>6490</v>
      </c>
      <c r="M689" s="6">
        <v>6490</v>
      </c>
      <c r="N689" s="7" t="s">
        <v>239</v>
      </c>
      <c r="O689" s="6" t="s">
        <v>239</v>
      </c>
      <c r="P689" s="6" t="s">
        <v>239</v>
      </c>
      <c r="Q689" s="6" t="s">
        <v>236</v>
      </c>
      <c r="R689" s="6"/>
      <c r="S689" s="6">
        <f t="shared" si="10"/>
        <v>6490</v>
      </c>
      <c r="T689" s="6"/>
      <c r="U689" s="6"/>
      <c r="V689" s="6"/>
      <c r="W689" s="6" t="s">
        <v>236</v>
      </c>
      <c r="X689" s="6" t="s">
        <v>236</v>
      </c>
      <c r="Y689" s="6" t="s">
        <v>236</v>
      </c>
      <c r="Z689" s="6" t="s">
        <v>236</v>
      </c>
      <c r="AA689" s="6" t="s">
        <v>236</v>
      </c>
    </row>
    <row r="690" spans="1:27">
      <c r="A690" s="6">
        <v>689</v>
      </c>
      <c r="B690" s="6" t="s">
        <v>225</v>
      </c>
      <c r="C690" s="7">
        <v>46133</v>
      </c>
      <c r="D690" s="6" t="s">
        <v>226</v>
      </c>
      <c r="E690" s="6" t="s">
        <v>1477</v>
      </c>
      <c r="F690" s="6" t="s">
        <v>267</v>
      </c>
      <c r="G690" s="6">
        <v>21</v>
      </c>
      <c r="H690" s="11" t="s">
        <v>2544</v>
      </c>
      <c r="I690" s="11">
        <v>6304706767</v>
      </c>
      <c r="J690" s="10" t="s">
        <v>2545</v>
      </c>
      <c r="K690" s="10" t="s">
        <v>2545</v>
      </c>
      <c r="L690" s="6">
        <v>3380</v>
      </c>
      <c r="M690" s="6">
        <v>3380</v>
      </c>
      <c r="N690" s="7" t="s">
        <v>239</v>
      </c>
      <c r="O690" s="6" t="s">
        <v>239</v>
      </c>
      <c r="P690" s="6" t="s">
        <v>239</v>
      </c>
      <c r="Q690" s="6" t="s">
        <v>236</v>
      </c>
      <c r="R690" s="6"/>
      <c r="S690" s="6">
        <f t="shared" si="10"/>
        <v>3380</v>
      </c>
      <c r="T690" s="6"/>
      <c r="U690" s="6"/>
      <c r="V690" s="6"/>
      <c r="W690" s="6" t="s">
        <v>236</v>
      </c>
      <c r="X690" s="6" t="s">
        <v>236</v>
      </c>
      <c r="Y690" s="6" t="s">
        <v>236</v>
      </c>
      <c r="Z690" s="6" t="s">
        <v>236</v>
      </c>
      <c r="AA690" s="6" t="s">
        <v>236</v>
      </c>
    </row>
    <row r="691" spans="1:27">
      <c r="A691" s="6">
        <v>690</v>
      </c>
      <c r="B691" s="6" t="s">
        <v>225</v>
      </c>
      <c r="C691" s="7">
        <v>46133</v>
      </c>
      <c r="D691" s="6" t="s">
        <v>226</v>
      </c>
      <c r="E691" s="6" t="s">
        <v>1477</v>
      </c>
      <c r="F691" s="6" t="s">
        <v>267</v>
      </c>
      <c r="G691" s="6">
        <v>21</v>
      </c>
      <c r="H691" s="11" t="s">
        <v>2546</v>
      </c>
      <c r="I691" s="11">
        <v>9491949963</v>
      </c>
      <c r="J691" s="10" t="s">
        <v>2547</v>
      </c>
      <c r="K691" s="10" t="s">
        <v>2547</v>
      </c>
      <c r="L691" s="6">
        <v>1890</v>
      </c>
      <c r="M691" s="6">
        <v>1890</v>
      </c>
      <c r="N691" s="7" t="s">
        <v>239</v>
      </c>
      <c r="O691" s="6" t="s">
        <v>239</v>
      </c>
      <c r="P691" s="6" t="s">
        <v>239</v>
      </c>
      <c r="Q691" s="6" t="s">
        <v>236</v>
      </c>
      <c r="R691" s="6"/>
      <c r="S691" s="6">
        <f t="shared" si="10"/>
        <v>1890</v>
      </c>
      <c r="T691" s="6"/>
      <c r="U691" s="6"/>
      <c r="V691" s="6"/>
      <c r="W691" s="6" t="s">
        <v>236</v>
      </c>
      <c r="X691" s="6" t="s">
        <v>236</v>
      </c>
      <c r="Y691" s="6" t="s">
        <v>236</v>
      </c>
      <c r="Z691" s="6" t="s">
        <v>236</v>
      </c>
      <c r="AA691" s="6" t="s">
        <v>236</v>
      </c>
    </row>
    <row r="692" spans="1:27">
      <c r="A692" s="6">
        <v>691</v>
      </c>
      <c r="B692" s="6" t="s">
        <v>225</v>
      </c>
      <c r="C692" s="7">
        <v>46133</v>
      </c>
      <c r="D692" s="6" t="s">
        <v>226</v>
      </c>
      <c r="E692" s="6" t="s">
        <v>1477</v>
      </c>
      <c r="F692" s="6" t="s">
        <v>267</v>
      </c>
      <c r="G692" s="6">
        <v>21</v>
      </c>
      <c r="H692" s="11" t="s">
        <v>2548</v>
      </c>
      <c r="I692" s="11">
        <v>7702071004</v>
      </c>
      <c r="J692" s="10" t="s">
        <v>2549</v>
      </c>
      <c r="K692" s="10" t="s">
        <v>2549</v>
      </c>
      <c r="L692" s="6">
        <v>2880</v>
      </c>
      <c r="M692" s="6">
        <v>2880</v>
      </c>
      <c r="N692" s="7" t="s">
        <v>239</v>
      </c>
      <c r="O692" s="6" t="s">
        <v>239</v>
      </c>
      <c r="P692" s="6" t="s">
        <v>239</v>
      </c>
      <c r="Q692" s="6" t="s">
        <v>236</v>
      </c>
      <c r="R692" s="6"/>
      <c r="S692" s="6">
        <f t="shared" si="10"/>
        <v>2880</v>
      </c>
      <c r="T692" s="6"/>
      <c r="U692" s="6"/>
      <c r="V692" s="6"/>
      <c r="W692" s="6" t="s">
        <v>236</v>
      </c>
      <c r="X692" s="6" t="s">
        <v>236</v>
      </c>
      <c r="Y692" s="6" t="s">
        <v>236</v>
      </c>
      <c r="Z692" s="6" t="s">
        <v>236</v>
      </c>
      <c r="AA692" s="6" t="s">
        <v>236</v>
      </c>
    </row>
    <row r="693" spans="1:27">
      <c r="A693" s="6">
        <v>692</v>
      </c>
      <c r="B693" s="6" t="s">
        <v>225</v>
      </c>
      <c r="C693" s="7">
        <v>46133</v>
      </c>
      <c r="D693" s="6" t="s">
        <v>226</v>
      </c>
      <c r="E693" s="6" t="s">
        <v>1477</v>
      </c>
      <c r="F693" s="6" t="s">
        <v>267</v>
      </c>
      <c r="G693" s="6">
        <v>21</v>
      </c>
      <c r="H693" s="6" t="s">
        <v>2550</v>
      </c>
      <c r="I693" s="11">
        <v>8592068052</v>
      </c>
      <c r="J693" s="10" t="s">
        <v>2551</v>
      </c>
      <c r="K693" s="10" t="s">
        <v>2551</v>
      </c>
      <c r="L693" s="6">
        <v>2570</v>
      </c>
      <c r="M693" s="6">
        <v>2570</v>
      </c>
      <c r="N693" s="7" t="s">
        <v>239</v>
      </c>
      <c r="O693" s="6" t="s">
        <v>239</v>
      </c>
      <c r="P693" s="6" t="s">
        <v>239</v>
      </c>
      <c r="Q693" s="6" t="s">
        <v>236</v>
      </c>
      <c r="R693" s="6"/>
      <c r="S693" s="6">
        <f t="shared" si="10"/>
        <v>2570</v>
      </c>
      <c r="T693" s="6"/>
      <c r="U693" s="6"/>
      <c r="V693" s="6"/>
      <c r="W693" s="6" t="s">
        <v>236</v>
      </c>
      <c r="X693" s="6" t="s">
        <v>236</v>
      </c>
      <c r="Y693" s="6" t="s">
        <v>236</v>
      </c>
      <c r="Z693" s="6" t="s">
        <v>236</v>
      </c>
      <c r="AA693" s="6" t="s">
        <v>236</v>
      </c>
    </row>
    <row r="694" spans="1:27">
      <c r="A694" s="6">
        <v>693</v>
      </c>
      <c r="B694" s="6" t="s">
        <v>225</v>
      </c>
      <c r="C694" s="7">
        <v>46133</v>
      </c>
      <c r="D694" s="6" t="s">
        <v>226</v>
      </c>
      <c r="E694" s="6" t="s">
        <v>1477</v>
      </c>
      <c r="F694" s="6" t="s">
        <v>267</v>
      </c>
      <c r="G694" s="6">
        <v>21</v>
      </c>
      <c r="H694" s="11" t="s">
        <v>2552</v>
      </c>
      <c r="I694" s="11">
        <v>9959059714</v>
      </c>
      <c r="J694" s="10" t="s">
        <v>2553</v>
      </c>
      <c r="K694" s="10" t="s">
        <v>2553</v>
      </c>
      <c r="L694" s="6">
        <v>1370</v>
      </c>
      <c r="M694" s="6">
        <v>1370</v>
      </c>
      <c r="N694" s="7" t="s">
        <v>239</v>
      </c>
      <c r="O694" s="6" t="s">
        <v>239</v>
      </c>
      <c r="P694" s="6" t="s">
        <v>239</v>
      </c>
      <c r="Q694" s="6" t="s">
        <v>236</v>
      </c>
      <c r="R694" s="6"/>
      <c r="S694" s="6">
        <f t="shared" si="10"/>
        <v>1370</v>
      </c>
      <c r="T694" s="6"/>
      <c r="U694" s="6"/>
      <c r="V694" s="6"/>
      <c r="W694" s="6" t="s">
        <v>236</v>
      </c>
      <c r="X694" s="6" t="s">
        <v>236</v>
      </c>
      <c r="Y694" s="6" t="s">
        <v>236</v>
      </c>
      <c r="Z694" s="6" t="s">
        <v>236</v>
      </c>
      <c r="AA694" s="6" t="s">
        <v>236</v>
      </c>
    </row>
    <row r="695" spans="1:27">
      <c r="A695" s="6">
        <v>694</v>
      </c>
      <c r="B695" s="6" t="s">
        <v>225</v>
      </c>
      <c r="C695" s="7">
        <v>46133</v>
      </c>
      <c r="D695" s="6" t="s">
        <v>226</v>
      </c>
      <c r="E695" s="6" t="s">
        <v>1477</v>
      </c>
      <c r="F695" s="6" t="s">
        <v>267</v>
      </c>
      <c r="G695" s="6">
        <v>21</v>
      </c>
      <c r="H695" s="11" t="s">
        <v>2554</v>
      </c>
      <c r="I695" s="11">
        <v>9776806380</v>
      </c>
      <c r="J695" s="10" t="s">
        <v>2555</v>
      </c>
      <c r="K695" s="10" t="s">
        <v>2555</v>
      </c>
      <c r="L695" s="6">
        <v>1110</v>
      </c>
      <c r="M695" s="6">
        <v>1110</v>
      </c>
      <c r="N695" s="7" t="s">
        <v>239</v>
      </c>
      <c r="O695" s="6" t="s">
        <v>239</v>
      </c>
      <c r="P695" s="6" t="s">
        <v>239</v>
      </c>
      <c r="Q695" s="6" t="s">
        <v>236</v>
      </c>
      <c r="R695" s="6"/>
      <c r="S695" s="6">
        <f t="shared" si="10"/>
        <v>1110</v>
      </c>
      <c r="T695" s="6"/>
      <c r="U695" s="6"/>
      <c r="V695" s="6"/>
      <c r="W695" s="6" t="s">
        <v>236</v>
      </c>
      <c r="X695" s="6" t="s">
        <v>236</v>
      </c>
      <c r="Y695" s="6" t="s">
        <v>236</v>
      </c>
      <c r="Z695" s="6" t="s">
        <v>236</v>
      </c>
      <c r="AA695" s="6" t="s">
        <v>236</v>
      </c>
    </row>
    <row r="696" spans="1:27">
      <c r="A696" s="6">
        <v>695</v>
      </c>
      <c r="B696" s="6" t="s">
        <v>225</v>
      </c>
      <c r="C696" s="7">
        <v>46133</v>
      </c>
      <c r="D696" s="6" t="s">
        <v>226</v>
      </c>
      <c r="E696" s="6" t="s">
        <v>1477</v>
      </c>
      <c r="F696" s="6" t="s">
        <v>267</v>
      </c>
      <c r="G696" s="6">
        <v>21</v>
      </c>
      <c r="H696" s="11" t="s">
        <v>2556</v>
      </c>
      <c r="I696" s="11">
        <v>9491315261</v>
      </c>
      <c r="J696" s="10" t="s">
        <v>2557</v>
      </c>
      <c r="K696" s="10" t="s">
        <v>2557</v>
      </c>
      <c r="L696" s="6">
        <v>1080</v>
      </c>
      <c r="M696" s="6">
        <v>1080</v>
      </c>
      <c r="N696" s="7" t="s">
        <v>239</v>
      </c>
      <c r="O696" s="6" t="s">
        <v>239</v>
      </c>
      <c r="P696" s="6" t="s">
        <v>239</v>
      </c>
      <c r="Q696" s="6" t="s">
        <v>236</v>
      </c>
      <c r="R696" s="6"/>
      <c r="S696" s="6">
        <f t="shared" si="10"/>
        <v>1080</v>
      </c>
      <c r="T696" s="6"/>
      <c r="U696" s="6"/>
      <c r="V696" s="6"/>
      <c r="W696" s="6" t="s">
        <v>236</v>
      </c>
      <c r="X696" s="6" t="s">
        <v>236</v>
      </c>
      <c r="Y696" s="6" t="s">
        <v>236</v>
      </c>
      <c r="Z696" s="6" t="s">
        <v>236</v>
      </c>
      <c r="AA696" s="6" t="s">
        <v>236</v>
      </c>
    </row>
    <row r="697" spans="1:27">
      <c r="A697" s="6">
        <v>696</v>
      </c>
      <c r="B697" s="6" t="s">
        <v>225</v>
      </c>
      <c r="C697" s="7">
        <v>46133</v>
      </c>
      <c r="D697" s="6" t="s">
        <v>226</v>
      </c>
      <c r="E697" s="6" t="s">
        <v>1477</v>
      </c>
      <c r="F697" s="6" t="s">
        <v>267</v>
      </c>
      <c r="G697" s="6">
        <v>21</v>
      </c>
      <c r="H697" s="11" t="s">
        <v>2558</v>
      </c>
      <c r="I697" s="11">
        <v>9177379709</v>
      </c>
      <c r="J697" s="10" t="s">
        <v>2559</v>
      </c>
      <c r="K697" s="10" t="s">
        <v>2559</v>
      </c>
      <c r="L697" s="6">
        <v>1260</v>
      </c>
      <c r="M697" s="6">
        <v>1260</v>
      </c>
      <c r="N697" s="7" t="s">
        <v>239</v>
      </c>
      <c r="O697" s="6" t="s">
        <v>239</v>
      </c>
      <c r="P697" s="6" t="s">
        <v>239</v>
      </c>
      <c r="Q697" s="6" t="s">
        <v>236</v>
      </c>
      <c r="R697" s="6"/>
      <c r="S697" s="6">
        <f t="shared" si="10"/>
        <v>1260</v>
      </c>
      <c r="T697" s="6"/>
      <c r="U697" s="6"/>
      <c r="V697" s="6"/>
      <c r="W697" s="6" t="s">
        <v>236</v>
      </c>
      <c r="X697" s="6" t="s">
        <v>236</v>
      </c>
      <c r="Y697" s="6" t="s">
        <v>236</v>
      </c>
      <c r="Z697" s="6" t="s">
        <v>236</v>
      </c>
      <c r="AA697" s="6" t="s">
        <v>236</v>
      </c>
    </row>
    <row r="698" spans="1:27">
      <c r="A698" s="6">
        <v>697</v>
      </c>
      <c r="B698" s="6" t="s">
        <v>225</v>
      </c>
      <c r="C698" s="7">
        <v>46133</v>
      </c>
      <c r="D698" s="6" t="s">
        <v>226</v>
      </c>
      <c r="E698" s="6" t="s">
        <v>1477</v>
      </c>
      <c r="F698" s="6" t="s">
        <v>267</v>
      </c>
      <c r="G698" s="6">
        <v>21</v>
      </c>
      <c r="H698" s="11" t="s">
        <v>2560</v>
      </c>
      <c r="I698" s="11">
        <v>9148945488</v>
      </c>
      <c r="J698" s="10" t="s">
        <v>2561</v>
      </c>
      <c r="K698" s="10" t="s">
        <v>2561</v>
      </c>
      <c r="L698" s="6">
        <v>820</v>
      </c>
      <c r="M698" s="6">
        <v>820</v>
      </c>
      <c r="N698" s="7" t="s">
        <v>239</v>
      </c>
      <c r="O698" s="6" t="s">
        <v>239</v>
      </c>
      <c r="P698" s="6" t="s">
        <v>239</v>
      </c>
      <c r="Q698" s="6" t="s">
        <v>236</v>
      </c>
      <c r="R698" s="6"/>
      <c r="S698" s="6">
        <f t="shared" si="10"/>
        <v>820</v>
      </c>
      <c r="T698" s="6"/>
      <c r="U698" s="6"/>
      <c r="V698" s="6"/>
      <c r="W698" s="6" t="s">
        <v>236</v>
      </c>
      <c r="X698" s="6" t="s">
        <v>236</v>
      </c>
      <c r="Y698" s="6" t="s">
        <v>236</v>
      </c>
      <c r="Z698" s="6" t="s">
        <v>236</v>
      </c>
      <c r="AA698" s="6" t="s">
        <v>236</v>
      </c>
    </row>
    <row r="699" spans="1:27">
      <c r="A699" s="6">
        <v>698</v>
      </c>
      <c r="B699" s="6" t="s">
        <v>225</v>
      </c>
      <c r="C699" s="7">
        <v>46133</v>
      </c>
      <c r="D699" s="6" t="s">
        <v>226</v>
      </c>
      <c r="E699" s="6" t="s">
        <v>1477</v>
      </c>
      <c r="F699" s="6" t="s">
        <v>267</v>
      </c>
      <c r="G699" s="6">
        <v>21</v>
      </c>
      <c r="H699" s="11" t="s">
        <v>2562</v>
      </c>
      <c r="I699" s="11">
        <v>9704477348</v>
      </c>
      <c r="J699" s="10" t="s">
        <v>2563</v>
      </c>
      <c r="K699" s="10" t="s">
        <v>2563</v>
      </c>
      <c r="L699" s="6">
        <v>260</v>
      </c>
      <c r="M699" s="6">
        <v>260</v>
      </c>
      <c r="N699" s="7" t="s">
        <v>239</v>
      </c>
      <c r="O699" s="6" t="s">
        <v>239</v>
      </c>
      <c r="P699" s="6" t="s">
        <v>239</v>
      </c>
      <c r="Q699" s="6" t="s">
        <v>236</v>
      </c>
      <c r="R699" s="6"/>
      <c r="S699" s="6">
        <f t="shared" si="10"/>
        <v>260</v>
      </c>
      <c r="T699" s="6"/>
      <c r="U699" s="6"/>
      <c r="V699" s="6"/>
      <c r="W699" s="6" t="s">
        <v>236</v>
      </c>
      <c r="X699" s="6" t="s">
        <v>236</v>
      </c>
      <c r="Y699" s="6" t="s">
        <v>236</v>
      </c>
      <c r="Z699" s="6" t="s">
        <v>236</v>
      </c>
      <c r="AA699" s="6" t="s">
        <v>236</v>
      </c>
    </row>
    <row r="700" spans="1:27">
      <c r="A700" s="6">
        <v>699</v>
      </c>
      <c r="B700" s="6" t="s">
        <v>225</v>
      </c>
      <c r="C700" s="7">
        <v>46133</v>
      </c>
      <c r="D700" s="6" t="s">
        <v>226</v>
      </c>
      <c r="E700" s="6" t="s">
        <v>1477</v>
      </c>
      <c r="F700" s="6" t="s">
        <v>364</v>
      </c>
      <c r="G700" s="6">
        <v>21</v>
      </c>
      <c r="H700" s="6" t="s">
        <v>2564</v>
      </c>
      <c r="I700" s="8" t="s">
        <v>2565</v>
      </c>
      <c r="J700" s="8" t="s">
        <v>2566</v>
      </c>
      <c r="K700" s="8" t="s">
        <v>2566</v>
      </c>
      <c r="L700" s="16">
        <v>5290</v>
      </c>
      <c r="M700" s="8">
        <v>3090</v>
      </c>
      <c r="N700" s="7">
        <v>46134</v>
      </c>
      <c r="O700" s="16" t="s">
        <v>860</v>
      </c>
      <c r="P700" s="6" t="s">
        <v>52</v>
      </c>
      <c r="Q700" s="6" t="s">
        <v>2567</v>
      </c>
      <c r="R700" s="6">
        <v>3090</v>
      </c>
      <c r="S700" s="6">
        <f t="shared" si="10"/>
        <v>0</v>
      </c>
      <c r="T700" s="7">
        <v>46137</v>
      </c>
      <c r="U700" s="6" t="s">
        <v>2568</v>
      </c>
      <c r="V700" s="6" t="s">
        <v>54</v>
      </c>
      <c r="W700" s="6" t="s">
        <v>2569</v>
      </c>
      <c r="X700" s="16" t="s">
        <v>860</v>
      </c>
      <c r="Y700" s="8" t="s">
        <v>2570</v>
      </c>
      <c r="Z700" s="6" t="s">
        <v>2571</v>
      </c>
      <c r="AA700" s="6" t="s">
        <v>373</v>
      </c>
    </row>
    <row r="701" spans="1:27">
      <c r="A701" s="6">
        <v>700</v>
      </c>
      <c r="B701" s="6" t="s">
        <v>225</v>
      </c>
      <c r="C701" s="7">
        <v>46133</v>
      </c>
      <c r="D701" s="6" t="s">
        <v>226</v>
      </c>
      <c r="E701" s="6" t="s">
        <v>1477</v>
      </c>
      <c r="F701" s="6" t="s">
        <v>364</v>
      </c>
      <c r="G701" s="6">
        <v>21</v>
      </c>
      <c r="H701" s="6" t="s">
        <v>2572</v>
      </c>
      <c r="I701" s="8" t="s">
        <v>2573</v>
      </c>
      <c r="J701" s="8" t="s">
        <v>2574</v>
      </c>
      <c r="K701" s="8" t="s">
        <v>2574</v>
      </c>
      <c r="L701" s="16">
        <v>4960</v>
      </c>
      <c r="M701" s="8">
        <v>2460</v>
      </c>
      <c r="N701" s="7">
        <v>46134</v>
      </c>
      <c r="O701" s="16" t="s">
        <v>2189</v>
      </c>
      <c r="P701" s="6" t="s">
        <v>52</v>
      </c>
      <c r="Q701" s="6" t="s">
        <v>2567</v>
      </c>
      <c r="R701" s="6"/>
      <c r="S701" s="6">
        <f t="shared" si="10"/>
        <v>2460</v>
      </c>
      <c r="T701" s="6"/>
      <c r="U701" s="6"/>
      <c r="V701" s="6"/>
      <c r="W701" s="6" t="s">
        <v>2569</v>
      </c>
      <c r="X701" s="16" t="s">
        <v>2189</v>
      </c>
      <c r="Y701" s="8" t="s">
        <v>2575</v>
      </c>
      <c r="Z701" s="6" t="s">
        <v>2576</v>
      </c>
      <c r="AA701" s="6" t="s">
        <v>373</v>
      </c>
    </row>
    <row r="702" spans="1:27">
      <c r="A702" s="6">
        <v>701</v>
      </c>
      <c r="B702" s="6" t="s">
        <v>225</v>
      </c>
      <c r="C702" s="7">
        <v>46133</v>
      </c>
      <c r="D702" s="6" t="s">
        <v>226</v>
      </c>
      <c r="E702" s="6" t="s">
        <v>1477</v>
      </c>
      <c r="F702" s="6" t="s">
        <v>364</v>
      </c>
      <c r="G702" s="6">
        <v>21</v>
      </c>
      <c r="H702" s="6" t="s">
        <v>2577</v>
      </c>
      <c r="I702" s="8" t="s">
        <v>2578</v>
      </c>
      <c r="J702" s="8" t="s">
        <v>2579</v>
      </c>
      <c r="K702" s="8" t="s">
        <v>2579</v>
      </c>
      <c r="L702" s="16">
        <v>4720</v>
      </c>
      <c r="M702" s="16">
        <v>4720</v>
      </c>
      <c r="N702" s="7">
        <v>46139</v>
      </c>
      <c r="O702" s="16" t="s">
        <v>1727</v>
      </c>
      <c r="P702" s="6" t="s">
        <v>52</v>
      </c>
      <c r="Q702" s="6" t="s">
        <v>2567</v>
      </c>
      <c r="R702" s="6"/>
      <c r="S702" s="6">
        <f t="shared" si="10"/>
        <v>4720</v>
      </c>
      <c r="T702" s="6"/>
      <c r="U702" s="6"/>
      <c r="V702" s="6"/>
      <c r="W702" s="6" t="s">
        <v>2569</v>
      </c>
      <c r="X702" s="16" t="s">
        <v>1727</v>
      </c>
      <c r="Y702" s="8" t="s">
        <v>2580</v>
      </c>
      <c r="Z702" s="6" t="s">
        <v>2581</v>
      </c>
      <c r="AA702" s="6" t="s">
        <v>373</v>
      </c>
    </row>
    <row r="703" spans="1:27">
      <c r="A703" s="6">
        <v>702</v>
      </c>
      <c r="B703" s="6" t="s">
        <v>225</v>
      </c>
      <c r="C703" s="7">
        <v>46133</v>
      </c>
      <c r="D703" s="6" t="s">
        <v>226</v>
      </c>
      <c r="E703" s="6" t="s">
        <v>1477</v>
      </c>
      <c r="F703" s="6" t="s">
        <v>364</v>
      </c>
      <c r="G703" s="6">
        <v>21</v>
      </c>
      <c r="H703" s="8" t="s">
        <v>2582</v>
      </c>
      <c r="I703" s="8" t="s">
        <v>2583</v>
      </c>
      <c r="J703" s="8" t="s">
        <v>2584</v>
      </c>
      <c r="K703" s="8" t="s">
        <v>2584</v>
      </c>
      <c r="L703" s="6">
        <v>29280</v>
      </c>
      <c r="M703" s="6">
        <v>14280</v>
      </c>
      <c r="N703" s="7">
        <v>46133</v>
      </c>
      <c r="O703" s="6" t="s">
        <v>2585</v>
      </c>
      <c r="P703" s="6" t="s">
        <v>52</v>
      </c>
      <c r="Q703" s="6" t="s">
        <v>2567</v>
      </c>
      <c r="R703" s="6">
        <v>14280</v>
      </c>
      <c r="S703" s="6">
        <f t="shared" si="10"/>
        <v>0</v>
      </c>
      <c r="T703" s="7">
        <v>46133</v>
      </c>
      <c r="U703" s="6" t="s">
        <v>2586</v>
      </c>
      <c r="V703" s="6" t="s">
        <v>54</v>
      </c>
      <c r="W703" s="6" t="s">
        <v>2569</v>
      </c>
      <c r="X703" s="16" t="s">
        <v>667</v>
      </c>
      <c r="Y703" s="8" t="s">
        <v>2587</v>
      </c>
      <c r="Z703" s="6" t="s">
        <v>2588</v>
      </c>
      <c r="AA703" s="6" t="s">
        <v>373</v>
      </c>
    </row>
    <row r="704" spans="1:27">
      <c r="A704" s="6">
        <v>703</v>
      </c>
      <c r="B704" s="6" t="s">
        <v>298</v>
      </c>
      <c r="C704" s="7">
        <v>46133</v>
      </c>
      <c r="D704" s="6" t="s">
        <v>226</v>
      </c>
      <c r="E704" s="6" t="s">
        <v>1477</v>
      </c>
      <c r="F704" s="6" t="s">
        <v>294</v>
      </c>
      <c r="G704" s="6">
        <v>21</v>
      </c>
      <c r="H704" s="19" t="s">
        <v>1241</v>
      </c>
      <c r="I704" s="19" t="s">
        <v>1242</v>
      </c>
      <c r="J704" s="19" t="s">
        <v>1243</v>
      </c>
      <c r="K704" s="19" t="s">
        <v>1243</v>
      </c>
      <c r="L704" s="20">
        <v>38545</v>
      </c>
      <c r="M704" s="20">
        <v>38545</v>
      </c>
      <c r="N704" s="7">
        <v>46157</v>
      </c>
      <c r="O704" s="12" t="s">
        <v>1222</v>
      </c>
      <c r="P704" s="6" t="s">
        <v>52</v>
      </c>
      <c r="Q704" s="6" t="s">
        <v>298</v>
      </c>
      <c r="R704" s="6"/>
      <c r="S704" s="6">
        <f t="shared" si="10"/>
        <v>38545</v>
      </c>
      <c r="T704" s="7"/>
      <c r="U704" s="6"/>
      <c r="V704" s="6"/>
      <c r="W704" s="19" t="s">
        <v>298</v>
      </c>
      <c r="X704" s="19" t="s">
        <v>178</v>
      </c>
      <c r="Y704" s="19" t="s">
        <v>1245</v>
      </c>
      <c r="Z704" s="19" t="s">
        <v>178</v>
      </c>
      <c r="AA704" s="6" t="s">
        <v>235</v>
      </c>
    </row>
    <row r="705" spans="1:27">
      <c r="A705" s="6">
        <v>704</v>
      </c>
      <c r="B705" s="6" t="s">
        <v>225</v>
      </c>
      <c r="C705" s="7">
        <v>46133</v>
      </c>
      <c r="D705" s="6" t="s">
        <v>226</v>
      </c>
      <c r="E705" s="6" t="s">
        <v>1477</v>
      </c>
      <c r="F705" s="6" t="s">
        <v>364</v>
      </c>
      <c r="G705" s="6">
        <v>21</v>
      </c>
      <c r="H705" s="8" t="s">
        <v>2589</v>
      </c>
      <c r="I705" s="8" t="s">
        <v>2590</v>
      </c>
      <c r="J705" s="35" t="s">
        <v>2591</v>
      </c>
      <c r="K705" s="35" t="s">
        <v>2591</v>
      </c>
      <c r="L705" s="6">
        <v>10200</v>
      </c>
      <c r="M705" s="6">
        <v>200</v>
      </c>
      <c r="N705" s="7" t="s">
        <v>239</v>
      </c>
      <c r="O705" s="6" t="s">
        <v>239</v>
      </c>
      <c r="P705" s="6" t="s">
        <v>239</v>
      </c>
      <c r="Q705" s="6" t="s">
        <v>2567</v>
      </c>
      <c r="R705" s="6"/>
      <c r="S705" s="6">
        <f t="shared" si="10"/>
        <v>200</v>
      </c>
      <c r="T705" s="7"/>
      <c r="U705" s="6"/>
      <c r="V705" s="6"/>
      <c r="W705" s="6" t="s">
        <v>2569</v>
      </c>
      <c r="X705" s="6" t="s">
        <v>860</v>
      </c>
      <c r="Y705" s="8" t="s">
        <v>2592</v>
      </c>
      <c r="Z705" s="6" t="s">
        <v>390</v>
      </c>
      <c r="AA705" s="6" t="s">
        <v>373</v>
      </c>
    </row>
    <row r="706" spans="1:27">
      <c r="A706" s="6">
        <v>705</v>
      </c>
      <c r="B706" s="6" t="s">
        <v>225</v>
      </c>
      <c r="C706" s="7">
        <v>46134</v>
      </c>
      <c r="D706" s="6" t="s">
        <v>226</v>
      </c>
      <c r="E706" s="6" t="s">
        <v>1477</v>
      </c>
      <c r="F706" s="6" t="s">
        <v>364</v>
      </c>
      <c r="G706" s="6">
        <v>23</v>
      </c>
      <c r="H706" s="6" t="s">
        <v>2593</v>
      </c>
      <c r="I706" s="6" t="s">
        <v>2594</v>
      </c>
      <c r="J706" s="6" t="s">
        <v>2595</v>
      </c>
      <c r="K706" s="6" t="s">
        <v>2595</v>
      </c>
      <c r="L706" s="6">
        <v>45110</v>
      </c>
      <c r="M706" s="6">
        <v>40000</v>
      </c>
      <c r="N706" s="7">
        <v>46134</v>
      </c>
      <c r="O706" s="8" t="s">
        <v>860</v>
      </c>
      <c r="P706" s="6" t="s">
        <v>52</v>
      </c>
      <c r="Q706" s="6" t="s">
        <v>665</v>
      </c>
      <c r="R706" s="6">
        <v>40000</v>
      </c>
      <c r="S706" s="6">
        <f t="shared" si="10"/>
        <v>0</v>
      </c>
      <c r="T706" s="7">
        <v>46135</v>
      </c>
      <c r="U706" s="6" t="s">
        <v>2596</v>
      </c>
      <c r="V706" s="6" t="s">
        <v>54</v>
      </c>
      <c r="W706" s="6" t="s">
        <v>666</v>
      </c>
      <c r="X706" s="6" t="s">
        <v>860</v>
      </c>
      <c r="Y706" s="8" t="s">
        <v>2597</v>
      </c>
      <c r="Z706" s="6" t="s">
        <v>2598</v>
      </c>
      <c r="AA706" s="6" t="s">
        <v>373</v>
      </c>
    </row>
    <row r="707" spans="1:27">
      <c r="A707" s="6">
        <v>706</v>
      </c>
      <c r="B707" s="6" t="s">
        <v>225</v>
      </c>
      <c r="C707" s="7">
        <v>46137</v>
      </c>
      <c r="D707" s="6" t="s">
        <v>226</v>
      </c>
      <c r="E707" s="6" t="s">
        <v>1477</v>
      </c>
      <c r="F707" s="6" t="s">
        <v>294</v>
      </c>
      <c r="G707" s="6">
        <v>25</v>
      </c>
      <c r="H707" s="19" t="s">
        <v>1308</v>
      </c>
      <c r="I707" s="19" t="s">
        <v>2599</v>
      </c>
      <c r="J707" s="19" t="s">
        <v>1309</v>
      </c>
      <c r="K707" s="19" t="s">
        <v>1309</v>
      </c>
      <c r="L707" s="20">
        <v>36220</v>
      </c>
      <c r="M707" s="6">
        <v>21220</v>
      </c>
      <c r="N707" s="7"/>
      <c r="O707" s="19" t="s">
        <v>813</v>
      </c>
      <c r="P707" s="6" t="s">
        <v>52</v>
      </c>
      <c r="Q707" s="6" t="s">
        <v>298</v>
      </c>
      <c r="R707" s="6">
        <f>5000+16220</f>
        <v>21220</v>
      </c>
      <c r="S707" s="6">
        <f t="shared" ref="S707:S788" si="11">M707-R707</f>
        <v>0</v>
      </c>
      <c r="T707" s="7">
        <v>46149</v>
      </c>
      <c r="U707" s="6" t="s">
        <v>2600</v>
      </c>
      <c r="V707" s="6" t="s">
        <v>54</v>
      </c>
      <c r="W707" s="6" t="s">
        <v>813</v>
      </c>
      <c r="X707" s="19" t="s">
        <v>1334</v>
      </c>
      <c r="Y707" s="19" t="s">
        <v>2601</v>
      </c>
      <c r="Z707" s="6" t="s">
        <v>215</v>
      </c>
      <c r="AA707" s="6" t="s">
        <v>235</v>
      </c>
    </row>
    <row r="708" spans="1:27">
      <c r="A708" s="6">
        <v>707</v>
      </c>
      <c r="B708" s="6" t="s">
        <v>346</v>
      </c>
      <c r="C708" s="7">
        <v>46137</v>
      </c>
      <c r="D708" s="6" t="s">
        <v>226</v>
      </c>
      <c r="E708" s="6" t="s">
        <v>1477</v>
      </c>
      <c r="F708" s="6" t="s">
        <v>240</v>
      </c>
      <c r="G708" s="6">
        <v>25</v>
      </c>
      <c r="H708" s="11" t="s">
        <v>2602</v>
      </c>
      <c r="I708" s="11">
        <v>7829609819</v>
      </c>
      <c r="J708" s="36" t="s">
        <v>2603</v>
      </c>
      <c r="K708" s="36" t="s">
        <v>2603</v>
      </c>
      <c r="L708" s="6">
        <v>200</v>
      </c>
      <c r="M708" s="6">
        <v>200</v>
      </c>
      <c r="N708" s="7" t="s">
        <v>239</v>
      </c>
      <c r="O708" s="6" t="s">
        <v>239</v>
      </c>
      <c r="P708" s="6" t="s">
        <v>239</v>
      </c>
      <c r="Q708" s="6" t="s">
        <v>236</v>
      </c>
      <c r="R708" s="6"/>
      <c r="S708" s="6">
        <f t="shared" si="11"/>
        <v>200</v>
      </c>
      <c r="T708" s="6"/>
      <c r="U708" s="6"/>
      <c r="V708" s="6"/>
      <c r="W708" s="6" t="s">
        <v>236</v>
      </c>
      <c r="X708" s="6" t="s">
        <v>236</v>
      </c>
      <c r="Y708" s="6" t="s">
        <v>236</v>
      </c>
      <c r="Z708" s="6" t="s">
        <v>236</v>
      </c>
      <c r="AA708" s="6" t="s">
        <v>236</v>
      </c>
    </row>
    <row r="709" spans="1:27">
      <c r="A709" s="6">
        <v>708</v>
      </c>
      <c r="B709" s="6" t="s">
        <v>225</v>
      </c>
      <c r="C709" s="7">
        <v>46137</v>
      </c>
      <c r="D709" s="6" t="s">
        <v>226</v>
      </c>
      <c r="E709" s="6" t="s">
        <v>1477</v>
      </c>
      <c r="F709" s="6" t="s">
        <v>240</v>
      </c>
      <c r="G709" s="6">
        <v>25</v>
      </c>
      <c r="H709" s="11" t="s">
        <v>2604</v>
      </c>
      <c r="I709" s="11">
        <v>9941464134</v>
      </c>
      <c r="J709" s="10" t="s">
        <v>2605</v>
      </c>
      <c r="K709" s="10" t="s">
        <v>2605</v>
      </c>
      <c r="L709" s="6">
        <v>100</v>
      </c>
      <c r="M709" s="6">
        <v>100</v>
      </c>
      <c r="N709" s="7" t="s">
        <v>239</v>
      </c>
      <c r="O709" s="6" t="s">
        <v>239</v>
      </c>
      <c r="P709" s="6" t="s">
        <v>239</v>
      </c>
      <c r="Q709" s="6" t="s">
        <v>236</v>
      </c>
      <c r="R709" s="6"/>
      <c r="S709" s="6">
        <f t="shared" si="11"/>
        <v>100</v>
      </c>
      <c r="T709" s="6"/>
      <c r="U709" s="6"/>
      <c r="V709" s="6"/>
      <c r="W709" s="6" t="s">
        <v>236</v>
      </c>
      <c r="X709" s="6" t="s">
        <v>236</v>
      </c>
      <c r="Y709" s="6" t="s">
        <v>236</v>
      </c>
      <c r="Z709" s="6" t="s">
        <v>236</v>
      </c>
      <c r="AA709" s="6" t="s">
        <v>236</v>
      </c>
    </row>
    <row r="710" spans="1:27">
      <c r="A710" s="6">
        <v>709</v>
      </c>
      <c r="B710" s="6" t="s">
        <v>225</v>
      </c>
      <c r="C710" s="7">
        <v>46137</v>
      </c>
      <c r="D710" s="6" t="s">
        <v>226</v>
      </c>
      <c r="E710" s="6" t="s">
        <v>1477</v>
      </c>
      <c r="F710" s="6" t="s">
        <v>240</v>
      </c>
      <c r="G710" s="6">
        <v>25</v>
      </c>
      <c r="H710" s="11" t="s">
        <v>2606</v>
      </c>
      <c r="I710" s="11">
        <v>9700492605</v>
      </c>
      <c r="J710" s="10" t="s">
        <v>2607</v>
      </c>
      <c r="K710" s="10" t="s">
        <v>2607</v>
      </c>
      <c r="L710" s="6">
        <v>500</v>
      </c>
      <c r="M710" s="6">
        <v>500</v>
      </c>
      <c r="N710" s="7" t="s">
        <v>239</v>
      </c>
      <c r="O710" s="6" t="s">
        <v>239</v>
      </c>
      <c r="P710" s="6" t="s">
        <v>239</v>
      </c>
      <c r="Q710" s="6" t="s">
        <v>236</v>
      </c>
      <c r="R710" s="6"/>
      <c r="S710" s="6">
        <f t="shared" si="11"/>
        <v>500</v>
      </c>
      <c r="T710" s="6"/>
      <c r="U710" s="6"/>
      <c r="V710" s="6"/>
      <c r="W710" s="6" t="s">
        <v>236</v>
      </c>
      <c r="X710" s="6" t="s">
        <v>236</v>
      </c>
      <c r="Y710" s="6" t="s">
        <v>236</v>
      </c>
      <c r="Z710" s="6" t="s">
        <v>236</v>
      </c>
      <c r="AA710" s="6" t="s">
        <v>236</v>
      </c>
    </row>
    <row r="711" spans="1:27">
      <c r="A711" s="6">
        <v>710</v>
      </c>
      <c r="B711" s="6" t="s">
        <v>225</v>
      </c>
      <c r="C711" s="7">
        <v>46137</v>
      </c>
      <c r="D711" s="6" t="s">
        <v>226</v>
      </c>
      <c r="E711" s="6" t="s">
        <v>1477</v>
      </c>
      <c r="F711" s="6" t="s">
        <v>240</v>
      </c>
      <c r="G711" s="6">
        <v>25</v>
      </c>
      <c r="H711" s="11" t="s">
        <v>2608</v>
      </c>
      <c r="I711" s="11">
        <v>9618735670</v>
      </c>
      <c r="J711" s="10" t="s">
        <v>2609</v>
      </c>
      <c r="K711" s="10" t="s">
        <v>2609</v>
      </c>
      <c r="L711" s="6">
        <v>100</v>
      </c>
      <c r="M711" s="6">
        <v>100</v>
      </c>
      <c r="N711" s="7" t="s">
        <v>239</v>
      </c>
      <c r="O711" s="6" t="s">
        <v>239</v>
      </c>
      <c r="P711" s="6" t="s">
        <v>239</v>
      </c>
      <c r="Q711" s="6" t="s">
        <v>236</v>
      </c>
      <c r="R711" s="6"/>
      <c r="S711" s="6">
        <f t="shared" si="11"/>
        <v>100</v>
      </c>
      <c r="T711" s="6"/>
      <c r="U711" s="6"/>
      <c r="V711" s="6"/>
      <c r="W711" s="6" t="s">
        <v>236</v>
      </c>
      <c r="X711" s="6" t="s">
        <v>236</v>
      </c>
      <c r="Y711" s="6" t="s">
        <v>236</v>
      </c>
      <c r="Z711" s="6" t="s">
        <v>236</v>
      </c>
      <c r="AA711" s="6" t="s">
        <v>236</v>
      </c>
    </row>
    <row r="712" spans="1:27">
      <c r="A712" s="6">
        <v>711</v>
      </c>
      <c r="B712" s="6" t="s">
        <v>225</v>
      </c>
      <c r="C712" s="7">
        <v>46140</v>
      </c>
      <c r="D712" s="6" t="s">
        <v>226</v>
      </c>
      <c r="E712" s="6" t="s">
        <v>1477</v>
      </c>
      <c r="F712" s="6" t="s">
        <v>364</v>
      </c>
      <c r="G712" s="6">
        <v>28</v>
      </c>
      <c r="H712" s="6" t="s">
        <v>2610</v>
      </c>
      <c r="I712" s="34"/>
      <c r="J712" s="34" t="s">
        <v>2611</v>
      </c>
      <c r="K712" s="34" t="s">
        <v>2611</v>
      </c>
      <c r="L712" s="34">
        <v>11410</v>
      </c>
      <c r="M712" s="34">
        <v>11410</v>
      </c>
      <c r="N712" s="7">
        <v>46141</v>
      </c>
      <c r="O712" s="6" t="s">
        <v>1733</v>
      </c>
      <c r="P712" s="6" t="s">
        <v>52</v>
      </c>
      <c r="Q712" s="6" t="s">
        <v>665</v>
      </c>
      <c r="R712" s="6">
        <v>11410</v>
      </c>
      <c r="S712" s="6">
        <f t="shared" si="11"/>
        <v>0</v>
      </c>
      <c r="T712" s="7">
        <v>46141</v>
      </c>
      <c r="U712" s="6" t="s">
        <v>2612</v>
      </c>
      <c r="V712" s="6" t="s">
        <v>54</v>
      </c>
      <c r="W712" s="6" t="s">
        <v>862</v>
      </c>
      <c r="X712" s="6" t="s">
        <v>1733</v>
      </c>
      <c r="Y712" s="34" t="s">
        <v>2613</v>
      </c>
      <c r="Z712" s="6" t="s">
        <v>2614</v>
      </c>
      <c r="AA712" s="6" t="s">
        <v>373</v>
      </c>
    </row>
    <row r="713" spans="1:27">
      <c r="A713" s="6">
        <v>712</v>
      </c>
      <c r="B713" s="6" t="s">
        <v>225</v>
      </c>
      <c r="C713" s="7">
        <v>46140</v>
      </c>
      <c r="D713" s="6" t="s">
        <v>226</v>
      </c>
      <c r="E713" s="6" t="s">
        <v>1477</v>
      </c>
      <c r="F713" s="6" t="s">
        <v>364</v>
      </c>
      <c r="G713" s="6">
        <v>28</v>
      </c>
      <c r="H713" s="6" t="s">
        <v>2615</v>
      </c>
      <c r="I713" s="6"/>
      <c r="J713" s="6" t="s">
        <v>2616</v>
      </c>
      <c r="K713" s="6" t="s">
        <v>2616</v>
      </c>
      <c r="L713" s="6">
        <v>9740</v>
      </c>
      <c r="M713" s="6">
        <v>9740</v>
      </c>
      <c r="N713" s="7"/>
      <c r="O713" s="6" t="s">
        <v>2617</v>
      </c>
      <c r="P713" s="6" t="s">
        <v>52</v>
      </c>
      <c r="Q713" s="6" t="s">
        <v>665</v>
      </c>
      <c r="R713" s="6"/>
      <c r="S713" s="6">
        <f t="shared" si="11"/>
        <v>9740</v>
      </c>
      <c r="T713" s="6"/>
      <c r="U713" s="6"/>
      <c r="V713" s="6"/>
      <c r="W713" s="6" t="s">
        <v>862</v>
      </c>
      <c r="X713" s="6" t="s">
        <v>2617</v>
      </c>
      <c r="Y713" s="6" t="s">
        <v>2618</v>
      </c>
      <c r="Z713" s="6" t="s">
        <v>2619</v>
      </c>
      <c r="AA713" s="6" t="s">
        <v>373</v>
      </c>
    </row>
    <row r="714" spans="1:27">
      <c r="A714" s="6">
        <v>713</v>
      </c>
      <c r="B714" s="6" t="s">
        <v>225</v>
      </c>
      <c r="C714" s="7">
        <v>46140</v>
      </c>
      <c r="D714" s="6" t="s">
        <v>226</v>
      </c>
      <c r="E714" s="6" t="s">
        <v>1477</v>
      </c>
      <c r="F714" s="6" t="s">
        <v>746</v>
      </c>
      <c r="G714" s="6">
        <v>28</v>
      </c>
      <c r="H714" s="11" t="s">
        <v>2620</v>
      </c>
      <c r="I714" s="11">
        <v>7416466604</v>
      </c>
      <c r="J714" s="10" t="s">
        <v>2621</v>
      </c>
      <c r="K714" s="10" t="s">
        <v>2621</v>
      </c>
      <c r="L714" s="6">
        <v>100</v>
      </c>
      <c r="M714" s="6">
        <v>100</v>
      </c>
      <c r="N714" s="7" t="s">
        <v>239</v>
      </c>
      <c r="O714" s="6" t="s">
        <v>239</v>
      </c>
      <c r="P714" s="6" t="s">
        <v>239</v>
      </c>
      <c r="Q714" s="6" t="s">
        <v>236</v>
      </c>
      <c r="R714" s="6"/>
      <c r="S714" s="6">
        <f t="shared" si="11"/>
        <v>100</v>
      </c>
      <c r="T714" s="6"/>
      <c r="U714" s="6"/>
      <c r="V714" s="6"/>
      <c r="W714" s="6" t="s">
        <v>236</v>
      </c>
      <c r="X714" s="6" t="s">
        <v>236</v>
      </c>
      <c r="Y714" s="6" t="s">
        <v>236</v>
      </c>
      <c r="Z714" s="6" t="s">
        <v>236</v>
      </c>
      <c r="AA714" s="6" t="s">
        <v>236</v>
      </c>
    </row>
    <row r="715" spans="1:27">
      <c r="A715" s="6">
        <v>714</v>
      </c>
      <c r="B715" s="6" t="s">
        <v>225</v>
      </c>
      <c r="C715" s="7">
        <v>46140</v>
      </c>
      <c r="D715" s="6" t="s">
        <v>226</v>
      </c>
      <c r="E715" s="6" t="s">
        <v>1477</v>
      </c>
      <c r="F715" s="6" t="s">
        <v>746</v>
      </c>
      <c r="G715" s="6">
        <v>28</v>
      </c>
      <c r="H715" s="11" t="s">
        <v>2622</v>
      </c>
      <c r="I715" s="11">
        <v>8074936810</v>
      </c>
      <c r="J715" s="10" t="s">
        <v>2623</v>
      </c>
      <c r="K715" s="10" t="s">
        <v>2623</v>
      </c>
      <c r="L715" s="6">
        <v>2550</v>
      </c>
      <c r="M715" s="6">
        <v>2550</v>
      </c>
      <c r="N715" s="7" t="s">
        <v>239</v>
      </c>
      <c r="O715" s="6" t="s">
        <v>239</v>
      </c>
      <c r="P715" s="6" t="s">
        <v>239</v>
      </c>
      <c r="Q715" s="6" t="s">
        <v>236</v>
      </c>
      <c r="R715" s="6"/>
      <c r="S715" s="6">
        <f t="shared" si="11"/>
        <v>2550</v>
      </c>
      <c r="T715" s="6"/>
      <c r="U715" s="6"/>
      <c r="V715" s="6"/>
      <c r="W715" s="6" t="s">
        <v>236</v>
      </c>
      <c r="X715" s="6" t="s">
        <v>236</v>
      </c>
      <c r="Y715" s="6" t="s">
        <v>236</v>
      </c>
      <c r="Z715" s="6" t="s">
        <v>236</v>
      </c>
      <c r="AA715" s="6" t="s">
        <v>236</v>
      </c>
    </row>
    <row r="716" spans="1:27">
      <c r="A716" s="6">
        <v>715</v>
      </c>
      <c r="B716" s="6" t="s">
        <v>225</v>
      </c>
      <c r="C716" s="7">
        <v>46140</v>
      </c>
      <c r="D716" s="6" t="s">
        <v>226</v>
      </c>
      <c r="E716" s="6" t="s">
        <v>1477</v>
      </c>
      <c r="F716" s="6" t="s">
        <v>746</v>
      </c>
      <c r="G716" s="6">
        <v>28</v>
      </c>
      <c r="H716" s="11" t="s">
        <v>2624</v>
      </c>
      <c r="I716" s="11">
        <v>9611825321</v>
      </c>
      <c r="J716" s="10" t="s">
        <v>2625</v>
      </c>
      <c r="K716" s="10" t="s">
        <v>2625</v>
      </c>
      <c r="L716" s="6">
        <v>1091</v>
      </c>
      <c r="M716" s="6">
        <v>1091</v>
      </c>
      <c r="N716" s="7" t="s">
        <v>239</v>
      </c>
      <c r="O716" s="6" t="s">
        <v>239</v>
      </c>
      <c r="P716" s="6" t="s">
        <v>239</v>
      </c>
      <c r="Q716" s="6" t="s">
        <v>236</v>
      </c>
      <c r="R716" s="6"/>
      <c r="S716" s="6">
        <f t="shared" si="11"/>
        <v>1091</v>
      </c>
      <c r="T716" s="6"/>
      <c r="U716" s="6"/>
      <c r="V716" s="6"/>
      <c r="W716" s="6" t="s">
        <v>236</v>
      </c>
      <c r="X716" s="6" t="s">
        <v>236</v>
      </c>
      <c r="Y716" s="6" t="s">
        <v>236</v>
      </c>
      <c r="Z716" s="6" t="s">
        <v>236</v>
      </c>
      <c r="AA716" s="6" t="s">
        <v>236</v>
      </c>
    </row>
    <row r="717" spans="1:27">
      <c r="A717" s="6">
        <v>716</v>
      </c>
      <c r="B717" s="6" t="s">
        <v>225</v>
      </c>
      <c r="C717" s="7">
        <v>46140</v>
      </c>
      <c r="D717" s="6" t="s">
        <v>226</v>
      </c>
      <c r="E717" s="6" t="s">
        <v>1477</v>
      </c>
      <c r="F717" s="6" t="s">
        <v>746</v>
      </c>
      <c r="G717" s="6">
        <v>28</v>
      </c>
      <c r="H717" s="11" t="s">
        <v>2626</v>
      </c>
      <c r="I717" s="11">
        <v>7600131295</v>
      </c>
      <c r="J717" s="10" t="s">
        <v>2627</v>
      </c>
      <c r="K717" s="10" t="s">
        <v>2627</v>
      </c>
      <c r="L717" s="6">
        <v>3434</v>
      </c>
      <c r="M717" s="6">
        <v>3434</v>
      </c>
      <c r="N717" s="7" t="s">
        <v>239</v>
      </c>
      <c r="O717" s="6" t="s">
        <v>239</v>
      </c>
      <c r="P717" s="6" t="s">
        <v>239</v>
      </c>
      <c r="Q717" s="6" t="s">
        <v>236</v>
      </c>
      <c r="R717" s="6"/>
      <c r="S717" s="6">
        <f t="shared" si="11"/>
        <v>3434</v>
      </c>
      <c r="T717" s="6"/>
      <c r="U717" s="6"/>
      <c r="V717" s="6"/>
      <c r="W717" s="6" t="s">
        <v>236</v>
      </c>
      <c r="X717" s="6" t="s">
        <v>236</v>
      </c>
      <c r="Y717" s="6" t="s">
        <v>236</v>
      </c>
      <c r="Z717" s="6" t="s">
        <v>236</v>
      </c>
      <c r="AA717" s="6" t="s">
        <v>236</v>
      </c>
    </row>
    <row r="718" spans="1:27">
      <c r="A718" s="6">
        <v>717</v>
      </c>
      <c r="B718" s="6" t="s">
        <v>225</v>
      </c>
      <c r="C718" s="7">
        <v>46140</v>
      </c>
      <c r="D718" s="6" t="s">
        <v>226</v>
      </c>
      <c r="E718" s="6" t="s">
        <v>1477</v>
      </c>
      <c r="F718" s="6" t="s">
        <v>746</v>
      </c>
      <c r="G718" s="6">
        <v>28</v>
      </c>
      <c r="H718" s="11" t="s">
        <v>2628</v>
      </c>
      <c r="I718" s="11">
        <v>9705090962</v>
      </c>
      <c r="J718" s="10" t="s">
        <v>2629</v>
      </c>
      <c r="K718" s="10" t="s">
        <v>2629</v>
      </c>
      <c r="L718" s="6">
        <v>120</v>
      </c>
      <c r="M718" s="6">
        <v>120</v>
      </c>
      <c r="N718" s="7" t="s">
        <v>239</v>
      </c>
      <c r="O718" s="6" t="s">
        <v>239</v>
      </c>
      <c r="P718" s="6" t="s">
        <v>239</v>
      </c>
      <c r="Q718" s="6" t="s">
        <v>236</v>
      </c>
      <c r="R718" s="6"/>
      <c r="S718" s="6">
        <f t="shared" si="11"/>
        <v>120</v>
      </c>
      <c r="T718" s="6"/>
      <c r="U718" s="6"/>
      <c r="V718" s="6"/>
      <c r="W718" s="6" t="s">
        <v>236</v>
      </c>
      <c r="X718" s="6" t="s">
        <v>236</v>
      </c>
      <c r="Y718" s="6" t="s">
        <v>236</v>
      </c>
      <c r="Z718" s="6" t="s">
        <v>236</v>
      </c>
      <c r="AA718" s="6" t="s">
        <v>236</v>
      </c>
    </row>
    <row r="719" spans="1:27">
      <c r="A719" s="6">
        <v>718</v>
      </c>
      <c r="B719" s="6" t="s">
        <v>225</v>
      </c>
      <c r="C719" s="7">
        <v>46140</v>
      </c>
      <c r="D719" s="6" t="s">
        <v>226</v>
      </c>
      <c r="E719" s="6" t="s">
        <v>1477</v>
      </c>
      <c r="F719" s="6" t="s">
        <v>746</v>
      </c>
      <c r="G719" s="6">
        <v>28</v>
      </c>
      <c r="H719" s="11" t="s">
        <v>2630</v>
      </c>
      <c r="I719" s="11">
        <v>8106563768</v>
      </c>
      <c r="J719" s="10" t="s">
        <v>2631</v>
      </c>
      <c r="K719" s="10" t="s">
        <v>2631</v>
      </c>
      <c r="L719" s="6">
        <v>1320</v>
      </c>
      <c r="M719" s="6">
        <v>1320</v>
      </c>
      <c r="N719" s="7" t="s">
        <v>239</v>
      </c>
      <c r="O719" s="6" t="s">
        <v>239</v>
      </c>
      <c r="P719" s="6" t="s">
        <v>239</v>
      </c>
      <c r="Q719" s="6" t="s">
        <v>236</v>
      </c>
      <c r="R719" s="6"/>
      <c r="S719" s="6">
        <f t="shared" si="11"/>
        <v>1320</v>
      </c>
      <c r="T719" s="6"/>
      <c r="U719" s="6"/>
      <c r="V719" s="6"/>
      <c r="W719" s="6" t="s">
        <v>236</v>
      </c>
      <c r="X719" s="6" t="s">
        <v>236</v>
      </c>
      <c r="Y719" s="6" t="s">
        <v>236</v>
      </c>
      <c r="Z719" s="6" t="s">
        <v>236</v>
      </c>
      <c r="AA719" s="6" t="s">
        <v>236</v>
      </c>
    </row>
    <row r="720" spans="1:27">
      <c r="A720" s="6">
        <v>719</v>
      </c>
      <c r="B720" s="6" t="s">
        <v>225</v>
      </c>
      <c r="C720" s="7">
        <v>46140</v>
      </c>
      <c r="D720" s="6" t="s">
        <v>226</v>
      </c>
      <c r="E720" s="6" t="s">
        <v>1477</v>
      </c>
      <c r="F720" s="6" t="s">
        <v>746</v>
      </c>
      <c r="G720" s="6">
        <v>28</v>
      </c>
      <c r="H720" s="11" t="s">
        <v>2632</v>
      </c>
      <c r="I720" s="11">
        <v>9745566040</v>
      </c>
      <c r="J720" s="10" t="s">
        <v>2633</v>
      </c>
      <c r="K720" s="10" t="s">
        <v>2633</v>
      </c>
      <c r="L720" s="6">
        <v>1200</v>
      </c>
      <c r="M720" s="6">
        <v>1200</v>
      </c>
      <c r="N720" s="7" t="s">
        <v>239</v>
      </c>
      <c r="O720" s="6" t="s">
        <v>239</v>
      </c>
      <c r="P720" s="6" t="s">
        <v>239</v>
      </c>
      <c r="Q720" s="6" t="s">
        <v>236</v>
      </c>
      <c r="R720" s="6"/>
      <c r="S720" s="6">
        <f t="shared" si="11"/>
        <v>1200</v>
      </c>
      <c r="T720" s="6"/>
      <c r="U720" s="6"/>
      <c r="V720" s="6"/>
      <c r="W720" s="6" t="s">
        <v>236</v>
      </c>
      <c r="X720" s="6" t="s">
        <v>236</v>
      </c>
      <c r="Y720" s="6" t="s">
        <v>236</v>
      </c>
      <c r="Z720" s="6" t="s">
        <v>236</v>
      </c>
      <c r="AA720" s="6" t="s">
        <v>236</v>
      </c>
    </row>
    <row r="721" spans="1:27">
      <c r="A721" s="6">
        <v>720</v>
      </c>
      <c r="B721" s="6" t="s">
        <v>225</v>
      </c>
      <c r="C721" s="7">
        <v>46140</v>
      </c>
      <c r="D721" s="6" t="s">
        <v>226</v>
      </c>
      <c r="E721" s="6" t="s">
        <v>1477</v>
      </c>
      <c r="F721" s="6" t="s">
        <v>746</v>
      </c>
      <c r="G721" s="6">
        <v>28</v>
      </c>
      <c r="H721" s="11" t="s">
        <v>2634</v>
      </c>
      <c r="I721" s="11">
        <v>9620481184</v>
      </c>
      <c r="J721" s="10" t="s">
        <v>2635</v>
      </c>
      <c r="K721" s="10" t="s">
        <v>2635</v>
      </c>
      <c r="L721" s="6">
        <v>1240</v>
      </c>
      <c r="M721" s="6">
        <v>1240</v>
      </c>
      <c r="N721" s="7" t="s">
        <v>239</v>
      </c>
      <c r="O721" s="6" t="s">
        <v>239</v>
      </c>
      <c r="P721" s="6" t="s">
        <v>239</v>
      </c>
      <c r="Q721" s="6" t="s">
        <v>236</v>
      </c>
      <c r="R721" s="6"/>
      <c r="S721" s="6">
        <f t="shared" si="11"/>
        <v>1240</v>
      </c>
      <c r="T721" s="6"/>
      <c r="U721" s="6"/>
      <c r="V721" s="6"/>
      <c r="W721" s="6" t="s">
        <v>236</v>
      </c>
      <c r="X721" s="6" t="s">
        <v>236</v>
      </c>
      <c r="Y721" s="6" t="s">
        <v>236</v>
      </c>
      <c r="Z721" s="6" t="s">
        <v>236</v>
      </c>
      <c r="AA721" s="6" t="s">
        <v>236</v>
      </c>
    </row>
    <row r="722" spans="1:27">
      <c r="A722" s="6">
        <v>721</v>
      </c>
      <c r="B722" s="6" t="s">
        <v>225</v>
      </c>
      <c r="C722" s="7">
        <v>46140</v>
      </c>
      <c r="D722" s="6" t="s">
        <v>226</v>
      </c>
      <c r="E722" s="6" t="s">
        <v>1477</v>
      </c>
      <c r="F722" s="6" t="s">
        <v>395</v>
      </c>
      <c r="G722" s="6">
        <v>28</v>
      </c>
      <c r="H722" s="6" t="s">
        <v>2636</v>
      </c>
      <c r="I722" s="6" t="s">
        <v>2637</v>
      </c>
      <c r="J722" s="6" t="s">
        <v>2638</v>
      </c>
      <c r="K722" s="6" t="s">
        <v>2638</v>
      </c>
      <c r="L722" s="6">
        <v>17349</v>
      </c>
      <c r="M722" s="6">
        <v>17349</v>
      </c>
      <c r="N722" s="7">
        <v>46144</v>
      </c>
      <c r="O722" s="6" t="s">
        <v>1032</v>
      </c>
      <c r="P722" s="6" t="s">
        <v>52</v>
      </c>
      <c r="Q722" s="6" t="s">
        <v>314</v>
      </c>
      <c r="R722" s="6">
        <v>15700</v>
      </c>
      <c r="S722" s="6">
        <f t="shared" si="11"/>
        <v>1649</v>
      </c>
      <c r="T722" s="7">
        <v>46144</v>
      </c>
      <c r="U722" s="6" t="s">
        <v>2639</v>
      </c>
      <c r="V722" s="6"/>
      <c r="W722" s="6" t="s">
        <v>2569</v>
      </c>
      <c r="X722" s="6" t="s">
        <v>1032</v>
      </c>
      <c r="Y722" s="6" t="s">
        <v>2640</v>
      </c>
      <c r="Z722" s="6" t="s">
        <v>1034</v>
      </c>
      <c r="AA722" s="6" t="s">
        <v>2086</v>
      </c>
    </row>
    <row r="723" spans="1:27">
      <c r="A723" s="6">
        <v>722</v>
      </c>
      <c r="B723" s="6" t="s">
        <v>2641</v>
      </c>
      <c r="C723" s="7">
        <v>46142</v>
      </c>
      <c r="D723" s="6" t="s">
        <v>933</v>
      </c>
      <c r="E723" s="6" t="s">
        <v>1477</v>
      </c>
      <c r="F723" s="6" t="s">
        <v>2642</v>
      </c>
      <c r="G723" s="6">
        <v>30</v>
      </c>
      <c r="H723" s="6" t="s">
        <v>2643</v>
      </c>
      <c r="I723" s="6" t="s">
        <v>2644</v>
      </c>
      <c r="J723" s="6" t="s">
        <v>2645</v>
      </c>
      <c r="K723" s="6" t="s">
        <v>2645</v>
      </c>
      <c r="L723" s="6">
        <v>4335</v>
      </c>
      <c r="M723" s="6">
        <v>4335</v>
      </c>
      <c r="N723" s="7"/>
      <c r="O723" s="6"/>
      <c r="P723" s="6"/>
      <c r="Q723" s="6" t="s">
        <v>1403</v>
      </c>
      <c r="R723" s="6"/>
      <c r="S723" s="6">
        <f t="shared" si="11"/>
        <v>4335</v>
      </c>
      <c r="T723" s="7"/>
      <c r="U723" s="6"/>
      <c r="V723" s="6"/>
      <c r="W723" s="6" t="s">
        <v>1431</v>
      </c>
      <c r="X723" s="6" t="s">
        <v>1431</v>
      </c>
      <c r="Y723" s="6"/>
      <c r="Z723" s="6"/>
      <c r="AA723" s="6"/>
    </row>
    <row r="724" spans="1:27">
      <c r="A724" s="6">
        <v>723</v>
      </c>
      <c r="B724" s="6" t="s">
        <v>2641</v>
      </c>
      <c r="C724" s="7">
        <v>46142</v>
      </c>
      <c r="D724" s="6" t="s">
        <v>933</v>
      </c>
      <c r="E724" s="6" t="s">
        <v>1477</v>
      </c>
      <c r="F724" s="6" t="s">
        <v>2642</v>
      </c>
      <c r="G724" s="6">
        <v>30</v>
      </c>
      <c r="H724" s="6" t="s">
        <v>2646</v>
      </c>
      <c r="I724" s="6" t="s">
        <v>2647</v>
      </c>
      <c r="J724" s="6" t="s">
        <v>2648</v>
      </c>
      <c r="K724" s="6" t="s">
        <v>2648</v>
      </c>
      <c r="L724" s="6">
        <v>13751</v>
      </c>
      <c r="M724" s="6">
        <v>13751</v>
      </c>
      <c r="N724" s="7"/>
      <c r="O724" s="6"/>
      <c r="P724" s="6" t="s">
        <v>52</v>
      </c>
      <c r="Q724" s="6" t="s">
        <v>1403</v>
      </c>
      <c r="R724" s="6">
        <v>13750</v>
      </c>
      <c r="S724" s="6">
        <f t="shared" si="11"/>
        <v>1</v>
      </c>
      <c r="T724" s="7">
        <v>46144</v>
      </c>
      <c r="U724" s="6" t="s">
        <v>2649</v>
      </c>
      <c r="V724" s="6" t="s">
        <v>54</v>
      </c>
      <c r="W724" s="6" t="s">
        <v>2650</v>
      </c>
      <c r="X724" s="6" t="s">
        <v>2650</v>
      </c>
      <c r="Y724" s="6"/>
      <c r="Z724" s="6"/>
      <c r="AA724" s="6"/>
    </row>
    <row r="725" spans="1:27">
      <c r="A725" s="6">
        <v>724</v>
      </c>
      <c r="B725" s="6" t="s">
        <v>2641</v>
      </c>
      <c r="C725" s="7">
        <v>46142</v>
      </c>
      <c r="D725" s="6" t="s">
        <v>933</v>
      </c>
      <c r="E725" s="6" t="s">
        <v>1477</v>
      </c>
      <c r="F725" s="6" t="s">
        <v>2642</v>
      </c>
      <c r="G725" s="6">
        <v>30</v>
      </c>
      <c r="H725" s="6" t="s">
        <v>2651</v>
      </c>
      <c r="I725" s="6" t="s">
        <v>2652</v>
      </c>
      <c r="J725" s="6" t="s">
        <v>2653</v>
      </c>
      <c r="K725" s="6" t="s">
        <v>2653</v>
      </c>
      <c r="L725" s="6">
        <v>9105</v>
      </c>
      <c r="M725" s="6">
        <v>9105</v>
      </c>
      <c r="N725" s="7"/>
      <c r="O725" s="6"/>
      <c r="P725" s="6"/>
      <c r="Q725" s="6" t="s">
        <v>1403</v>
      </c>
      <c r="R725" s="6"/>
      <c r="S725" s="6">
        <f t="shared" si="11"/>
        <v>9105</v>
      </c>
      <c r="T725" s="7"/>
      <c r="U725" s="6"/>
      <c r="V725" s="6"/>
      <c r="W725" s="6" t="s">
        <v>2654</v>
      </c>
      <c r="X725" s="6" t="s">
        <v>2654</v>
      </c>
      <c r="Y725" s="6"/>
      <c r="Z725" s="6"/>
      <c r="AA725" s="6"/>
    </row>
    <row r="726" spans="1:27">
      <c r="A726" s="6">
        <v>725</v>
      </c>
      <c r="B726" s="6" t="s">
        <v>1403</v>
      </c>
      <c r="C726" s="7">
        <v>46142</v>
      </c>
      <c r="D726" s="6" t="s">
        <v>933</v>
      </c>
      <c r="E726" s="6" t="s">
        <v>1477</v>
      </c>
      <c r="F726" s="6" t="s">
        <v>2642</v>
      </c>
      <c r="G726" s="6">
        <v>30</v>
      </c>
      <c r="H726" s="6" t="s">
        <v>2655</v>
      </c>
      <c r="I726" s="6" t="s">
        <v>2656</v>
      </c>
      <c r="J726" s="6" t="s">
        <v>2657</v>
      </c>
      <c r="K726" s="6" t="s">
        <v>2657</v>
      </c>
      <c r="L726" s="6">
        <v>11849.84</v>
      </c>
      <c r="M726" s="6">
        <v>11849.84</v>
      </c>
      <c r="N726" s="7"/>
      <c r="O726" s="6"/>
      <c r="P726" s="6"/>
      <c r="Q726" s="6" t="s">
        <v>1403</v>
      </c>
      <c r="R726" s="6"/>
      <c r="S726" s="6">
        <f t="shared" si="11"/>
        <v>11849.84</v>
      </c>
      <c r="T726" s="7"/>
      <c r="U726" s="6"/>
      <c r="V726" s="6"/>
      <c r="W726" s="6" t="s">
        <v>2654</v>
      </c>
      <c r="X726" s="6" t="s">
        <v>2654</v>
      </c>
      <c r="Y726" s="6"/>
      <c r="Z726" s="6"/>
      <c r="AA726" s="6"/>
    </row>
    <row r="727" spans="1:27">
      <c r="A727" s="6">
        <v>726</v>
      </c>
      <c r="B727" s="6" t="s">
        <v>1403</v>
      </c>
      <c r="C727" s="7">
        <v>46142</v>
      </c>
      <c r="D727" s="6" t="s">
        <v>933</v>
      </c>
      <c r="E727" s="6" t="s">
        <v>1477</v>
      </c>
      <c r="F727" s="6" t="s">
        <v>2642</v>
      </c>
      <c r="G727" s="6">
        <v>30</v>
      </c>
      <c r="H727" s="6" t="s">
        <v>2658</v>
      </c>
      <c r="I727" s="6" t="s">
        <v>2659</v>
      </c>
      <c r="J727" s="6" t="s">
        <v>2660</v>
      </c>
      <c r="K727" s="6" t="s">
        <v>2660</v>
      </c>
      <c r="L727" s="6">
        <v>6531.05</v>
      </c>
      <c r="M727" s="6">
        <v>6531.05</v>
      </c>
      <c r="N727" s="7"/>
      <c r="O727" s="6"/>
      <c r="P727" s="6" t="s">
        <v>52</v>
      </c>
      <c r="Q727" s="6" t="s">
        <v>1403</v>
      </c>
      <c r="R727" s="6">
        <v>6500</v>
      </c>
      <c r="S727" s="6">
        <f t="shared" si="11"/>
        <v>31.050000000000182</v>
      </c>
      <c r="T727" s="7">
        <v>46165</v>
      </c>
      <c r="U727" s="6" t="s">
        <v>2661</v>
      </c>
      <c r="V727" s="6" t="s">
        <v>54</v>
      </c>
      <c r="W727" s="6" t="s">
        <v>2662</v>
      </c>
      <c r="X727" s="6" t="s">
        <v>2662</v>
      </c>
      <c r="Y727" s="6"/>
      <c r="Z727" s="6"/>
      <c r="AA727" s="6"/>
    </row>
    <row r="728" spans="1:27">
      <c r="A728" s="6">
        <v>727</v>
      </c>
      <c r="B728" s="6" t="s">
        <v>1403</v>
      </c>
      <c r="C728" s="7">
        <v>46142</v>
      </c>
      <c r="D728" s="6" t="s">
        <v>933</v>
      </c>
      <c r="E728" s="6" t="s">
        <v>1477</v>
      </c>
      <c r="F728" s="6" t="s">
        <v>2642</v>
      </c>
      <c r="G728" s="6">
        <v>30</v>
      </c>
      <c r="H728" s="6" t="s">
        <v>2663</v>
      </c>
      <c r="I728" s="6" t="s">
        <v>2664</v>
      </c>
      <c r="J728" s="6" t="s">
        <v>2665</v>
      </c>
      <c r="K728" s="6" t="s">
        <v>2665</v>
      </c>
      <c r="L728" s="6">
        <v>6030</v>
      </c>
      <c r="M728" s="6">
        <v>6030</v>
      </c>
      <c r="N728" s="7"/>
      <c r="O728" s="6"/>
      <c r="P728" s="6"/>
      <c r="Q728" s="6" t="s">
        <v>1403</v>
      </c>
      <c r="R728" s="6"/>
      <c r="S728" s="6">
        <f t="shared" si="11"/>
        <v>6030</v>
      </c>
      <c r="V728" s="6"/>
      <c r="W728" s="6" t="s">
        <v>2666</v>
      </c>
      <c r="X728" s="6" t="s">
        <v>2666</v>
      </c>
      <c r="Y728" s="6"/>
      <c r="Z728" s="6"/>
      <c r="AA728" s="6"/>
    </row>
    <row r="729" spans="1:27">
      <c r="A729" s="6">
        <v>728</v>
      </c>
      <c r="B729" s="6" t="s">
        <v>2641</v>
      </c>
      <c r="C729" s="7">
        <v>46142</v>
      </c>
      <c r="D729" s="6" t="s">
        <v>933</v>
      </c>
      <c r="E729" s="6" t="s">
        <v>1477</v>
      </c>
      <c r="F729" s="6" t="s">
        <v>2642</v>
      </c>
      <c r="G729" s="6">
        <v>30</v>
      </c>
      <c r="H729" s="6" t="s">
        <v>2667</v>
      </c>
      <c r="I729" s="6" t="s">
        <v>2668</v>
      </c>
      <c r="J729" s="6" t="s">
        <v>2669</v>
      </c>
      <c r="K729" s="6" t="s">
        <v>2669</v>
      </c>
      <c r="L729" s="6">
        <v>6045.1</v>
      </c>
      <c r="M729" s="6">
        <v>6045.1</v>
      </c>
      <c r="N729" s="7"/>
      <c r="O729" s="6"/>
      <c r="P729" s="6"/>
      <c r="Q729" s="6" t="s">
        <v>1403</v>
      </c>
      <c r="R729" s="6"/>
      <c r="S729" s="6">
        <f t="shared" si="11"/>
        <v>6045.1</v>
      </c>
      <c r="T729" s="7"/>
      <c r="U729" s="6"/>
      <c r="V729" s="6"/>
      <c r="W729" s="6" t="s">
        <v>2670</v>
      </c>
      <c r="X729" s="6" t="s">
        <v>2670</v>
      </c>
      <c r="Y729" s="6"/>
      <c r="Z729" s="6"/>
      <c r="AA729" s="6"/>
    </row>
    <row r="730" spans="1:27">
      <c r="A730" s="6">
        <v>729</v>
      </c>
      <c r="B730" s="6" t="s">
        <v>1403</v>
      </c>
      <c r="C730" s="7">
        <v>46142</v>
      </c>
      <c r="D730" s="6" t="s">
        <v>933</v>
      </c>
      <c r="E730" s="6" t="s">
        <v>1477</v>
      </c>
      <c r="F730" s="6" t="s">
        <v>2642</v>
      </c>
      <c r="G730" s="6">
        <v>30</v>
      </c>
      <c r="H730" s="6" t="s">
        <v>2671</v>
      </c>
      <c r="I730" s="6" t="s">
        <v>2672</v>
      </c>
      <c r="J730" s="6" t="s">
        <v>2673</v>
      </c>
      <c r="K730" s="6" t="s">
        <v>2673</v>
      </c>
      <c r="L730" s="6">
        <v>12222.25</v>
      </c>
      <c r="M730" s="6">
        <v>12222.25</v>
      </c>
      <c r="N730" s="7"/>
      <c r="O730" s="6"/>
      <c r="P730" s="6" t="s">
        <v>52</v>
      </c>
      <c r="Q730" s="6" t="s">
        <v>1403</v>
      </c>
      <c r="R730" s="6">
        <v>12000</v>
      </c>
      <c r="S730" s="6">
        <f t="shared" si="11"/>
        <v>222.25</v>
      </c>
      <c r="T730" s="7">
        <v>46172</v>
      </c>
      <c r="U730" s="6" t="s">
        <v>2674</v>
      </c>
      <c r="V730" s="6" t="s">
        <v>54</v>
      </c>
      <c r="W730" s="6" t="s">
        <v>2675</v>
      </c>
      <c r="X730" s="6" t="s">
        <v>2675</v>
      </c>
      <c r="Y730" s="6"/>
      <c r="Z730" s="6"/>
      <c r="AA730" s="6"/>
    </row>
    <row r="731" spans="1:27">
      <c r="A731" s="6">
        <v>730</v>
      </c>
      <c r="B731" s="6" t="s">
        <v>1403</v>
      </c>
      <c r="C731" s="7">
        <v>46142</v>
      </c>
      <c r="D731" s="6" t="s">
        <v>933</v>
      </c>
      <c r="E731" s="6" t="s">
        <v>1477</v>
      </c>
      <c r="F731" s="6" t="s">
        <v>2642</v>
      </c>
      <c r="G731" s="6">
        <v>30</v>
      </c>
      <c r="H731" s="6" t="s">
        <v>2676</v>
      </c>
      <c r="I731" s="6" t="s">
        <v>2677</v>
      </c>
      <c r="J731" s="6" t="s">
        <v>2678</v>
      </c>
      <c r="K731" s="6" t="s">
        <v>2678</v>
      </c>
      <c r="L731" s="6">
        <v>15995.56</v>
      </c>
      <c r="M731" s="6">
        <v>15995.56</v>
      </c>
      <c r="N731" s="7"/>
      <c r="O731" s="6"/>
      <c r="P731" s="6"/>
      <c r="Q731" s="6" t="s">
        <v>1403</v>
      </c>
      <c r="R731" s="6"/>
      <c r="S731" s="6">
        <f t="shared" si="11"/>
        <v>15995.56</v>
      </c>
      <c r="T731" s="7"/>
      <c r="U731" s="6"/>
      <c r="V731" s="6"/>
      <c r="W731" s="6" t="s">
        <v>2679</v>
      </c>
      <c r="X731" s="6" t="s">
        <v>2679</v>
      </c>
      <c r="Y731" s="6"/>
      <c r="Z731" s="6"/>
      <c r="AA731" s="6"/>
    </row>
    <row r="732" spans="1:27">
      <c r="A732" s="6">
        <v>731</v>
      </c>
      <c r="B732" s="6" t="s">
        <v>1403</v>
      </c>
      <c r="C732" s="7">
        <v>46142</v>
      </c>
      <c r="D732" s="6" t="s">
        <v>933</v>
      </c>
      <c r="E732" s="6" t="s">
        <v>1477</v>
      </c>
      <c r="F732" s="6" t="s">
        <v>2642</v>
      </c>
      <c r="G732" s="6">
        <v>30</v>
      </c>
      <c r="H732" s="6" t="s">
        <v>2680</v>
      </c>
      <c r="I732" s="6" t="s">
        <v>2681</v>
      </c>
      <c r="J732" s="6" t="s">
        <v>2682</v>
      </c>
      <c r="K732" s="6" t="s">
        <v>2682</v>
      </c>
      <c r="L732" s="6">
        <v>4102</v>
      </c>
      <c r="M732" s="6">
        <v>4102</v>
      </c>
      <c r="N732" s="7"/>
      <c r="O732" s="6"/>
      <c r="P732" s="6"/>
      <c r="Q732" s="6" t="s">
        <v>1403</v>
      </c>
      <c r="R732" s="6"/>
      <c r="S732" s="6">
        <f t="shared" si="11"/>
        <v>4102</v>
      </c>
      <c r="T732" s="7"/>
      <c r="U732" s="6"/>
      <c r="V732" s="6"/>
      <c r="W732" s="6" t="s">
        <v>2679</v>
      </c>
      <c r="X732" s="6" t="s">
        <v>2679</v>
      </c>
      <c r="Y732" s="6"/>
      <c r="Z732" s="6"/>
      <c r="AA732" s="6"/>
    </row>
    <row r="733" spans="1:27">
      <c r="A733" s="6">
        <v>732</v>
      </c>
      <c r="B733" s="6" t="s">
        <v>2641</v>
      </c>
      <c r="C733" s="7">
        <v>46142</v>
      </c>
      <c r="D733" s="6" t="s">
        <v>933</v>
      </c>
      <c r="E733" s="6" t="s">
        <v>1477</v>
      </c>
      <c r="F733" s="6" t="s">
        <v>2642</v>
      </c>
      <c r="G733" s="6">
        <v>30</v>
      </c>
      <c r="H733" s="6" t="s">
        <v>2683</v>
      </c>
      <c r="I733" s="6" t="s">
        <v>2684</v>
      </c>
      <c r="J733" s="6" t="s">
        <v>2685</v>
      </c>
      <c r="K733" s="6" t="s">
        <v>2685</v>
      </c>
      <c r="L733" s="6">
        <v>12793</v>
      </c>
      <c r="M733" s="6">
        <v>12793</v>
      </c>
      <c r="N733" s="7"/>
      <c r="O733" s="6"/>
      <c r="P733" s="6"/>
      <c r="Q733" s="6" t="s">
        <v>1403</v>
      </c>
      <c r="R733" s="6"/>
      <c r="S733" s="6">
        <f t="shared" si="11"/>
        <v>12793</v>
      </c>
      <c r="T733" s="7"/>
      <c r="U733" s="6"/>
      <c r="V733" s="6"/>
      <c r="W733" s="6" t="s">
        <v>2686</v>
      </c>
      <c r="X733" s="6" t="s">
        <v>2686</v>
      </c>
      <c r="Y733" s="6"/>
      <c r="Z733" s="6"/>
      <c r="AA733" s="6"/>
    </row>
    <row r="734" spans="1:27">
      <c r="A734" s="6">
        <v>733</v>
      </c>
      <c r="B734" s="6" t="s">
        <v>2641</v>
      </c>
      <c r="C734" s="7">
        <v>46142</v>
      </c>
      <c r="D734" s="6" t="s">
        <v>933</v>
      </c>
      <c r="E734" s="6" t="s">
        <v>1477</v>
      </c>
      <c r="F734" s="6" t="s">
        <v>2642</v>
      </c>
      <c r="G734" s="6">
        <v>30</v>
      </c>
      <c r="H734" s="6" t="s">
        <v>2687</v>
      </c>
      <c r="I734" s="6" t="s">
        <v>2688</v>
      </c>
      <c r="J734" s="6" t="s">
        <v>2689</v>
      </c>
      <c r="K734" s="6" t="s">
        <v>2689</v>
      </c>
      <c r="L734" s="6">
        <v>4005</v>
      </c>
      <c r="M734" s="6">
        <v>4005</v>
      </c>
      <c r="N734" s="7"/>
      <c r="O734" s="6"/>
      <c r="P734" s="6"/>
      <c r="Q734" s="6" t="s">
        <v>1403</v>
      </c>
      <c r="R734" s="6"/>
      <c r="S734" s="6">
        <f t="shared" si="11"/>
        <v>4005</v>
      </c>
      <c r="T734" s="7"/>
      <c r="U734" s="6"/>
      <c r="V734" s="6"/>
      <c r="W734" s="6" t="s">
        <v>2686</v>
      </c>
      <c r="X734" s="6" t="s">
        <v>2686</v>
      </c>
      <c r="Y734" s="6"/>
      <c r="Z734" s="6"/>
      <c r="AA734" s="6"/>
    </row>
    <row r="735" spans="1:27">
      <c r="A735" s="6">
        <v>734</v>
      </c>
      <c r="B735" s="6" t="s">
        <v>2641</v>
      </c>
      <c r="C735" s="7">
        <v>46142</v>
      </c>
      <c r="D735" s="6" t="s">
        <v>933</v>
      </c>
      <c r="E735" s="6" t="s">
        <v>1477</v>
      </c>
      <c r="F735" s="6" t="s">
        <v>2642</v>
      </c>
      <c r="G735" s="6">
        <v>30</v>
      </c>
      <c r="H735" s="6" t="s">
        <v>2690</v>
      </c>
      <c r="I735" s="6" t="s">
        <v>2691</v>
      </c>
      <c r="J735" s="6" t="s">
        <v>2692</v>
      </c>
      <c r="K735" s="6" t="s">
        <v>2692</v>
      </c>
      <c r="L735" s="6">
        <v>3342</v>
      </c>
      <c r="M735" s="6">
        <v>3342</v>
      </c>
      <c r="N735" s="7"/>
      <c r="O735" s="6"/>
      <c r="P735" s="6"/>
      <c r="Q735" s="6" t="s">
        <v>1403</v>
      </c>
      <c r="R735" s="6"/>
      <c r="S735" s="6">
        <f t="shared" si="11"/>
        <v>3342</v>
      </c>
      <c r="T735" s="7"/>
      <c r="U735" s="6"/>
      <c r="V735" s="6"/>
      <c r="W735" s="6" t="s">
        <v>2686</v>
      </c>
      <c r="X735" s="6" t="s">
        <v>2686</v>
      </c>
      <c r="Y735" s="6"/>
      <c r="Z735" s="6"/>
      <c r="AA735" s="6"/>
    </row>
    <row r="736" spans="1:27">
      <c r="A736" s="6">
        <v>735</v>
      </c>
      <c r="B736" s="6" t="s">
        <v>2641</v>
      </c>
      <c r="C736" s="7">
        <v>46142</v>
      </c>
      <c r="D736" s="6" t="s">
        <v>933</v>
      </c>
      <c r="E736" s="6" t="s">
        <v>1477</v>
      </c>
      <c r="F736" s="6" t="s">
        <v>2642</v>
      </c>
      <c r="G736" s="6">
        <v>30</v>
      </c>
      <c r="H736" s="6" t="s">
        <v>2693</v>
      </c>
      <c r="I736" s="6" t="s">
        <v>2694</v>
      </c>
      <c r="J736" s="6" t="s">
        <v>2695</v>
      </c>
      <c r="K736" s="6" t="s">
        <v>2695</v>
      </c>
      <c r="L736" s="6">
        <v>11375</v>
      </c>
      <c r="M736" s="6">
        <v>11375</v>
      </c>
      <c r="N736" s="7"/>
      <c r="O736" s="6"/>
      <c r="P736" s="6" t="s">
        <v>52</v>
      </c>
      <c r="Q736" s="6" t="s">
        <v>1403</v>
      </c>
      <c r="R736" s="6">
        <v>11300</v>
      </c>
      <c r="S736" s="6">
        <f t="shared" si="11"/>
        <v>75</v>
      </c>
      <c r="T736" s="7">
        <v>46144</v>
      </c>
      <c r="U736" s="6" t="s">
        <v>2696</v>
      </c>
      <c r="V736" s="6" t="s">
        <v>54</v>
      </c>
      <c r="W736" s="6" t="s">
        <v>2654</v>
      </c>
      <c r="X736" s="6" t="s">
        <v>2654</v>
      </c>
      <c r="Y736" s="6"/>
      <c r="Z736" s="6"/>
      <c r="AA736" s="6"/>
    </row>
    <row r="737" spans="1:27">
      <c r="A737" s="6">
        <v>736</v>
      </c>
      <c r="B737" s="6" t="s">
        <v>2641</v>
      </c>
      <c r="C737" s="7">
        <v>46142</v>
      </c>
      <c r="D737" s="6" t="s">
        <v>933</v>
      </c>
      <c r="E737" s="6" t="s">
        <v>1477</v>
      </c>
      <c r="F737" s="6" t="s">
        <v>2642</v>
      </c>
      <c r="G737" s="6">
        <v>30</v>
      </c>
      <c r="H737" s="6" t="s">
        <v>2697</v>
      </c>
      <c r="I737" s="6" t="s">
        <v>2698</v>
      </c>
      <c r="J737" s="6" t="s">
        <v>2699</v>
      </c>
      <c r="K737" s="6" t="s">
        <v>2699</v>
      </c>
      <c r="L737" s="6">
        <v>7807.84</v>
      </c>
      <c r="M737" s="6">
        <v>7807.84</v>
      </c>
      <c r="N737" s="7"/>
      <c r="O737" s="6"/>
      <c r="P737" s="6"/>
      <c r="Q737" s="6" t="s">
        <v>1403</v>
      </c>
      <c r="R737" s="6"/>
      <c r="S737" s="6">
        <f t="shared" si="11"/>
        <v>7807.84</v>
      </c>
      <c r="T737" s="7"/>
      <c r="U737" s="6"/>
      <c r="V737" s="6"/>
      <c r="W737" s="6" t="s">
        <v>2654</v>
      </c>
      <c r="X737" s="6" t="s">
        <v>2654</v>
      </c>
      <c r="Y737" s="6"/>
      <c r="Z737" s="6"/>
      <c r="AA737" s="6"/>
    </row>
    <row r="738" spans="1:27">
      <c r="A738" s="6">
        <v>737</v>
      </c>
      <c r="B738" s="6" t="s">
        <v>1403</v>
      </c>
      <c r="C738" s="7">
        <v>46142</v>
      </c>
      <c r="D738" s="6" t="s">
        <v>933</v>
      </c>
      <c r="E738" s="6" t="s">
        <v>1477</v>
      </c>
      <c r="F738" s="6" t="s">
        <v>2642</v>
      </c>
      <c r="G738" s="6">
        <v>30</v>
      </c>
      <c r="H738" s="6" t="s">
        <v>2700</v>
      </c>
      <c r="I738" s="6" t="s">
        <v>2701</v>
      </c>
      <c r="J738" s="6" t="s">
        <v>2702</v>
      </c>
      <c r="K738" s="6" t="s">
        <v>2702</v>
      </c>
      <c r="L738" s="6">
        <v>1670.37</v>
      </c>
      <c r="M738" s="6">
        <v>1670.37</v>
      </c>
      <c r="N738" s="7"/>
      <c r="O738" s="6"/>
      <c r="P738" s="6"/>
      <c r="Q738" s="6" t="s">
        <v>1403</v>
      </c>
      <c r="R738" s="6"/>
      <c r="S738" s="6">
        <f t="shared" si="11"/>
        <v>1670.37</v>
      </c>
      <c r="T738" s="7"/>
      <c r="U738" s="6"/>
      <c r="V738" s="6"/>
      <c r="W738" s="6" t="s">
        <v>2703</v>
      </c>
      <c r="X738" s="6" t="s">
        <v>2703</v>
      </c>
      <c r="Y738" s="6"/>
      <c r="Z738" s="6"/>
      <c r="AA738" s="6"/>
    </row>
    <row r="739" spans="1:27">
      <c r="A739" s="6">
        <v>738</v>
      </c>
      <c r="B739" s="6" t="s">
        <v>1403</v>
      </c>
      <c r="C739" s="7">
        <v>46142</v>
      </c>
      <c r="D739" s="6" t="s">
        <v>933</v>
      </c>
      <c r="E739" s="6" t="s">
        <v>1477</v>
      </c>
      <c r="F739" s="6" t="s">
        <v>2642</v>
      </c>
      <c r="G739" s="6">
        <v>30</v>
      </c>
      <c r="H739" s="6" t="s">
        <v>2704</v>
      </c>
      <c r="I739" s="6" t="s">
        <v>2705</v>
      </c>
      <c r="J739" s="6" t="s">
        <v>2706</v>
      </c>
      <c r="K739" s="6" t="s">
        <v>2706</v>
      </c>
      <c r="L739" s="6">
        <v>970</v>
      </c>
      <c r="M739" s="6">
        <v>970</v>
      </c>
      <c r="N739" s="7"/>
      <c r="O739" s="6"/>
      <c r="P739" s="6"/>
      <c r="Q739" s="6" t="s">
        <v>1403</v>
      </c>
      <c r="R739" s="6"/>
      <c r="S739" s="6">
        <f t="shared" si="11"/>
        <v>970</v>
      </c>
      <c r="T739" s="7"/>
      <c r="U739" s="6"/>
      <c r="V739" s="6"/>
      <c r="W739" s="6" t="s">
        <v>2703</v>
      </c>
      <c r="X739" s="6" t="s">
        <v>2703</v>
      </c>
      <c r="Y739" s="6"/>
      <c r="Z739" s="6"/>
      <c r="AA739" s="6"/>
    </row>
    <row r="740" spans="1:27">
      <c r="A740" s="6">
        <v>739</v>
      </c>
      <c r="B740" s="6" t="s">
        <v>2641</v>
      </c>
      <c r="C740" s="7">
        <v>46142</v>
      </c>
      <c r="D740" s="6" t="s">
        <v>933</v>
      </c>
      <c r="E740" s="6" t="s">
        <v>1477</v>
      </c>
      <c r="F740" s="6" t="s">
        <v>2642</v>
      </c>
      <c r="G740" s="6">
        <v>30</v>
      </c>
      <c r="H740" s="6" t="s">
        <v>2707</v>
      </c>
      <c r="I740" s="6" t="s">
        <v>2708</v>
      </c>
      <c r="J740" s="6" t="s">
        <v>2709</v>
      </c>
      <c r="K740" s="6" t="s">
        <v>2709</v>
      </c>
      <c r="L740" s="6">
        <v>19500</v>
      </c>
      <c r="M740" s="6">
        <v>19500</v>
      </c>
      <c r="N740" s="7"/>
      <c r="O740" s="6"/>
      <c r="P740" s="6" t="s">
        <v>52</v>
      </c>
      <c r="Q740" s="6" t="s">
        <v>1403</v>
      </c>
      <c r="R740" s="6">
        <v>19500</v>
      </c>
      <c r="S740" s="6">
        <f t="shared" si="11"/>
        <v>0</v>
      </c>
      <c r="T740" s="7">
        <v>46149</v>
      </c>
      <c r="U740" s="6" t="s">
        <v>2710</v>
      </c>
      <c r="V740" s="6" t="s">
        <v>54</v>
      </c>
      <c r="W740" s="6" t="s">
        <v>2711</v>
      </c>
      <c r="X740" s="6" t="s">
        <v>2711</v>
      </c>
      <c r="Y740" s="6"/>
      <c r="Z740" s="6"/>
      <c r="AA740" s="6"/>
    </row>
    <row r="741" spans="1:27">
      <c r="A741" s="6">
        <v>740</v>
      </c>
      <c r="B741" s="6"/>
      <c r="C741" s="7">
        <v>46144</v>
      </c>
      <c r="D741" s="6" t="s">
        <v>28</v>
      </c>
      <c r="E741" s="6" t="s">
        <v>2712</v>
      </c>
      <c r="F741" s="6" t="s">
        <v>30</v>
      </c>
      <c r="G741" s="6">
        <v>12</v>
      </c>
      <c r="H741" s="6" t="s">
        <v>216</v>
      </c>
      <c r="I741" s="6" t="s">
        <v>1487</v>
      </c>
      <c r="J741" s="6" t="s">
        <v>217</v>
      </c>
      <c r="K741" s="6" t="s">
        <v>218</v>
      </c>
      <c r="L741" s="6">
        <v>22082.2</v>
      </c>
      <c r="M741" s="6">
        <v>22082.2</v>
      </c>
      <c r="N741" s="7" t="s">
        <v>35</v>
      </c>
      <c r="O741" s="6" t="s">
        <v>35</v>
      </c>
      <c r="P741" s="6" t="s">
        <v>35</v>
      </c>
      <c r="Q741" s="6" t="s">
        <v>36</v>
      </c>
      <c r="R741" s="6"/>
      <c r="S741" s="6">
        <f t="shared" si="11"/>
        <v>22082.2</v>
      </c>
      <c r="T741" s="7"/>
      <c r="U741" s="6"/>
      <c r="V741" s="6"/>
      <c r="W741" s="6" t="s">
        <v>444</v>
      </c>
      <c r="X741" s="6" t="s">
        <v>1403</v>
      </c>
      <c r="Y741" s="6" t="s">
        <v>2713</v>
      </c>
      <c r="Z741" s="6" t="s">
        <v>1336</v>
      </c>
      <c r="AA741" s="6" t="s">
        <v>40</v>
      </c>
    </row>
    <row r="742" spans="1:27">
      <c r="A742" s="6">
        <v>741</v>
      </c>
      <c r="B742" s="6"/>
      <c r="C742" s="7">
        <v>46144</v>
      </c>
      <c r="D742" s="6" t="s">
        <v>28</v>
      </c>
      <c r="E742" s="6" t="s">
        <v>2712</v>
      </c>
      <c r="F742" s="6" t="s">
        <v>30</v>
      </c>
      <c r="G742" s="6">
        <v>12</v>
      </c>
      <c r="H742" s="6" t="s">
        <v>220</v>
      </c>
      <c r="I742" s="6" t="s">
        <v>1484</v>
      </c>
      <c r="J742" s="6" t="s">
        <v>2714</v>
      </c>
      <c r="K742" s="6"/>
      <c r="L742" s="6">
        <v>13591.52</v>
      </c>
      <c r="M742" s="6">
        <v>13591.52</v>
      </c>
      <c r="N742" s="7" t="s">
        <v>35</v>
      </c>
      <c r="O742" s="6" t="s">
        <v>35</v>
      </c>
      <c r="P742" s="6" t="s">
        <v>35</v>
      </c>
      <c r="Q742" s="6" t="s">
        <v>36</v>
      </c>
      <c r="R742" s="6"/>
      <c r="S742" s="6">
        <f t="shared" si="11"/>
        <v>13591.52</v>
      </c>
      <c r="T742" s="7"/>
      <c r="U742" s="6"/>
      <c r="V742" s="6"/>
      <c r="W742" s="6" t="s">
        <v>69</v>
      </c>
      <c r="X742" s="6" t="s">
        <v>2715</v>
      </c>
      <c r="Y742" s="6" t="s">
        <v>2716</v>
      </c>
      <c r="Z742" s="6" t="s">
        <v>1486</v>
      </c>
      <c r="AA742" s="6" t="s">
        <v>40</v>
      </c>
    </row>
    <row r="743" spans="1:27">
      <c r="A743" s="6">
        <v>742</v>
      </c>
      <c r="B743" s="6"/>
      <c r="C743" s="7">
        <v>46144</v>
      </c>
      <c r="D743" s="6" t="s">
        <v>28</v>
      </c>
      <c r="E743" s="6" t="s">
        <v>2712</v>
      </c>
      <c r="F743" s="6" t="s">
        <v>30</v>
      </c>
      <c r="G743" s="6">
        <v>12</v>
      </c>
      <c r="H743" s="6" t="s">
        <v>2717</v>
      </c>
      <c r="I743" s="6" t="s">
        <v>654</v>
      </c>
      <c r="J743" s="6" t="s">
        <v>2718</v>
      </c>
      <c r="K743" s="6"/>
      <c r="L743" s="6">
        <v>12386.27</v>
      </c>
      <c r="M743" s="6">
        <v>12386.27</v>
      </c>
      <c r="N743" s="7" t="s">
        <v>35</v>
      </c>
      <c r="O743" s="6" t="s">
        <v>35</v>
      </c>
      <c r="P743" s="6" t="s">
        <v>35</v>
      </c>
      <c r="Q743" s="6" t="s">
        <v>36</v>
      </c>
      <c r="R743" s="6"/>
      <c r="S743" s="6">
        <f t="shared" si="11"/>
        <v>12386.27</v>
      </c>
      <c r="T743" s="7"/>
      <c r="U743" s="6"/>
      <c r="V743" s="6"/>
      <c r="W743" s="6" t="s">
        <v>103</v>
      </c>
      <c r="X743" s="6"/>
      <c r="Y743" s="6" t="s">
        <v>2719</v>
      </c>
      <c r="Z743" s="6" t="s">
        <v>1539</v>
      </c>
      <c r="AA743" s="6" t="s">
        <v>40</v>
      </c>
    </row>
    <row r="744" spans="1:27">
      <c r="A744" s="6">
        <v>743</v>
      </c>
      <c r="B744" s="6"/>
      <c r="C744" s="7">
        <v>46144</v>
      </c>
      <c r="D744" s="6" t="s">
        <v>28</v>
      </c>
      <c r="E744" s="6" t="s">
        <v>2712</v>
      </c>
      <c r="F744" s="6" t="s">
        <v>30</v>
      </c>
      <c r="G744" s="6">
        <v>12</v>
      </c>
      <c r="H744" s="6" t="s">
        <v>207</v>
      </c>
      <c r="I744" s="6" t="s">
        <v>1490</v>
      </c>
      <c r="J744" s="6" t="s">
        <v>208</v>
      </c>
      <c r="K744" s="6" t="s">
        <v>209</v>
      </c>
      <c r="L744" s="6">
        <v>15803.4</v>
      </c>
      <c r="M744" s="6">
        <v>15803.4</v>
      </c>
      <c r="N744" s="7">
        <v>46145</v>
      </c>
      <c r="O744" s="6" t="s">
        <v>2720</v>
      </c>
      <c r="P744" s="6" t="s">
        <v>52</v>
      </c>
      <c r="Q744" s="6" t="s">
        <v>36</v>
      </c>
      <c r="R744" s="6">
        <f>5000+2000+2000+2000+1640</f>
        <v>12640</v>
      </c>
      <c r="S744" s="6">
        <f t="shared" si="11"/>
        <v>3163.3999999999996</v>
      </c>
      <c r="T744" s="7">
        <v>46145</v>
      </c>
      <c r="U744" s="6" t="s">
        <v>2721</v>
      </c>
      <c r="V744" s="6"/>
      <c r="W744" s="6" t="s">
        <v>2720</v>
      </c>
      <c r="X744" s="6"/>
      <c r="Y744" s="6" t="s">
        <v>2722</v>
      </c>
      <c r="Z744" s="6" t="s">
        <v>235</v>
      </c>
      <c r="AA744" s="6" t="s">
        <v>40</v>
      </c>
    </row>
    <row r="745" spans="1:27">
      <c r="A745" s="6">
        <v>744</v>
      </c>
      <c r="B745" s="6"/>
      <c r="C745" s="7">
        <v>46144</v>
      </c>
      <c r="D745" s="6" t="s">
        <v>28</v>
      </c>
      <c r="E745" s="6" t="s">
        <v>2712</v>
      </c>
      <c r="F745" s="6" t="s">
        <v>30</v>
      </c>
      <c r="G745" s="6">
        <v>12</v>
      </c>
      <c r="H745" s="6" t="s">
        <v>202</v>
      </c>
      <c r="I745" s="6" t="s">
        <v>203</v>
      </c>
      <c r="J745" s="6" t="s">
        <v>204</v>
      </c>
      <c r="K745" s="6" t="s">
        <v>205</v>
      </c>
      <c r="L745" s="6">
        <v>14894.98</v>
      </c>
      <c r="M745" s="6">
        <v>14894.98</v>
      </c>
      <c r="N745" s="7" t="s">
        <v>35</v>
      </c>
      <c r="O745" s="6" t="s">
        <v>35</v>
      </c>
      <c r="P745" s="6" t="s">
        <v>35</v>
      </c>
      <c r="Q745" s="6" t="s">
        <v>36</v>
      </c>
      <c r="R745" s="6"/>
      <c r="S745" s="6">
        <f t="shared" si="11"/>
        <v>14894.98</v>
      </c>
      <c r="T745" s="7"/>
      <c r="U745" s="6"/>
      <c r="V745" s="6"/>
      <c r="W745" s="6" t="s">
        <v>103</v>
      </c>
      <c r="X745" s="6"/>
      <c r="Y745" s="6" t="s">
        <v>2723</v>
      </c>
      <c r="Z745" s="6" t="s">
        <v>235</v>
      </c>
      <c r="AA745" s="6" t="s">
        <v>40</v>
      </c>
    </row>
    <row r="746" spans="1:27">
      <c r="A746" s="6">
        <v>745</v>
      </c>
      <c r="B746" s="6"/>
      <c r="C746" s="7">
        <v>46144</v>
      </c>
      <c r="D746" s="6" t="s">
        <v>28</v>
      </c>
      <c r="E746" s="6" t="s">
        <v>2712</v>
      </c>
      <c r="F746" s="6" t="s">
        <v>30</v>
      </c>
      <c r="G746" s="6">
        <v>12</v>
      </c>
      <c r="H746" s="6" t="s">
        <v>197</v>
      </c>
      <c r="I746" s="6" t="s">
        <v>1501</v>
      </c>
      <c r="J746" s="6" t="s">
        <v>198</v>
      </c>
      <c r="K746" s="6" t="s">
        <v>199</v>
      </c>
      <c r="L746" s="6">
        <v>13720.18</v>
      </c>
      <c r="M746" s="6">
        <v>13720.18</v>
      </c>
      <c r="N746" s="7" t="s">
        <v>35</v>
      </c>
      <c r="O746" s="6" t="s">
        <v>35</v>
      </c>
      <c r="P746" s="6" t="s">
        <v>35</v>
      </c>
      <c r="Q746" s="6" t="s">
        <v>36</v>
      </c>
      <c r="R746" s="6"/>
      <c r="S746" s="6">
        <f t="shared" si="11"/>
        <v>13720.18</v>
      </c>
      <c r="T746" s="7"/>
      <c r="U746" s="6"/>
      <c r="V746" s="6"/>
      <c r="W746" s="6" t="s">
        <v>82</v>
      </c>
      <c r="X746" s="6"/>
      <c r="Y746" s="6" t="s">
        <v>2724</v>
      </c>
      <c r="Z746" s="6" t="s">
        <v>1577</v>
      </c>
      <c r="AA746" s="6" t="s">
        <v>40</v>
      </c>
    </row>
    <row r="747" spans="1:27">
      <c r="A747" s="6">
        <v>746</v>
      </c>
      <c r="B747" s="6"/>
      <c r="C747" s="7">
        <v>46144</v>
      </c>
      <c r="D747" s="6" t="s">
        <v>28</v>
      </c>
      <c r="E747" s="6" t="s">
        <v>2712</v>
      </c>
      <c r="F747" s="6" t="s">
        <v>30</v>
      </c>
      <c r="G747" s="6">
        <v>12</v>
      </c>
      <c r="H747" s="6" t="s">
        <v>2725</v>
      </c>
      <c r="I747" s="6" t="s">
        <v>2726</v>
      </c>
      <c r="J747" s="6" t="s">
        <v>2727</v>
      </c>
      <c r="K747" s="6" t="s">
        <v>2728</v>
      </c>
      <c r="L747" s="6">
        <v>17576.150000000001</v>
      </c>
      <c r="M747" s="6">
        <v>17576.150000000001</v>
      </c>
      <c r="N747" s="7" t="s">
        <v>35</v>
      </c>
      <c r="O747" s="6" t="s">
        <v>35</v>
      </c>
      <c r="P747" s="6" t="s">
        <v>35</v>
      </c>
      <c r="Q747" s="6" t="s">
        <v>36</v>
      </c>
      <c r="R747" s="6"/>
      <c r="S747" s="6">
        <f t="shared" si="11"/>
        <v>17576.150000000001</v>
      </c>
      <c r="T747" s="7"/>
      <c r="U747" s="6"/>
      <c r="V747" s="6"/>
      <c r="W747" s="6" t="s">
        <v>69</v>
      </c>
      <c r="X747" s="6" t="s">
        <v>2715</v>
      </c>
      <c r="Y747" s="6" t="s">
        <v>2729</v>
      </c>
      <c r="Z747" s="6" t="s">
        <v>1486</v>
      </c>
      <c r="AA747" s="6" t="s">
        <v>40</v>
      </c>
    </row>
    <row r="748" spans="1:27">
      <c r="A748" s="6">
        <v>747</v>
      </c>
      <c r="B748" s="6"/>
      <c r="C748" s="7">
        <v>46144</v>
      </c>
      <c r="D748" s="6" t="s">
        <v>28</v>
      </c>
      <c r="E748" s="6" t="s">
        <v>2712</v>
      </c>
      <c r="F748" s="6" t="s">
        <v>30</v>
      </c>
      <c r="G748" s="6">
        <v>12</v>
      </c>
      <c r="H748" s="6" t="s">
        <v>1507</v>
      </c>
      <c r="I748" s="6" t="s">
        <v>1508</v>
      </c>
      <c r="J748" s="6" t="s">
        <v>1509</v>
      </c>
      <c r="K748" s="6" t="s">
        <v>1510</v>
      </c>
      <c r="L748" s="6">
        <v>13056.49</v>
      </c>
      <c r="M748" s="6">
        <v>13056.49</v>
      </c>
      <c r="N748" s="7" t="s">
        <v>35</v>
      </c>
      <c r="O748" s="6" t="s">
        <v>35</v>
      </c>
      <c r="P748" s="6" t="s">
        <v>35</v>
      </c>
      <c r="Q748" s="6" t="s">
        <v>36</v>
      </c>
      <c r="R748" s="6"/>
      <c r="S748" s="6">
        <f t="shared" si="11"/>
        <v>13056.49</v>
      </c>
      <c r="T748" s="7"/>
      <c r="U748" s="6"/>
      <c r="V748" s="6"/>
      <c r="W748" s="6" t="s">
        <v>69</v>
      </c>
      <c r="X748" s="6" t="s">
        <v>2715</v>
      </c>
      <c r="Y748" s="6" t="s">
        <v>2730</v>
      </c>
      <c r="Z748" s="6" t="s">
        <v>1486</v>
      </c>
      <c r="AA748" s="6" t="s">
        <v>40</v>
      </c>
    </row>
    <row r="749" spans="1:27">
      <c r="A749" s="6">
        <v>748</v>
      </c>
      <c r="B749" s="6"/>
      <c r="C749" s="7">
        <v>46144</v>
      </c>
      <c r="D749" s="6" t="s">
        <v>28</v>
      </c>
      <c r="E749" s="6" t="s">
        <v>2712</v>
      </c>
      <c r="F749" s="6" t="s">
        <v>30</v>
      </c>
      <c r="G749" s="6">
        <v>12</v>
      </c>
      <c r="H749" s="6" t="s">
        <v>1622</v>
      </c>
      <c r="I749" s="6" t="s">
        <v>1623</v>
      </c>
      <c r="J749" s="6" t="s">
        <v>2731</v>
      </c>
      <c r="K749" s="6" t="s">
        <v>2732</v>
      </c>
      <c r="L749" s="6">
        <v>13366.55</v>
      </c>
      <c r="M749" s="6">
        <v>13366.55</v>
      </c>
      <c r="N749" s="7" t="s">
        <v>35</v>
      </c>
      <c r="O749" s="6" t="s">
        <v>35</v>
      </c>
      <c r="P749" s="6" t="s">
        <v>35</v>
      </c>
      <c r="Q749" s="6" t="s">
        <v>36</v>
      </c>
      <c r="R749" s="6"/>
      <c r="S749" s="6">
        <f t="shared" si="11"/>
        <v>13366.55</v>
      </c>
      <c r="T749" s="7"/>
      <c r="U749" s="6"/>
      <c r="V749" s="6"/>
      <c r="W749" s="6" t="s">
        <v>117</v>
      </c>
      <c r="X749" s="6" t="s">
        <v>2733</v>
      </c>
      <c r="Y749" s="6" t="s">
        <v>2734</v>
      </c>
      <c r="Z749" s="6" t="s">
        <v>1500</v>
      </c>
      <c r="AA749" s="6" t="s">
        <v>40</v>
      </c>
    </row>
    <row r="750" spans="1:27">
      <c r="A750" s="6">
        <v>749</v>
      </c>
      <c r="B750" s="6"/>
      <c r="C750" s="7">
        <v>46144</v>
      </c>
      <c r="D750" s="6" t="s">
        <v>28</v>
      </c>
      <c r="E750" s="6" t="s">
        <v>2712</v>
      </c>
      <c r="F750" s="6" t="s">
        <v>30</v>
      </c>
      <c r="G750" s="6">
        <v>12</v>
      </c>
      <c r="H750" s="6" t="s">
        <v>1528</v>
      </c>
      <c r="I750" s="6" t="s">
        <v>1529</v>
      </c>
      <c r="J750" s="6" t="s">
        <v>1530</v>
      </c>
      <c r="K750" s="6" t="s">
        <v>1531</v>
      </c>
      <c r="L750" s="6">
        <v>12096.62</v>
      </c>
      <c r="M750" s="6">
        <v>12096.62</v>
      </c>
      <c r="N750" s="7" t="s">
        <v>35</v>
      </c>
      <c r="O750" s="6" t="s">
        <v>35</v>
      </c>
      <c r="P750" s="6" t="s">
        <v>35</v>
      </c>
      <c r="Q750" s="6" t="s">
        <v>36</v>
      </c>
      <c r="R750" s="6"/>
      <c r="S750" s="6">
        <f t="shared" si="11"/>
        <v>12096.62</v>
      </c>
      <c r="T750" s="7"/>
      <c r="U750" s="6"/>
      <c r="V750" s="6"/>
      <c r="W750" s="6" t="s">
        <v>55</v>
      </c>
      <c r="X750" s="6"/>
      <c r="Y750" s="6" t="s">
        <v>2735</v>
      </c>
      <c r="Z750" s="6" t="s">
        <v>1483</v>
      </c>
      <c r="AA750" s="6" t="s">
        <v>40</v>
      </c>
    </row>
    <row r="751" spans="1:27">
      <c r="A751" s="6">
        <v>750</v>
      </c>
      <c r="B751" s="6"/>
      <c r="C751" s="7">
        <v>46144</v>
      </c>
      <c r="D751" s="6" t="s">
        <v>28</v>
      </c>
      <c r="E751" s="6" t="s">
        <v>2712</v>
      </c>
      <c r="F751" s="6" t="s">
        <v>30</v>
      </c>
      <c r="G751" s="6">
        <v>12</v>
      </c>
      <c r="H751" s="6" t="s">
        <v>1523</v>
      </c>
      <c r="I751" s="6" t="s">
        <v>1524</v>
      </c>
      <c r="J751" s="6" t="s">
        <v>1525</v>
      </c>
      <c r="K751" s="6" t="s">
        <v>1526</v>
      </c>
      <c r="L751" s="6">
        <v>12205.42</v>
      </c>
      <c r="M751" s="6">
        <v>12205.42</v>
      </c>
      <c r="N751" s="7" t="s">
        <v>35</v>
      </c>
      <c r="O751" s="6" t="s">
        <v>35</v>
      </c>
      <c r="P751" s="6" t="s">
        <v>35</v>
      </c>
      <c r="Q751" s="6" t="s">
        <v>36</v>
      </c>
      <c r="R751" s="6"/>
      <c r="S751" s="6">
        <f t="shared" si="11"/>
        <v>12205.42</v>
      </c>
      <c r="T751" s="7"/>
      <c r="U751" s="6"/>
      <c r="V751" s="6"/>
      <c r="W751" s="6" t="s">
        <v>117</v>
      </c>
      <c r="X751" s="6" t="s">
        <v>2733</v>
      </c>
      <c r="Y751" s="6" t="s">
        <v>2736</v>
      </c>
      <c r="Z751" s="6" t="s">
        <v>1500</v>
      </c>
      <c r="AA751" s="6" t="s">
        <v>40</v>
      </c>
    </row>
    <row r="752" spans="1:27">
      <c r="A752" s="6">
        <v>751</v>
      </c>
      <c r="B752" s="6"/>
      <c r="C752" s="7">
        <v>46144</v>
      </c>
      <c r="D752" s="6" t="s">
        <v>28</v>
      </c>
      <c r="E752" s="6" t="s">
        <v>2712</v>
      </c>
      <c r="F752" s="6" t="s">
        <v>30</v>
      </c>
      <c r="G752" s="6">
        <v>12</v>
      </c>
      <c r="H752" s="6" t="s">
        <v>2737</v>
      </c>
      <c r="I752" s="6" t="s">
        <v>2738</v>
      </c>
      <c r="J752" s="6" t="s">
        <v>2739</v>
      </c>
      <c r="K752" s="6" t="s">
        <v>2740</v>
      </c>
      <c r="L752" s="6">
        <v>11560.59</v>
      </c>
      <c r="M752" s="6">
        <v>11560.59</v>
      </c>
      <c r="N752" s="7" t="s">
        <v>35</v>
      </c>
      <c r="O752" s="6" t="s">
        <v>35</v>
      </c>
      <c r="P752" s="6" t="s">
        <v>35</v>
      </c>
      <c r="Q752" s="6" t="s">
        <v>36</v>
      </c>
      <c r="R752" s="6"/>
      <c r="S752" s="6">
        <f t="shared" si="11"/>
        <v>11560.59</v>
      </c>
      <c r="T752" s="7"/>
      <c r="U752" s="6"/>
      <c r="V752" s="6"/>
      <c r="W752" s="6" t="s">
        <v>69</v>
      </c>
      <c r="X752" s="6"/>
      <c r="Y752" s="6" t="s">
        <v>2741</v>
      </c>
      <c r="Z752" s="6" t="s">
        <v>1541</v>
      </c>
      <c r="AA752" s="6" t="s">
        <v>40</v>
      </c>
    </row>
    <row r="753" spans="1:27">
      <c r="A753" s="6">
        <v>752</v>
      </c>
      <c r="B753" s="6"/>
      <c r="C753" s="7">
        <v>46144</v>
      </c>
      <c r="D753" s="6" t="s">
        <v>28</v>
      </c>
      <c r="E753" s="6" t="s">
        <v>2712</v>
      </c>
      <c r="F753" s="6" t="s">
        <v>30</v>
      </c>
      <c r="G753" s="6">
        <v>12</v>
      </c>
      <c r="H753" s="6" t="s">
        <v>179</v>
      </c>
      <c r="I753" s="6" t="s">
        <v>180</v>
      </c>
      <c r="J753" s="6" t="s">
        <v>181</v>
      </c>
      <c r="K753" s="6" t="s">
        <v>182</v>
      </c>
      <c r="L753" s="6">
        <v>11419.61</v>
      </c>
      <c r="M753" s="6">
        <v>11419.61</v>
      </c>
      <c r="N753" s="7" t="s">
        <v>35</v>
      </c>
      <c r="O753" s="6" t="s">
        <v>35</v>
      </c>
      <c r="P753" s="6" t="s">
        <v>35</v>
      </c>
      <c r="Q753" s="6" t="s">
        <v>36</v>
      </c>
      <c r="R753" s="6"/>
      <c r="S753" s="6">
        <f t="shared" si="11"/>
        <v>11419.61</v>
      </c>
      <c r="T753" s="7"/>
      <c r="U753" s="6"/>
      <c r="V753" s="6"/>
      <c r="W753" s="6" t="s">
        <v>117</v>
      </c>
      <c r="X753" s="6" t="s">
        <v>2733</v>
      </c>
      <c r="Y753" s="6" t="s">
        <v>2742</v>
      </c>
      <c r="Z753" s="6" t="s">
        <v>1500</v>
      </c>
      <c r="AA753" s="6" t="s">
        <v>40</v>
      </c>
    </row>
    <row r="754" spans="1:27">
      <c r="A754" s="6">
        <v>753</v>
      </c>
      <c r="B754" s="6"/>
      <c r="C754" s="7">
        <v>46144</v>
      </c>
      <c r="D754" s="6" t="s">
        <v>28</v>
      </c>
      <c r="E754" s="6" t="s">
        <v>2712</v>
      </c>
      <c r="F754" s="6" t="s">
        <v>30</v>
      </c>
      <c r="G754" s="6">
        <v>12</v>
      </c>
      <c r="H754" s="6" t="s">
        <v>167</v>
      </c>
      <c r="I754" s="6" t="s">
        <v>168</v>
      </c>
      <c r="J754" s="6" t="s">
        <v>2743</v>
      </c>
      <c r="K754" s="6"/>
      <c r="L754" s="6">
        <v>9250.48</v>
      </c>
      <c r="M754" s="6">
        <v>9250.48</v>
      </c>
      <c r="N754" s="7" t="s">
        <v>35</v>
      </c>
      <c r="O754" s="6" t="s">
        <v>35</v>
      </c>
      <c r="P754" s="6" t="s">
        <v>35</v>
      </c>
      <c r="Q754" s="6" t="s">
        <v>36</v>
      </c>
      <c r="R754" s="6"/>
      <c r="S754" s="6">
        <f t="shared" si="11"/>
        <v>9250.48</v>
      </c>
      <c r="T754" s="7"/>
      <c r="U754" s="6"/>
      <c r="V754" s="6"/>
      <c r="W754" s="6" t="s">
        <v>410</v>
      </c>
      <c r="X754" s="6"/>
      <c r="Y754" s="6" t="s">
        <v>2744</v>
      </c>
      <c r="Z754" s="6" t="s">
        <v>1539</v>
      </c>
      <c r="AA754" s="6" t="s">
        <v>40</v>
      </c>
    </row>
    <row r="755" spans="1:27">
      <c r="A755" s="6">
        <v>754</v>
      </c>
      <c r="B755" s="6"/>
      <c r="C755" s="7">
        <v>46144</v>
      </c>
      <c r="D755" s="6" t="s">
        <v>28</v>
      </c>
      <c r="E755" s="6" t="s">
        <v>2712</v>
      </c>
      <c r="F755" s="6" t="s">
        <v>30</v>
      </c>
      <c r="G755" s="6">
        <v>12</v>
      </c>
      <c r="H755" s="6" t="s">
        <v>191</v>
      </c>
      <c r="I755" s="6" t="s">
        <v>192</v>
      </c>
      <c r="J755" s="6" t="s">
        <v>193</v>
      </c>
      <c r="K755" s="6" t="s">
        <v>194</v>
      </c>
      <c r="L755" s="6">
        <v>10780.33</v>
      </c>
      <c r="M755" s="6">
        <v>10780.33</v>
      </c>
      <c r="N755" s="7" t="s">
        <v>35</v>
      </c>
      <c r="O755" s="6" t="s">
        <v>35</v>
      </c>
      <c r="P755" s="6" t="s">
        <v>35</v>
      </c>
      <c r="Q755" s="6" t="s">
        <v>36</v>
      </c>
      <c r="R755" s="6"/>
      <c r="S755" s="6">
        <f t="shared" si="11"/>
        <v>10780.33</v>
      </c>
      <c r="T755" s="7"/>
      <c r="U755" s="6"/>
      <c r="V755" s="6"/>
      <c r="W755" s="6" t="s">
        <v>69</v>
      </c>
      <c r="X755" s="6"/>
      <c r="Y755" s="6" t="s">
        <v>2745</v>
      </c>
      <c r="Z755" s="6" t="s">
        <v>1541</v>
      </c>
      <c r="AA755" s="6" t="s">
        <v>40</v>
      </c>
    </row>
    <row r="756" spans="1:27">
      <c r="A756" s="6">
        <v>755</v>
      </c>
      <c r="B756" s="6"/>
      <c r="C756" s="7">
        <v>46144</v>
      </c>
      <c r="D756" s="6" t="s">
        <v>28</v>
      </c>
      <c r="E756" s="6" t="s">
        <v>2712</v>
      </c>
      <c r="F756" s="6" t="s">
        <v>30</v>
      </c>
      <c r="G756" s="6">
        <v>12</v>
      </c>
      <c r="H756" s="6" t="s">
        <v>2746</v>
      </c>
      <c r="I756" s="6" t="s">
        <v>2747</v>
      </c>
      <c r="J756" s="6" t="s">
        <v>2748</v>
      </c>
      <c r="K756" s="6"/>
      <c r="L756" s="6">
        <v>11356.74</v>
      </c>
      <c r="M756" s="6">
        <v>11356.74</v>
      </c>
      <c r="N756" s="7" t="s">
        <v>35</v>
      </c>
      <c r="O756" s="6" t="s">
        <v>35</v>
      </c>
      <c r="P756" s="6" t="s">
        <v>35</v>
      </c>
      <c r="Q756" s="6" t="s">
        <v>36</v>
      </c>
      <c r="R756" s="6"/>
      <c r="S756" s="6">
        <f t="shared" si="11"/>
        <v>11356.74</v>
      </c>
      <c r="T756" s="7"/>
      <c r="U756" s="6"/>
      <c r="V756" s="6"/>
      <c r="W756" s="6" t="s">
        <v>2720</v>
      </c>
      <c r="X756" s="6"/>
      <c r="Y756" s="6" t="s">
        <v>2749</v>
      </c>
      <c r="Z756" s="6" t="s">
        <v>235</v>
      </c>
      <c r="AA756" s="6" t="s">
        <v>40</v>
      </c>
    </row>
    <row r="757" spans="1:27">
      <c r="A757" s="6">
        <v>756</v>
      </c>
      <c r="B757" s="6"/>
      <c r="C757" s="7">
        <v>46144</v>
      </c>
      <c r="D757" s="6" t="s">
        <v>28</v>
      </c>
      <c r="E757" s="6" t="s">
        <v>2712</v>
      </c>
      <c r="F757" s="6" t="s">
        <v>30</v>
      </c>
      <c r="G757" s="6">
        <v>12</v>
      </c>
      <c r="H757" s="6" t="s">
        <v>1561</v>
      </c>
      <c r="I757" s="6" t="s">
        <v>1562</v>
      </c>
      <c r="J757" s="6" t="s">
        <v>1563</v>
      </c>
      <c r="K757" s="6" t="s">
        <v>1564</v>
      </c>
      <c r="L757" s="6">
        <v>8648.9599999999991</v>
      </c>
      <c r="M757" s="6">
        <v>8648.9599999999991</v>
      </c>
      <c r="N757" s="7" t="s">
        <v>35</v>
      </c>
      <c r="O757" s="6" t="s">
        <v>35</v>
      </c>
      <c r="P757" s="6" t="s">
        <v>35</v>
      </c>
      <c r="Q757" s="6" t="s">
        <v>36</v>
      </c>
      <c r="R757" s="6"/>
      <c r="S757" s="6">
        <f t="shared" si="11"/>
        <v>8648.9599999999991</v>
      </c>
      <c r="T757" s="7"/>
      <c r="U757" s="6"/>
      <c r="V757" s="6"/>
      <c r="W757" s="6" t="s">
        <v>103</v>
      </c>
      <c r="X757" s="6" t="s">
        <v>698</v>
      </c>
      <c r="Y757" s="6" t="s">
        <v>2750</v>
      </c>
      <c r="Z757" s="6" t="s">
        <v>235</v>
      </c>
      <c r="AA757" s="6" t="s">
        <v>40</v>
      </c>
    </row>
    <row r="758" spans="1:27">
      <c r="A758" s="6">
        <v>757</v>
      </c>
      <c r="B758" s="6"/>
      <c r="C758" s="7">
        <v>46144</v>
      </c>
      <c r="D758" s="6" t="s">
        <v>28</v>
      </c>
      <c r="E758" s="6" t="s">
        <v>2712</v>
      </c>
      <c r="F758" s="6" t="s">
        <v>30</v>
      </c>
      <c r="G758" s="6">
        <v>12</v>
      </c>
      <c r="H758" s="6" t="s">
        <v>2751</v>
      </c>
      <c r="I758" s="6" t="s">
        <v>2752</v>
      </c>
      <c r="J758" s="6" t="s">
        <v>2753</v>
      </c>
      <c r="K758" s="6" t="s">
        <v>2754</v>
      </c>
      <c r="L758" s="6">
        <v>5703.64</v>
      </c>
      <c r="M758" s="6">
        <v>5703.64</v>
      </c>
      <c r="N758" s="7" t="s">
        <v>35</v>
      </c>
      <c r="O758" s="6" t="s">
        <v>35</v>
      </c>
      <c r="P758" s="6" t="s">
        <v>35</v>
      </c>
      <c r="Q758" s="6" t="s">
        <v>36</v>
      </c>
      <c r="R758" s="6"/>
      <c r="S758" s="6">
        <f t="shared" si="11"/>
        <v>5703.64</v>
      </c>
      <c r="T758" s="7"/>
      <c r="U758" s="6"/>
      <c r="V758" s="6"/>
      <c r="W758" s="6" t="s">
        <v>410</v>
      </c>
      <c r="X758" s="6"/>
      <c r="Y758" s="6" t="s">
        <v>2755</v>
      </c>
      <c r="Z758" s="6" t="s">
        <v>235</v>
      </c>
      <c r="AA758" s="6" t="s">
        <v>40</v>
      </c>
    </row>
    <row r="759" spans="1:27">
      <c r="A759" s="6">
        <v>758</v>
      </c>
      <c r="B759" s="6"/>
      <c r="C759" s="7">
        <v>46144</v>
      </c>
      <c r="D759" s="6" t="s">
        <v>28</v>
      </c>
      <c r="E759" s="6" t="s">
        <v>2712</v>
      </c>
      <c r="F759" s="6" t="s">
        <v>30</v>
      </c>
      <c r="G759" s="6">
        <v>12</v>
      </c>
      <c r="H759" s="6" t="s">
        <v>2756</v>
      </c>
      <c r="I759" s="6" t="s">
        <v>2757</v>
      </c>
      <c r="J759" s="6" t="s">
        <v>2758</v>
      </c>
      <c r="K759" s="6"/>
      <c r="L759" s="6">
        <v>8572.82</v>
      </c>
      <c r="M759" s="6">
        <v>8572.82</v>
      </c>
      <c r="N759" s="7" t="s">
        <v>35</v>
      </c>
      <c r="O759" s="6" t="s">
        <v>35</v>
      </c>
      <c r="P759" s="6" t="s">
        <v>35</v>
      </c>
      <c r="Q759" s="6" t="s">
        <v>36</v>
      </c>
      <c r="R759" s="6"/>
      <c r="S759" s="6">
        <f t="shared" si="11"/>
        <v>8572.82</v>
      </c>
      <c r="T759" s="7"/>
      <c r="U759" s="6"/>
      <c r="V759" s="6"/>
      <c r="W759" s="6" t="s">
        <v>37</v>
      </c>
      <c r="X759" s="6" t="s">
        <v>1403</v>
      </c>
      <c r="Y759" s="6" t="s">
        <v>2759</v>
      </c>
      <c r="Z759" s="6" t="s">
        <v>1336</v>
      </c>
      <c r="AA759" s="6" t="s">
        <v>40</v>
      </c>
    </row>
    <row r="760" spans="1:27">
      <c r="A760" s="6">
        <v>759</v>
      </c>
      <c r="B760" s="6"/>
      <c r="C760" s="7">
        <v>46144</v>
      </c>
      <c r="D760" s="6" t="s">
        <v>28</v>
      </c>
      <c r="E760" s="6" t="s">
        <v>2712</v>
      </c>
      <c r="F760" s="6" t="s">
        <v>30</v>
      </c>
      <c r="G760" s="6">
        <v>12</v>
      </c>
      <c r="H760" s="6" t="s">
        <v>2760</v>
      </c>
      <c r="I760" s="6" t="s">
        <v>2761</v>
      </c>
      <c r="J760" s="6" t="s">
        <v>2762</v>
      </c>
      <c r="K760" s="6" t="s">
        <v>2763</v>
      </c>
      <c r="L760" s="6">
        <v>5618.17</v>
      </c>
      <c r="M760" s="6">
        <v>5618.17</v>
      </c>
      <c r="N760" s="7" t="s">
        <v>35</v>
      </c>
      <c r="O760" s="6" t="s">
        <v>35</v>
      </c>
      <c r="P760" s="6" t="s">
        <v>35</v>
      </c>
      <c r="Q760" s="6" t="s">
        <v>36</v>
      </c>
      <c r="R760" s="6"/>
      <c r="S760" s="6">
        <f t="shared" si="11"/>
        <v>5618.17</v>
      </c>
      <c r="T760" s="7"/>
      <c r="U760" s="6"/>
      <c r="V760" s="6"/>
      <c r="W760" s="6" t="s">
        <v>82</v>
      </c>
      <c r="X760" s="6"/>
      <c r="Y760" s="6" t="s">
        <v>2764</v>
      </c>
      <c r="Z760" s="6" t="s">
        <v>1577</v>
      </c>
      <c r="AA760" s="6" t="s">
        <v>40</v>
      </c>
    </row>
    <row r="761" spans="1:27">
      <c r="A761" s="6">
        <v>760</v>
      </c>
      <c r="B761" s="6"/>
      <c r="C761" s="7">
        <v>46144</v>
      </c>
      <c r="D761" s="6" t="s">
        <v>28</v>
      </c>
      <c r="E761" s="6" t="s">
        <v>2712</v>
      </c>
      <c r="F761" s="6" t="s">
        <v>30</v>
      </c>
      <c r="G761" s="6">
        <v>12</v>
      </c>
      <c r="H761" s="6" t="s">
        <v>2765</v>
      </c>
      <c r="I761" s="6" t="s">
        <v>2766</v>
      </c>
      <c r="J761" s="6" t="s">
        <v>2767</v>
      </c>
      <c r="K761" s="6" t="s">
        <v>2768</v>
      </c>
      <c r="L761" s="6">
        <v>5443.83</v>
      </c>
      <c r="M761" s="6">
        <v>5443.83</v>
      </c>
      <c r="N761" s="7" t="s">
        <v>35</v>
      </c>
      <c r="O761" s="6" t="s">
        <v>35</v>
      </c>
      <c r="P761" s="6" t="s">
        <v>35</v>
      </c>
      <c r="Q761" s="6" t="s">
        <v>36</v>
      </c>
      <c r="R761" s="6"/>
      <c r="S761" s="6">
        <f t="shared" si="11"/>
        <v>5443.83</v>
      </c>
      <c r="T761" s="7"/>
      <c r="U761" s="6"/>
      <c r="V761" s="6"/>
      <c r="W761" s="6" t="s">
        <v>2720</v>
      </c>
      <c r="X761" s="6" t="s">
        <v>698</v>
      </c>
      <c r="Y761" s="6" t="s">
        <v>2769</v>
      </c>
      <c r="Z761" s="6" t="s">
        <v>235</v>
      </c>
      <c r="AA761" s="6" t="s">
        <v>40</v>
      </c>
    </row>
    <row r="762" spans="1:27">
      <c r="A762" s="6">
        <v>761</v>
      </c>
      <c r="B762" s="6"/>
      <c r="C762" s="7">
        <v>46144</v>
      </c>
      <c r="D762" s="6" t="s">
        <v>28</v>
      </c>
      <c r="E762" s="6" t="s">
        <v>2712</v>
      </c>
      <c r="F762" s="6" t="s">
        <v>30</v>
      </c>
      <c r="G762" s="6">
        <v>12</v>
      </c>
      <c r="H762" s="6" t="s">
        <v>2770</v>
      </c>
      <c r="I762" s="6" t="s">
        <v>2771</v>
      </c>
      <c r="J762" s="6" t="s">
        <v>2772</v>
      </c>
      <c r="K762" s="6" t="s">
        <v>2773</v>
      </c>
      <c r="L762" s="6">
        <v>6154.63</v>
      </c>
      <c r="M762" s="6">
        <v>6154.63</v>
      </c>
      <c r="N762" s="7" t="s">
        <v>35</v>
      </c>
      <c r="O762" s="6" t="s">
        <v>35</v>
      </c>
      <c r="P762" s="6" t="s">
        <v>35</v>
      </c>
      <c r="Q762" s="6" t="s">
        <v>36</v>
      </c>
      <c r="R762" s="6"/>
      <c r="S762" s="6">
        <f t="shared" si="11"/>
        <v>6154.63</v>
      </c>
      <c r="T762" s="7"/>
      <c r="U762" s="6"/>
      <c r="V762" s="6"/>
      <c r="W762" s="6" t="s">
        <v>55</v>
      </c>
      <c r="X762" s="6"/>
      <c r="Y762" s="6" t="s">
        <v>2774</v>
      </c>
      <c r="Z762" s="6" t="s">
        <v>1973</v>
      </c>
      <c r="AA762" s="6" t="s">
        <v>40</v>
      </c>
    </row>
    <row r="763" spans="1:27">
      <c r="A763" s="6">
        <v>762</v>
      </c>
      <c r="B763" s="6"/>
      <c r="C763" s="7">
        <v>46144</v>
      </c>
      <c r="D763" s="6" t="s">
        <v>28</v>
      </c>
      <c r="E763" s="6" t="s">
        <v>2712</v>
      </c>
      <c r="F763" s="6" t="s">
        <v>30</v>
      </c>
      <c r="G763" s="6">
        <v>12</v>
      </c>
      <c r="H763" s="6" t="s">
        <v>2775</v>
      </c>
      <c r="I763" s="6" t="s">
        <v>2776</v>
      </c>
      <c r="J763" s="6" t="s">
        <v>2777</v>
      </c>
      <c r="K763" s="6" t="s">
        <v>2778</v>
      </c>
      <c r="L763" s="6">
        <v>5544.45</v>
      </c>
      <c r="M763" s="6">
        <v>5544.45</v>
      </c>
      <c r="N763" s="7" t="s">
        <v>35</v>
      </c>
      <c r="O763" s="6" t="s">
        <v>35</v>
      </c>
      <c r="P763" s="6" t="s">
        <v>35</v>
      </c>
      <c r="Q763" s="6" t="s">
        <v>36</v>
      </c>
      <c r="R763" s="6"/>
      <c r="S763" s="6">
        <f t="shared" si="11"/>
        <v>5544.45</v>
      </c>
      <c r="T763" s="7"/>
      <c r="U763" s="6"/>
      <c r="V763" s="6"/>
      <c r="W763" s="6" t="s">
        <v>82</v>
      </c>
      <c r="X763" s="6"/>
      <c r="Y763" s="6" t="s">
        <v>2779</v>
      </c>
      <c r="Z763" s="6" t="s">
        <v>1577</v>
      </c>
      <c r="AA763" s="6" t="s">
        <v>40</v>
      </c>
    </row>
    <row r="764" spans="1:27">
      <c r="A764" s="6">
        <v>763</v>
      </c>
      <c r="B764" s="6"/>
      <c r="C764" s="7">
        <v>46144</v>
      </c>
      <c r="D764" s="6" t="s">
        <v>28</v>
      </c>
      <c r="E764" s="6" t="s">
        <v>2712</v>
      </c>
      <c r="F764" s="6" t="s">
        <v>30</v>
      </c>
      <c r="G764" s="6">
        <v>12</v>
      </c>
      <c r="H764" s="6" t="s">
        <v>2780</v>
      </c>
      <c r="I764" s="6" t="s">
        <v>2781</v>
      </c>
      <c r="J764" s="6" t="s">
        <v>2782</v>
      </c>
      <c r="K764" s="6" t="s">
        <v>2783</v>
      </c>
      <c r="L764" s="6">
        <v>4478.5</v>
      </c>
      <c r="M764" s="6">
        <v>4478.5</v>
      </c>
      <c r="N764" s="7" t="s">
        <v>35</v>
      </c>
      <c r="O764" s="6" t="s">
        <v>35</v>
      </c>
      <c r="P764" s="6" t="s">
        <v>35</v>
      </c>
      <c r="Q764" s="6" t="s">
        <v>36</v>
      </c>
      <c r="R764" s="6"/>
      <c r="S764" s="6">
        <f t="shared" si="11"/>
        <v>4478.5</v>
      </c>
      <c r="T764" s="7"/>
      <c r="U764" s="6"/>
      <c r="V764" s="6"/>
      <c r="W764" s="6" t="s">
        <v>410</v>
      </c>
      <c r="X764" s="6"/>
      <c r="Y764" s="6" t="s">
        <v>2784</v>
      </c>
      <c r="Z764" s="6" t="s">
        <v>235</v>
      </c>
      <c r="AA764" s="6" t="s">
        <v>40</v>
      </c>
    </row>
    <row r="765" spans="1:27">
      <c r="A765" s="6">
        <v>764</v>
      </c>
      <c r="B765" s="6"/>
      <c r="C765" s="7">
        <v>46144</v>
      </c>
      <c r="D765" s="6" t="s">
        <v>28</v>
      </c>
      <c r="E765" s="6" t="s">
        <v>2712</v>
      </c>
      <c r="F765" s="6" t="s">
        <v>30</v>
      </c>
      <c r="G765" s="6">
        <v>12</v>
      </c>
      <c r="H765" s="6" t="s">
        <v>2785</v>
      </c>
      <c r="I765" s="6" t="s">
        <v>2786</v>
      </c>
      <c r="J765" s="6" t="s">
        <v>2787</v>
      </c>
      <c r="K765" s="6" t="s">
        <v>2788</v>
      </c>
      <c r="L765" s="6">
        <v>9840.34</v>
      </c>
      <c r="M765" s="6">
        <v>9840.34</v>
      </c>
      <c r="N765" s="7" t="s">
        <v>35</v>
      </c>
      <c r="O765" s="6" t="s">
        <v>35</v>
      </c>
      <c r="P765" s="6" t="s">
        <v>35</v>
      </c>
      <c r="Q765" s="6" t="s">
        <v>36</v>
      </c>
      <c r="R765" s="6"/>
      <c r="S765" s="6">
        <f t="shared" si="11"/>
        <v>9840.34</v>
      </c>
      <c r="T765" s="7"/>
      <c r="U765" s="6"/>
      <c r="V765" s="6"/>
      <c r="W765" s="6" t="s">
        <v>444</v>
      </c>
      <c r="X765" s="6"/>
      <c r="Y765" s="6" t="s">
        <v>2789</v>
      </c>
      <c r="Z765" s="6" t="s">
        <v>1646</v>
      </c>
      <c r="AA765" s="6" t="s">
        <v>40</v>
      </c>
    </row>
    <row r="766" spans="1:27">
      <c r="A766" s="6">
        <v>765</v>
      </c>
      <c r="B766" s="6"/>
      <c r="C766" s="7">
        <v>46144</v>
      </c>
      <c r="D766" s="6" t="s">
        <v>28</v>
      </c>
      <c r="E766" s="6" t="s">
        <v>2712</v>
      </c>
      <c r="F766" s="6" t="s">
        <v>30</v>
      </c>
      <c r="G766" s="6">
        <v>12</v>
      </c>
      <c r="H766" s="6" t="s">
        <v>2790</v>
      </c>
      <c r="I766" s="6" t="s">
        <v>2791</v>
      </c>
      <c r="J766" s="6" t="s">
        <v>2792</v>
      </c>
      <c r="K766" s="6" t="s">
        <v>2793</v>
      </c>
      <c r="L766" s="6">
        <v>4941.33</v>
      </c>
      <c r="M766" s="6">
        <v>4941.33</v>
      </c>
      <c r="N766" s="7" t="s">
        <v>35</v>
      </c>
      <c r="O766" s="6" t="s">
        <v>35</v>
      </c>
      <c r="P766" s="6" t="s">
        <v>35</v>
      </c>
      <c r="Q766" s="6" t="s">
        <v>36</v>
      </c>
      <c r="R766" s="6"/>
      <c r="S766" s="6">
        <f t="shared" si="11"/>
        <v>4941.33</v>
      </c>
      <c r="T766" s="7"/>
      <c r="U766" s="6"/>
      <c r="V766" s="6"/>
      <c r="W766" s="6" t="s">
        <v>103</v>
      </c>
      <c r="X766" s="6"/>
      <c r="Y766" s="6" t="s">
        <v>2794</v>
      </c>
      <c r="Z766" s="6" t="s">
        <v>235</v>
      </c>
      <c r="AA766" s="6" t="s">
        <v>40</v>
      </c>
    </row>
    <row r="767" spans="1:27">
      <c r="A767" s="6">
        <v>766</v>
      </c>
      <c r="B767" s="6"/>
      <c r="C767" s="7">
        <v>46144</v>
      </c>
      <c r="D767" s="6" t="s">
        <v>28</v>
      </c>
      <c r="E767" s="6" t="s">
        <v>2712</v>
      </c>
      <c r="F767" s="6" t="s">
        <v>30</v>
      </c>
      <c r="G767" s="6">
        <v>12</v>
      </c>
      <c r="H767" s="6" t="s">
        <v>1572</v>
      </c>
      <c r="I767" s="6" t="s">
        <v>1573</v>
      </c>
      <c r="J767" s="6" t="s">
        <v>1574</v>
      </c>
      <c r="K767" s="6" t="s">
        <v>1575</v>
      </c>
      <c r="L767" s="6">
        <v>5610.37</v>
      </c>
      <c r="M767" s="6">
        <v>5610.37</v>
      </c>
      <c r="N767" s="7" t="s">
        <v>35</v>
      </c>
      <c r="O767" s="6" t="s">
        <v>35</v>
      </c>
      <c r="P767" s="6" t="s">
        <v>35</v>
      </c>
      <c r="Q767" s="6" t="s">
        <v>36</v>
      </c>
      <c r="R767" s="6"/>
      <c r="S767" s="6">
        <f t="shared" si="11"/>
        <v>5610.37</v>
      </c>
      <c r="T767" s="7"/>
      <c r="U767" s="6"/>
      <c r="V767" s="6"/>
      <c r="W767" s="6" t="s">
        <v>82</v>
      </c>
      <c r="X767" s="6"/>
      <c r="Y767" s="6" t="s">
        <v>2795</v>
      </c>
      <c r="Z767" s="6" t="s">
        <v>1577</v>
      </c>
      <c r="AA767" s="6" t="s">
        <v>40</v>
      </c>
    </row>
    <row r="768" spans="1:27">
      <c r="A768" s="6">
        <v>767</v>
      </c>
      <c r="B768" s="6"/>
      <c r="C768" s="7">
        <v>46144</v>
      </c>
      <c r="D768" s="6" t="s">
        <v>28</v>
      </c>
      <c r="E768" s="6" t="s">
        <v>2712</v>
      </c>
      <c r="F768" s="6" t="s">
        <v>30</v>
      </c>
      <c r="G768" s="6">
        <v>12</v>
      </c>
      <c r="H768" s="6" t="s">
        <v>1612</v>
      </c>
      <c r="I768" s="6" t="s">
        <v>1613</v>
      </c>
      <c r="J768" s="6" t="s">
        <v>1614</v>
      </c>
      <c r="K768" s="6" t="s">
        <v>1615</v>
      </c>
      <c r="L768" s="6">
        <v>1586.77</v>
      </c>
      <c r="M768" s="6">
        <v>1586.77</v>
      </c>
      <c r="N768" s="7" t="s">
        <v>35</v>
      </c>
      <c r="O768" s="6" t="s">
        <v>35</v>
      </c>
      <c r="P768" s="6" t="s">
        <v>35</v>
      </c>
      <c r="Q768" s="6" t="s">
        <v>36</v>
      </c>
      <c r="R768" s="6"/>
      <c r="S768" s="6">
        <f t="shared" si="11"/>
        <v>1586.77</v>
      </c>
      <c r="T768" s="7"/>
      <c r="U768" s="6"/>
      <c r="V768" s="6"/>
      <c r="W768" s="6" t="s">
        <v>103</v>
      </c>
      <c r="X768" s="6"/>
      <c r="Y768" s="6" t="s">
        <v>2796</v>
      </c>
      <c r="Z768" s="6" t="s">
        <v>235</v>
      </c>
      <c r="AA768" s="6" t="s">
        <v>40</v>
      </c>
    </row>
    <row r="769" spans="1:27">
      <c r="A769" s="6">
        <v>768</v>
      </c>
      <c r="B769" s="6"/>
      <c r="C769" s="7">
        <v>46144</v>
      </c>
      <c r="D769" s="6" t="s">
        <v>28</v>
      </c>
      <c r="E769" s="6" t="s">
        <v>2712</v>
      </c>
      <c r="F769" s="6" t="s">
        <v>30</v>
      </c>
      <c r="G769" s="6">
        <v>12</v>
      </c>
      <c r="H769" s="6" t="s">
        <v>2797</v>
      </c>
      <c r="I769" s="6" t="s">
        <v>2798</v>
      </c>
      <c r="J769" s="6" t="s">
        <v>2799</v>
      </c>
      <c r="K769" s="6" t="s">
        <v>2800</v>
      </c>
      <c r="L769" s="6">
        <v>9307.93</v>
      </c>
      <c r="M769" s="6">
        <v>9307.93</v>
      </c>
      <c r="N769" s="7" t="s">
        <v>35</v>
      </c>
      <c r="O769" s="6" t="s">
        <v>35</v>
      </c>
      <c r="P769" s="6" t="s">
        <v>35</v>
      </c>
      <c r="Q769" s="6" t="s">
        <v>36</v>
      </c>
      <c r="R769" s="6"/>
      <c r="S769" s="6">
        <f t="shared" si="11"/>
        <v>9307.93</v>
      </c>
      <c r="T769" s="7"/>
      <c r="U769" s="6"/>
      <c r="V769" s="6"/>
      <c r="W769" s="6" t="s">
        <v>55</v>
      </c>
      <c r="X769" s="6"/>
      <c r="Y769" s="6" t="s">
        <v>2801</v>
      </c>
      <c r="Z769" s="6" t="s">
        <v>1973</v>
      </c>
      <c r="AA769" s="6" t="s">
        <v>40</v>
      </c>
    </row>
    <row r="770" spans="1:27">
      <c r="A770" s="6">
        <v>769</v>
      </c>
      <c r="B770" s="6"/>
      <c r="C770" s="7">
        <v>46144</v>
      </c>
      <c r="D770" s="6" t="s">
        <v>28</v>
      </c>
      <c r="E770" s="6" t="s">
        <v>2712</v>
      </c>
      <c r="F770" s="6" t="s">
        <v>30</v>
      </c>
      <c r="G770" s="6">
        <v>12</v>
      </c>
      <c r="H770" s="6" t="s">
        <v>2802</v>
      </c>
      <c r="I770" s="6" t="s">
        <v>2803</v>
      </c>
      <c r="J770" s="6" t="s">
        <v>2804</v>
      </c>
      <c r="K770" s="6" t="s">
        <v>2805</v>
      </c>
      <c r="L770" s="6">
        <v>5034.32</v>
      </c>
      <c r="M770" s="6">
        <v>5034.32</v>
      </c>
      <c r="N770" s="7" t="s">
        <v>35</v>
      </c>
      <c r="O770" s="6" t="s">
        <v>35</v>
      </c>
      <c r="P770" s="6" t="s">
        <v>35</v>
      </c>
      <c r="Q770" s="6" t="s">
        <v>36</v>
      </c>
      <c r="R770" s="6"/>
      <c r="S770" s="6">
        <f t="shared" si="11"/>
        <v>5034.32</v>
      </c>
      <c r="T770" s="7"/>
      <c r="U770" s="6"/>
      <c r="V770" s="6"/>
      <c r="W770" s="6" t="s">
        <v>117</v>
      </c>
      <c r="X770" s="6" t="s">
        <v>2733</v>
      </c>
      <c r="Y770" s="6" t="s">
        <v>2806</v>
      </c>
      <c r="Z770" s="6" t="s">
        <v>1500</v>
      </c>
      <c r="AA770" s="6" t="s">
        <v>40</v>
      </c>
    </row>
    <row r="771" spans="1:27">
      <c r="A771" s="6">
        <v>770</v>
      </c>
      <c r="B771" s="6"/>
      <c r="C771" s="7">
        <v>46144</v>
      </c>
      <c r="D771" s="6" t="s">
        <v>28</v>
      </c>
      <c r="E771" s="6" t="s">
        <v>2712</v>
      </c>
      <c r="F771" s="6" t="s">
        <v>30</v>
      </c>
      <c r="G771" s="6">
        <v>12</v>
      </c>
      <c r="H771" s="6" t="s">
        <v>2807</v>
      </c>
      <c r="I771" s="6" t="s">
        <v>2808</v>
      </c>
      <c r="J771" s="6" t="s">
        <v>2809</v>
      </c>
      <c r="K771" s="6"/>
      <c r="L771" s="6">
        <v>3579.59</v>
      </c>
      <c r="M771" s="6">
        <v>3579.59</v>
      </c>
      <c r="N771" s="7" t="s">
        <v>35</v>
      </c>
      <c r="O771" s="6" t="s">
        <v>35</v>
      </c>
      <c r="P771" s="6" t="s">
        <v>35</v>
      </c>
      <c r="Q771" s="6" t="s">
        <v>36</v>
      </c>
      <c r="R771" s="6"/>
      <c r="S771" s="6">
        <f t="shared" si="11"/>
        <v>3579.59</v>
      </c>
      <c r="T771" s="7"/>
      <c r="U771" s="6"/>
      <c r="V771" s="6"/>
      <c r="W771" s="6" t="s">
        <v>82</v>
      </c>
      <c r="X771" s="6"/>
      <c r="Y771" s="6" t="s">
        <v>2810</v>
      </c>
      <c r="Z771" s="6" t="s">
        <v>1577</v>
      </c>
      <c r="AA771" s="6" t="s">
        <v>40</v>
      </c>
    </row>
    <row r="772" spans="1:27">
      <c r="A772" s="6">
        <v>771</v>
      </c>
      <c r="B772" s="6"/>
      <c r="C772" s="7">
        <v>46144</v>
      </c>
      <c r="D772" s="6" t="s">
        <v>28</v>
      </c>
      <c r="E772" s="6" t="s">
        <v>2712</v>
      </c>
      <c r="F772" s="6" t="s">
        <v>30</v>
      </c>
      <c r="G772" s="6">
        <v>12</v>
      </c>
      <c r="H772" s="6" t="s">
        <v>2811</v>
      </c>
      <c r="I772" s="6" t="s">
        <v>2812</v>
      </c>
      <c r="J772" s="6" t="s">
        <v>2813</v>
      </c>
      <c r="K772" s="6" t="s">
        <v>2814</v>
      </c>
      <c r="L772" s="6">
        <v>7666.16</v>
      </c>
      <c r="M772" s="6">
        <v>7666.16</v>
      </c>
      <c r="N772" s="7" t="s">
        <v>35</v>
      </c>
      <c r="O772" s="6" t="s">
        <v>35</v>
      </c>
      <c r="P772" s="6" t="s">
        <v>35</v>
      </c>
      <c r="Q772" s="6" t="s">
        <v>36</v>
      </c>
      <c r="R772" s="6"/>
      <c r="S772" s="6">
        <f t="shared" si="11"/>
        <v>7666.16</v>
      </c>
      <c r="T772" s="7"/>
      <c r="U772" s="6"/>
      <c r="V772" s="6"/>
      <c r="W772" s="6" t="s">
        <v>37</v>
      </c>
      <c r="X772" s="6"/>
      <c r="Y772" s="6" t="s">
        <v>2815</v>
      </c>
      <c r="Z772" s="6" t="s">
        <v>1867</v>
      </c>
      <c r="AA772" s="6" t="s">
        <v>40</v>
      </c>
    </row>
    <row r="773" spans="1:27">
      <c r="A773" s="6">
        <v>772</v>
      </c>
      <c r="B773" s="6"/>
      <c r="C773" s="7">
        <v>46144</v>
      </c>
      <c r="D773" s="6" t="s">
        <v>28</v>
      </c>
      <c r="E773" s="6" t="s">
        <v>2712</v>
      </c>
      <c r="F773" s="6" t="s">
        <v>30</v>
      </c>
      <c r="G773" s="6">
        <v>12</v>
      </c>
      <c r="H773" s="6" t="s">
        <v>2816</v>
      </c>
      <c r="I773" s="6" t="s">
        <v>2817</v>
      </c>
      <c r="J773" s="6" t="s">
        <v>2818</v>
      </c>
      <c r="K773" s="6" t="s">
        <v>2819</v>
      </c>
      <c r="L773" s="6">
        <v>5462.45</v>
      </c>
      <c r="M773" s="6">
        <v>5462.45</v>
      </c>
      <c r="N773" s="7" t="s">
        <v>35</v>
      </c>
      <c r="O773" s="6" t="s">
        <v>35</v>
      </c>
      <c r="P773" s="6" t="s">
        <v>35</v>
      </c>
      <c r="Q773" s="6" t="s">
        <v>36</v>
      </c>
      <c r="R773" s="6"/>
      <c r="S773" s="6">
        <f t="shared" si="11"/>
        <v>5462.45</v>
      </c>
      <c r="T773" s="7"/>
      <c r="U773" s="6"/>
      <c r="V773" s="6"/>
      <c r="W773" s="6" t="s">
        <v>55</v>
      </c>
      <c r="X773" s="6"/>
      <c r="Y773" s="6" t="s">
        <v>2820</v>
      </c>
      <c r="Z773" s="6" t="s">
        <v>1349</v>
      </c>
      <c r="AA773" s="6" t="s">
        <v>40</v>
      </c>
    </row>
    <row r="774" spans="1:27">
      <c r="A774" s="6">
        <v>773</v>
      </c>
      <c r="B774" s="6"/>
      <c r="C774" s="7">
        <v>46144</v>
      </c>
      <c r="D774" s="6" t="s">
        <v>28</v>
      </c>
      <c r="E774" s="6" t="s">
        <v>2712</v>
      </c>
      <c r="F774" s="6" t="s">
        <v>30</v>
      </c>
      <c r="G774" s="6">
        <v>12</v>
      </c>
      <c r="H774" s="6" t="s">
        <v>2821</v>
      </c>
      <c r="I774" s="6" t="s">
        <v>2822</v>
      </c>
      <c r="J774" s="6" t="s">
        <v>2823</v>
      </c>
      <c r="K774" s="6"/>
      <c r="L774" s="6">
        <v>4390.72</v>
      </c>
      <c r="M774" s="6">
        <v>4390.72</v>
      </c>
      <c r="N774" s="7" t="s">
        <v>35</v>
      </c>
      <c r="O774" s="6" t="s">
        <v>35</v>
      </c>
      <c r="P774" s="6" t="s">
        <v>35</v>
      </c>
      <c r="Q774" s="6" t="s">
        <v>36</v>
      </c>
      <c r="R774" s="6"/>
      <c r="S774" s="6">
        <f t="shared" si="11"/>
        <v>4390.72</v>
      </c>
      <c r="T774" s="7"/>
      <c r="U774" s="6"/>
      <c r="V774" s="6"/>
      <c r="W774" s="6" t="s">
        <v>37</v>
      </c>
      <c r="X774" s="6" t="s">
        <v>1403</v>
      </c>
      <c r="Y774" s="6" t="s">
        <v>2824</v>
      </c>
      <c r="Z774" s="6" t="s">
        <v>1336</v>
      </c>
      <c r="AA774" s="6" t="s">
        <v>40</v>
      </c>
    </row>
    <row r="775" spans="1:27">
      <c r="A775" s="6">
        <v>774</v>
      </c>
      <c r="B775" s="6"/>
      <c r="C775" s="7">
        <v>46144</v>
      </c>
      <c r="D775" s="6" t="s">
        <v>28</v>
      </c>
      <c r="E775" s="6" t="s">
        <v>2712</v>
      </c>
      <c r="F775" s="6" t="s">
        <v>30</v>
      </c>
      <c r="G775" s="6">
        <v>12</v>
      </c>
      <c r="H775" s="6" t="s">
        <v>2825</v>
      </c>
      <c r="I775" s="6" t="s">
        <v>2826</v>
      </c>
      <c r="J775" s="6" t="s">
        <v>2827</v>
      </c>
      <c r="K775" s="6"/>
      <c r="L775" s="6">
        <v>5613.58</v>
      </c>
      <c r="M775" s="6">
        <v>5613.58</v>
      </c>
      <c r="N775" s="7" t="s">
        <v>35</v>
      </c>
      <c r="O775" s="6" t="s">
        <v>35</v>
      </c>
      <c r="P775" s="6" t="s">
        <v>35</v>
      </c>
      <c r="Q775" s="6" t="s">
        <v>36</v>
      </c>
      <c r="R775" s="6"/>
      <c r="S775" s="6">
        <f t="shared" si="11"/>
        <v>5613.58</v>
      </c>
      <c r="T775" s="7"/>
      <c r="U775" s="6"/>
      <c r="V775" s="6"/>
      <c r="W775" s="6" t="s">
        <v>410</v>
      </c>
      <c r="X775" s="6"/>
      <c r="Y775" s="6" t="s">
        <v>2828</v>
      </c>
      <c r="Z775" s="6" t="s">
        <v>1539</v>
      </c>
      <c r="AA775" s="6" t="s">
        <v>40</v>
      </c>
    </row>
    <row r="776" spans="1:27">
      <c r="A776" s="6">
        <v>775</v>
      </c>
      <c r="B776" s="6"/>
      <c r="C776" s="7">
        <v>46144</v>
      </c>
      <c r="D776" s="6" t="s">
        <v>28</v>
      </c>
      <c r="E776" s="6" t="s">
        <v>2712</v>
      </c>
      <c r="F776" s="6" t="s">
        <v>30</v>
      </c>
      <c r="G776" s="6">
        <v>12</v>
      </c>
      <c r="H776" s="6" t="s">
        <v>2829</v>
      </c>
      <c r="I776" s="6" t="s">
        <v>2830</v>
      </c>
      <c r="J776" s="6" t="s">
        <v>2831</v>
      </c>
      <c r="K776" s="6" t="s">
        <v>2832</v>
      </c>
      <c r="L776" s="6">
        <v>5262.03</v>
      </c>
      <c r="M776" s="6">
        <v>5262.03</v>
      </c>
      <c r="N776" s="7" t="s">
        <v>35</v>
      </c>
      <c r="O776" s="6" t="s">
        <v>35</v>
      </c>
      <c r="P776" s="6" t="s">
        <v>35</v>
      </c>
      <c r="Q776" s="6" t="s">
        <v>36</v>
      </c>
      <c r="R776" s="6"/>
      <c r="S776" s="6">
        <f t="shared" si="11"/>
        <v>5262.03</v>
      </c>
      <c r="T776" s="7"/>
      <c r="U776" s="6"/>
      <c r="V776" s="6"/>
      <c r="W776" s="6" t="s">
        <v>444</v>
      </c>
      <c r="X776" s="6"/>
      <c r="Y776" s="6" t="s">
        <v>2833</v>
      </c>
      <c r="Z776" s="6" t="s">
        <v>1555</v>
      </c>
      <c r="AA776" s="6" t="s">
        <v>40</v>
      </c>
    </row>
    <row r="777" spans="1:27">
      <c r="A777" s="6">
        <v>776</v>
      </c>
      <c r="B777" s="6"/>
      <c r="C777" s="7">
        <v>46144</v>
      </c>
      <c r="D777" s="6" t="s">
        <v>28</v>
      </c>
      <c r="E777" s="6" t="s">
        <v>2712</v>
      </c>
      <c r="F777" s="6" t="s">
        <v>30</v>
      </c>
      <c r="G777" s="6">
        <v>12</v>
      </c>
      <c r="H777" s="6" t="s">
        <v>2834</v>
      </c>
      <c r="I777" s="6" t="s">
        <v>2835</v>
      </c>
      <c r="J777" s="6" t="s">
        <v>2836</v>
      </c>
      <c r="K777" s="6" t="s">
        <v>2837</v>
      </c>
      <c r="L777" s="6">
        <v>3126.44</v>
      </c>
      <c r="M777" s="6">
        <v>3126.44</v>
      </c>
      <c r="N777" s="7" t="s">
        <v>35</v>
      </c>
      <c r="O777" s="6" t="s">
        <v>35</v>
      </c>
      <c r="P777" s="6" t="s">
        <v>35</v>
      </c>
      <c r="Q777" s="6" t="s">
        <v>36</v>
      </c>
      <c r="R777" s="6"/>
      <c r="S777" s="6">
        <f t="shared" si="11"/>
        <v>3126.44</v>
      </c>
      <c r="T777" s="7"/>
      <c r="U777" s="6"/>
      <c r="V777" s="6"/>
      <c r="W777" s="6" t="s">
        <v>410</v>
      </c>
      <c r="X777" s="6"/>
      <c r="Y777" s="6" t="s">
        <v>2838</v>
      </c>
      <c r="Z777" s="6" t="s">
        <v>234</v>
      </c>
      <c r="AA777" s="6" t="s">
        <v>40</v>
      </c>
    </row>
    <row r="778" spans="1:27">
      <c r="A778" s="6">
        <v>777</v>
      </c>
      <c r="B778" s="6"/>
      <c r="C778" s="7">
        <v>46144</v>
      </c>
      <c r="D778" s="6" t="s">
        <v>28</v>
      </c>
      <c r="E778" s="6" t="s">
        <v>2712</v>
      </c>
      <c r="F778" s="6" t="s">
        <v>30</v>
      </c>
      <c r="G778" s="6">
        <v>12</v>
      </c>
      <c r="H778" s="6" t="s">
        <v>2839</v>
      </c>
      <c r="I778" s="6" t="s">
        <v>2840</v>
      </c>
      <c r="J778" s="6" t="s">
        <v>2841</v>
      </c>
      <c r="K778" s="6" t="s">
        <v>2842</v>
      </c>
      <c r="L778" s="6">
        <v>4191.3500000000004</v>
      </c>
      <c r="M778" s="6">
        <v>4191.3500000000004</v>
      </c>
      <c r="N778" s="7" t="s">
        <v>35</v>
      </c>
      <c r="O778" s="6" t="s">
        <v>35</v>
      </c>
      <c r="P778" s="6" t="s">
        <v>35</v>
      </c>
      <c r="Q778" s="6" t="s">
        <v>36</v>
      </c>
      <c r="R778" s="6"/>
      <c r="S778" s="6">
        <f t="shared" si="11"/>
        <v>4191.3500000000004</v>
      </c>
      <c r="T778" s="7"/>
      <c r="U778" s="6"/>
      <c r="V778" s="6"/>
      <c r="W778" s="6" t="s">
        <v>410</v>
      </c>
      <c r="X778" s="6"/>
      <c r="Y778" s="6" t="s">
        <v>2843</v>
      </c>
      <c r="Z778" s="6" t="s">
        <v>234</v>
      </c>
      <c r="AA778" s="6" t="s">
        <v>40</v>
      </c>
    </row>
    <row r="779" spans="1:27">
      <c r="A779" s="6">
        <v>778</v>
      </c>
      <c r="B779" s="6"/>
      <c r="C779" s="7">
        <v>46144</v>
      </c>
      <c r="D779" s="6" t="s">
        <v>28</v>
      </c>
      <c r="E779" s="6" t="s">
        <v>2712</v>
      </c>
      <c r="F779" s="6" t="s">
        <v>30</v>
      </c>
      <c r="G779" s="6">
        <v>12</v>
      </c>
      <c r="H779" s="6" t="s">
        <v>2844</v>
      </c>
      <c r="I779" s="6" t="s">
        <v>2845</v>
      </c>
      <c r="J779" s="6" t="s">
        <v>2846</v>
      </c>
      <c r="K779" s="6" t="s">
        <v>2847</v>
      </c>
      <c r="L779" s="6">
        <v>4178.47</v>
      </c>
      <c r="M779" s="6">
        <v>4178.47</v>
      </c>
      <c r="N779" s="7" t="s">
        <v>35</v>
      </c>
      <c r="O779" s="6" t="s">
        <v>35</v>
      </c>
      <c r="P779" s="6" t="s">
        <v>35</v>
      </c>
      <c r="Q779" s="6" t="s">
        <v>36</v>
      </c>
      <c r="R779" s="6"/>
      <c r="S779" s="6">
        <f t="shared" si="11"/>
        <v>4178.47</v>
      </c>
      <c r="T779" s="7"/>
      <c r="U779" s="6"/>
      <c r="V779" s="6"/>
      <c r="W779" s="6" t="s">
        <v>444</v>
      </c>
      <c r="X779" s="6"/>
      <c r="Y779" s="6" t="s">
        <v>2848</v>
      </c>
      <c r="Z779" s="6" t="s">
        <v>1646</v>
      </c>
      <c r="AA779" s="6" t="s">
        <v>40</v>
      </c>
    </row>
    <row r="780" spans="1:27">
      <c r="A780" s="6">
        <v>779</v>
      </c>
      <c r="B780" s="6"/>
      <c r="C780" s="7">
        <v>46144</v>
      </c>
      <c r="D780" s="6" t="s">
        <v>28</v>
      </c>
      <c r="E780" s="6" t="s">
        <v>2712</v>
      </c>
      <c r="F780" s="6" t="s">
        <v>30</v>
      </c>
      <c r="G780" s="6">
        <v>12</v>
      </c>
      <c r="H780" s="6" t="s">
        <v>2849</v>
      </c>
      <c r="I780" s="6" t="s">
        <v>2850</v>
      </c>
      <c r="J780" s="6" t="s">
        <v>2851</v>
      </c>
      <c r="K780" s="6" t="s">
        <v>2852</v>
      </c>
      <c r="L780" s="6">
        <v>4245.47</v>
      </c>
      <c r="M780" s="6">
        <v>4245.47</v>
      </c>
      <c r="N780" s="7" t="s">
        <v>35</v>
      </c>
      <c r="O780" s="6" t="s">
        <v>35</v>
      </c>
      <c r="P780" s="6" t="s">
        <v>35</v>
      </c>
      <c r="Q780" s="6" t="s">
        <v>36</v>
      </c>
      <c r="R780" s="6"/>
      <c r="S780" s="6">
        <f t="shared" si="11"/>
        <v>4245.47</v>
      </c>
      <c r="T780" s="7"/>
      <c r="U780" s="6"/>
      <c r="V780" s="6"/>
      <c r="W780" s="6" t="s">
        <v>69</v>
      </c>
      <c r="X780" s="6"/>
      <c r="Y780" s="6" t="s">
        <v>2853</v>
      </c>
      <c r="Z780" s="6" t="s">
        <v>1541</v>
      </c>
      <c r="AA780" s="6" t="s">
        <v>40</v>
      </c>
    </row>
    <row r="781" spans="1:27">
      <c r="A781" s="6">
        <v>780</v>
      </c>
      <c r="B781" s="6"/>
      <c r="C781" s="7">
        <v>46144</v>
      </c>
      <c r="D781" s="6" t="s">
        <v>28</v>
      </c>
      <c r="E781" s="6" t="s">
        <v>2712</v>
      </c>
      <c r="F781" s="6" t="s">
        <v>30</v>
      </c>
      <c r="G781" s="6">
        <v>12</v>
      </c>
      <c r="H781" s="6" t="s">
        <v>133</v>
      </c>
      <c r="I781" s="6" t="s">
        <v>134</v>
      </c>
      <c r="J781" s="6" t="s">
        <v>135</v>
      </c>
      <c r="K781" s="6" t="s">
        <v>136</v>
      </c>
      <c r="L781" s="6">
        <v>3300.8</v>
      </c>
      <c r="M781" s="6">
        <v>3300.8</v>
      </c>
      <c r="N781" s="7" t="s">
        <v>35</v>
      </c>
      <c r="O781" s="6" t="s">
        <v>35</v>
      </c>
      <c r="P781" s="6" t="s">
        <v>35</v>
      </c>
      <c r="Q781" s="6" t="s">
        <v>36</v>
      </c>
      <c r="R781" s="6"/>
      <c r="S781" s="6">
        <f t="shared" si="11"/>
        <v>3300.8</v>
      </c>
      <c r="T781" s="7"/>
      <c r="U781" s="6"/>
      <c r="V781" s="6"/>
      <c r="W781" s="6" t="s">
        <v>117</v>
      </c>
      <c r="X781" s="6" t="s">
        <v>2733</v>
      </c>
      <c r="Y781" s="6" t="s">
        <v>2854</v>
      </c>
      <c r="Z781" s="6" t="s">
        <v>1500</v>
      </c>
      <c r="AA781" s="6" t="s">
        <v>40</v>
      </c>
    </row>
    <row r="782" spans="1:27">
      <c r="A782" s="6">
        <v>781</v>
      </c>
      <c r="B782" s="6"/>
      <c r="C782" s="7">
        <v>46144</v>
      </c>
      <c r="D782" s="6" t="s">
        <v>28</v>
      </c>
      <c r="E782" s="6" t="s">
        <v>2712</v>
      </c>
      <c r="F782" s="6" t="s">
        <v>30</v>
      </c>
      <c r="G782" s="6">
        <v>12</v>
      </c>
      <c r="H782" s="6" t="s">
        <v>1598</v>
      </c>
      <c r="I782" s="6" t="s">
        <v>1599</v>
      </c>
      <c r="J782" s="6" t="s">
        <v>1600</v>
      </c>
      <c r="K782" s="6" t="s">
        <v>1601</v>
      </c>
      <c r="L782" s="6">
        <v>4483.6499999999996</v>
      </c>
      <c r="M782" s="6">
        <v>4483.6499999999996</v>
      </c>
      <c r="N782" s="7" t="s">
        <v>35</v>
      </c>
      <c r="O782" s="6" t="s">
        <v>35</v>
      </c>
      <c r="P782" s="6" t="s">
        <v>35</v>
      </c>
      <c r="Q782" s="6" t="s">
        <v>36</v>
      </c>
      <c r="R782" s="6"/>
      <c r="S782" s="6">
        <f t="shared" si="11"/>
        <v>4483.6499999999996</v>
      </c>
      <c r="T782" s="7"/>
      <c r="U782" s="6"/>
      <c r="V782" s="6"/>
      <c r="W782" s="6" t="s">
        <v>117</v>
      </c>
      <c r="X782" s="6" t="s">
        <v>2733</v>
      </c>
      <c r="Y782" s="6" t="s">
        <v>2855</v>
      </c>
      <c r="Z782" s="6" t="s">
        <v>1500</v>
      </c>
      <c r="AA782" s="6" t="s">
        <v>40</v>
      </c>
    </row>
    <row r="783" spans="1:27">
      <c r="A783" s="6">
        <v>782</v>
      </c>
      <c r="B783" s="6"/>
      <c r="C783" s="7">
        <v>46144</v>
      </c>
      <c r="D783" s="6" t="s">
        <v>28</v>
      </c>
      <c r="E783" s="6" t="s">
        <v>2712</v>
      </c>
      <c r="F783" s="6" t="s">
        <v>30</v>
      </c>
      <c r="G783" s="6">
        <v>12</v>
      </c>
      <c r="H783" s="6" t="s">
        <v>1607</v>
      </c>
      <c r="I783" s="6" t="s">
        <v>1608</v>
      </c>
      <c r="J783" s="6" t="s">
        <v>1609</v>
      </c>
      <c r="K783" s="6" t="s">
        <v>1610</v>
      </c>
      <c r="L783" s="6">
        <v>4194.66</v>
      </c>
      <c r="M783" s="6">
        <v>4194.66</v>
      </c>
      <c r="N783" s="7" t="s">
        <v>35</v>
      </c>
      <c r="O783" s="6" t="s">
        <v>35</v>
      </c>
      <c r="P783" s="6" t="s">
        <v>35</v>
      </c>
      <c r="Q783" s="6" t="s">
        <v>36</v>
      </c>
      <c r="R783" s="6"/>
      <c r="S783" s="6">
        <f t="shared" si="11"/>
        <v>4194.66</v>
      </c>
      <c r="T783" s="7"/>
      <c r="U783" s="6"/>
      <c r="V783" s="6"/>
      <c r="W783" s="6" t="s">
        <v>82</v>
      </c>
      <c r="X783" s="6"/>
      <c r="Y783" s="6" t="s">
        <v>2856</v>
      </c>
      <c r="Z783" s="6" t="s">
        <v>1577</v>
      </c>
      <c r="AA783" s="6" t="s">
        <v>40</v>
      </c>
    </row>
    <row r="784" spans="1:27">
      <c r="A784" s="6">
        <v>783</v>
      </c>
      <c r="B784" s="6"/>
      <c r="C784" s="7">
        <v>46144</v>
      </c>
      <c r="D784" s="6" t="s">
        <v>28</v>
      </c>
      <c r="E784" s="6" t="s">
        <v>2712</v>
      </c>
      <c r="F784" s="6" t="s">
        <v>30</v>
      </c>
      <c r="G784" s="6">
        <v>12</v>
      </c>
      <c r="H784" s="6" t="s">
        <v>2857</v>
      </c>
      <c r="I784" s="6" t="s">
        <v>2858</v>
      </c>
      <c r="J784" s="6" t="s">
        <v>2859</v>
      </c>
      <c r="K784" s="6" t="s">
        <v>2860</v>
      </c>
      <c r="L784" s="6">
        <v>1989.77</v>
      </c>
      <c r="M784" s="6">
        <v>1989.77</v>
      </c>
      <c r="N784" s="7" t="s">
        <v>35</v>
      </c>
      <c r="O784" s="6" t="s">
        <v>35</v>
      </c>
      <c r="P784" s="6" t="s">
        <v>35</v>
      </c>
      <c r="Q784" s="6" t="s">
        <v>36</v>
      </c>
      <c r="R784" s="6"/>
      <c r="S784" s="6">
        <f t="shared" si="11"/>
        <v>1989.77</v>
      </c>
      <c r="T784" s="7"/>
      <c r="U784" s="6"/>
      <c r="V784" s="6"/>
      <c r="W784" s="6" t="s">
        <v>62</v>
      </c>
      <c r="X784" s="6" t="s">
        <v>2733</v>
      </c>
      <c r="Y784" s="6" t="s">
        <v>2861</v>
      </c>
      <c r="Z784" s="6" t="s">
        <v>1500</v>
      </c>
      <c r="AA784" s="6" t="s">
        <v>40</v>
      </c>
    </row>
    <row r="785" spans="1:27">
      <c r="A785" s="6">
        <v>784</v>
      </c>
      <c r="B785" s="6"/>
      <c r="C785" s="7">
        <v>46144</v>
      </c>
      <c r="D785" s="6" t="s">
        <v>28</v>
      </c>
      <c r="E785" s="6" t="s">
        <v>2712</v>
      </c>
      <c r="F785" s="6" t="s">
        <v>30</v>
      </c>
      <c r="G785" s="6">
        <v>12</v>
      </c>
      <c r="H785" s="6" t="s">
        <v>2862</v>
      </c>
      <c r="I785" s="6" t="s">
        <v>2863</v>
      </c>
      <c r="J785" s="6" t="s">
        <v>2864</v>
      </c>
      <c r="K785" s="6" t="s">
        <v>2865</v>
      </c>
      <c r="L785" s="6">
        <v>2142.54</v>
      </c>
      <c r="M785" s="6">
        <v>2142.54</v>
      </c>
      <c r="N785" s="7" t="s">
        <v>35</v>
      </c>
      <c r="O785" s="6" t="s">
        <v>35</v>
      </c>
      <c r="P785" s="6" t="s">
        <v>35</v>
      </c>
      <c r="Q785" s="6" t="s">
        <v>36</v>
      </c>
      <c r="R785" s="6"/>
      <c r="S785" s="6">
        <f t="shared" si="11"/>
        <v>2142.54</v>
      </c>
      <c r="T785" s="7"/>
      <c r="U785" s="6"/>
      <c r="V785" s="6"/>
      <c r="W785" s="6" t="s">
        <v>55</v>
      </c>
      <c r="X785" s="6"/>
      <c r="Y785" s="6" t="s">
        <v>2866</v>
      </c>
      <c r="Z785" s="6" t="s">
        <v>1483</v>
      </c>
      <c r="AA785" s="6" t="s">
        <v>40</v>
      </c>
    </row>
    <row r="786" spans="1:27">
      <c r="A786" s="6">
        <v>785</v>
      </c>
      <c r="B786" s="6"/>
      <c r="C786" s="7">
        <v>46144</v>
      </c>
      <c r="D786" s="6" t="s">
        <v>28</v>
      </c>
      <c r="E786" s="6" t="s">
        <v>2712</v>
      </c>
      <c r="F786" s="6" t="s">
        <v>30</v>
      </c>
      <c r="G786" s="6">
        <v>12</v>
      </c>
      <c r="H786" s="6" t="s">
        <v>2867</v>
      </c>
      <c r="I786" s="6" t="s">
        <v>2868</v>
      </c>
      <c r="J786" s="6" t="s">
        <v>2869</v>
      </c>
      <c r="K786" s="6" t="s">
        <v>2870</v>
      </c>
      <c r="L786" s="6">
        <v>4968.58</v>
      </c>
      <c r="M786" s="6">
        <v>4968.58</v>
      </c>
      <c r="N786" s="7" t="s">
        <v>35</v>
      </c>
      <c r="O786" s="6" t="s">
        <v>35</v>
      </c>
      <c r="P786" s="6" t="s">
        <v>35</v>
      </c>
      <c r="Q786" s="6" t="s">
        <v>36</v>
      </c>
      <c r="R786" s="6"/>
      <c r="S786" s="6">
        <f t="shared" si="11"/>
        <v>4968.58</v>
      </c>
      <c r="T786" s="7"/>
      <c r="U786" s="6"/>
      <c r="V786" s="6"/>
      <c r="W786" s="6" t="s">
        <v>55</v>
      </c>
      <c r="X786" s="6" t="s">
        <v>1403</v>
      </c>
      <c r="Y786" s="6" t="s">
        <v>2871</v>
      </c>
      <c r="Z786" s="6" t="s">
        <v>1336</v>
      </c>
      <c r="AA786" s="6" t="s">
        <v>40</v>
      </c>
    </row>
    <row r="787" spans="1:27">
      <c r="A787" s="6">
        <v>786</v>
      </c>
      <c r="B787" s="6"/>
      <c r="C787" s="7">
        <v>46144</v>
      </c>
      <c r="D787" s="6" t="s">
        <v>28</v>
      </c>
      <c r="E787" s="6" t="s">
        <v>2712</v>
      </c>
      <c r="F787" s="6" t="s">
        <v>30</v>
      </c>
      <c r="G787" s="6">
        <v>12</v>
      </c>
      <c r="H787" s="6" t="s">
        <v>2872</v>
      </c>
      <c r="I787" s="6" t="s">
        <v>2873</v>
      </c>
      <c r="J787" s="6" t="s">
        <v>2874</v>
      </c>
      <c r="K787" s="6" t="s">
        <v>2875</v>
      </c>
      <c r="L787" s="6">
        <v>3535.59</v>
      </c>
      <c r="M787" s="6">
        <v>3535.59</v>
      </c>
      <c r="N787" s="7" t="s">
        <v>35</v>
      </c>
      <c r="O787" s="6" t="s">
        <v>35</v>
      </c>
      <c r="P787" s="6" t="s">
        <v>35</v>
      </c>
      <c r="Q787" s="6" t="s">
        <v>36</v>
      </c>
      <c r="R787" s="6"/>
      <c r="S787" s="6">
        <f t="shared" si="11"/>
        <v>3535.59</v>
      </c>
      <c r="T787" s="7"/>
      <c r="U787" s="6"/>
      <c r="V787" s="6"/>
      <c r="W787" s="6" t="s">
        <v>444</v>
      </c>
      <c r="X787" s="6"/>
      <c r="Y787" s="6" t="s">
        <v>2876</v>
      </c>
      <c r="Z787" s="6" t="s">
        <v>1646</v>
      </c>
      <c r="AA787" s="6" t="s">
        <v>40</v>
      </c>
    </row>
    <row r="788" spans="1:27">
      <c r="A788" s="6">
        <v>787</v>
      </c>
      <c r="B788" s="6"/>
      <c r="C788" s="7">
        <v>46144</v>
      </c>
      <c r="D788" s="6" t="s">
        <v>28</v>
      </c>
      <c r="E788" s="6" t="s">
        <v>2712</v>
      </c>
      <c r="F788" s="6" t="s">
        <v>30</v>
      </c>
      <c r="G788" s="6">
        <v>12</v>
      </c>
      <c r="H788" s="6" t="s">
        <v>2877</v>
      </c>
      <c r="I788" s="6" t="s">
        <v>2878</v>
      </c>
      <c r="J788" s="6" t="s">
        <v>2879</v>
      </c>
      <c r="K788" s="6" t="s">
        <v>2880</v>
      </c>
      <c r="L788" s="6">
        <v>1867.46</v>
      </c>
      <c r="M788" s="6">
        <v>1867.46</v>
      </c>
      <c r="N788" s="7" t="s">
        <v>35</v>
      </c>
      <c r="O788" s="6" t="s">
        <v>35</v>
      </c>
      <c r="P788" s="6" t="s">
        <v>35</v>
      </c>
      <c r="Q788" s="6" t="s">
        <v>36</v>
      </c>
      <c r="R788" s="6"/>
      <c r="S788" s="6">
        <f t="shared" si="11"/>
        <v>1867.46</v>
      </c>
      <c r="T788" s="7"/>
      <c r="U788" s="6"/>
      <c r="V788" s="6"/>
      <c r="W788" s="6" t="s">
        <v>2720</v>
      </c>
      <c r="X788" s="6"/>
      <c r="Y788" s="6" t="s">
        <v>2881</v>
      </c>
      <c r="Z788" s="6" t="s">
        <v>235</v>
      </c>
      <c r="AA788" s="6" t="s">
        <v>40</v>
      </c>
    </row>
    <row r="789" spans="1:27">
      <c r="A789" s="6">
        <v>788</v>
      </c>
      <c r="B789" s="6"/>
      <c r="C789" s="7">
        <v>46144</v>
      </c>
      <c r="D789" s="6" t="s">
        <v>28</v>
      </c>
      <c r="E789" s="6" t="s">
        <v>2712</v>
      </c>
      <c r="F789" s="6" t="s">
        <v>30</v>
      </c>
      <c r="G789" s="6">
        <v>12</v>
      </c>
      <c r="H789" s="6" t="s">
        <v>2882</v>
      </c>
      <c r="I789" s="6" t="s">
        <v>2883</v>
      </c>
      <c r="J789" s="6" t="s">
        <v>2884</v>
      </c>
      <c r="K789" s="6" t="s">
        <v>2885</v>
      </c>
      <c r="L789" s="6">
        <v>2982.92</v>
      </c>
      <c r="M789" s="6">
        <v>2982.92</v>
      </c>
      <c r="N789" s="7" t="s">
        <v>35</v>
      </c>
      <c r="O789" s="6" t="s">
        <v>35</v>
      </c>
      <c r="P789" s="6" t="s">
        <v>35</v>
      </c>
      <c r="Q789" s="6" t="s">
        <v>36</v>
      </c>
      <c r="R789" s="6"/>
      <c r="S789" s="6">
        <f t="shared" ref="S789:S852" si="12">M789-R789</f>
        <v>2982.92</v>
      </c>
      <c r="T789" s="7"/>
      <c r="U789" s="6"/>
      <c r="V789" s="6"/>
      <c r="W789" s="6" t="s">
        <v>55</v>
      </c>
      <c r="X789" s="6"/>
      <c r="Y789" s="6" t="s">
        <v>2886</v>
      </c>
      <c r="Z789" s="6" t="s">
        <v>1349</v>
      </c>
      <c r="AA789" s="6" t="s">
        <v>40</v>
      </c>
    </row>
    <row r="790" spans="1:27">
      <c r="A790" s="6">
        <v>789</v>
      </c>
      <c r="B790" s="6"/>
      <c r="C790" s="7">
        <v>46144</v>
      </c>
      <c r="D790" s="6" t="s">
        <v>28</v>
      </c>
      <c r="E790" s="6" t="s">
        <v>2712</v>
      </c>
      <c r="F790" s="6" t="s">
        <v>30</v>
      </c>
      <c r="G790" s="6">
        <v>12</v>
      </c>
      <c r="H790" s="6" t="s">
        <v>2887</v>
      </c>
      <c r="I790" s="6" t="s">
        <v>2888</v>
      </c>
      <c r="J790" s="6" t="s">
        <v>2889</v>
      </c>
      <c r="K790" s="6" t="s">
        <v>2890</v>
      </c>
      <c r="L790" s="6">
        <v>1950.87</v>
      </c>
      <c r="M790" s="6">
        <v>1950.87</v>
      </c>
      <c r="N790" s="7" t="s">
        <v>35</v>
      </c>
      <c r="O790" s="6" t="s">
        <v>35</v>
      </c>
      <c r="P790" s="6" t="s">
        <v>35</v>
      </c>
      <c r="Q790" s="6" t="s">
        <v>36</v>
      </c>
      <c r="R790" s="6"/>
      <c r="S790" s="6">
        <f t="shared" si="12"/>
        <v>1950.87</v>
      </c>
      <c r="T790" s="7"/>
      <c r="U790" s="6"/>
      <c r="V790" s="6"/>
      <c r="W790" s="6" t="s">
        <v>103</v>
      </c>
      <c r="X790" s="6"/>
      <c r="Y790" s="6" t="s">
        <v>2891</v>
      </c>
      <c r="Z790" s="6" t="s">
        <v>235</v>
      </c>
      <c r="AA790" s="6" t="s">
        <v>40</v>
      </c>
    </row>
    <row r="791" spans="1:27">
      <c r="A791" s="6">
        <v>790</v>
      </c>
      <c r="B791" s="6"/>
      <c r="C791" s="7">
        <v>46144</v>
      </c>
      <c r="D791" s="6" t="s">
        <v>28</v>
      </c>
      <c r="E791" s="6" t="s">
        <v>2712</v>
      </c>
      <c r="F791" s="6" t="s">
        <v>30</v>
      </c>
      <c r="G791" s="6">
        <v>12</v>
      </c>
      <c r="H791" s="6" t="s">
        <v>1700</v>
      </c>
      <c r="I791" s="6" t="s">
        <v>1701</v>
      </c>
      <c r="J791" s="6" t="s">
        <v>1702</v>
      </c>
      <c r="K791" s="6" t="s">
        <v>1703</v>
      </c>
      <c r="L791" s="6">
        <v>2161.42</v>
      </c>
      <c r="M791" s="6">
        <v>2161.42</v>
      </c>
      <c r="N791" s="7" t="s">
        <v>35</v>
      </c>
      <c r="O791" s="6" t="s">
        <v>35</v>
      </c>
      <c r="P791" s="6" t="s">
        <v>35</v>
      </c>
      <c r="Q791" s="6" t="s">
        <v>36</v>
      </c>
      <c r="R791" s="6"/>
      <c r="S791" s="6">
        <f t="shared" si="12"/>
        <v>2161.42</v>
      </c>
      <c r="T791" s="7"/>
      <c r="U791" s="6"/>
      <c r="V791" s="6"/>
      <c r="W791" s="6" t="s">
        <v>82</v>
      </c>
      <c r="X791" s="6"/>
      <c r="Y791" s="6" t="s">
        <v>2892</v>
      </c>
      <c r="Z791" s="6" t="s">
        <v>1577</v>
      </c>
      <c r="AA791" s="6" t="s">
        <v>40</v>
      </c>
    </row>
    <row r="792" spans="1:27">
      <c r="A792" s="6">
        <v>791</v>
      </c>
      <c r="B792" s="6"/>
      <c r="C792" s="7">
        <v>46144</v>
      </c>
      <c r="D792" s="6" t="s">
        <v>28</v>
      </c>
      <c r="E792" s="6" t="s">
        <v>2712</v>
      </c>
      <c r="F792" s="6" t="s">
        <v>30</v>
      </c>
      <c r="G792" s="6">
        <v>12</v>
      </c>
      <c r="H792" s="6" t="s">
        <v>2893</v>
      </c>
      <c r="I792" s="6" t="s">
        <v>2894</v>
      </c>
      <c r="J792" s="6" t="s">
        <v>2895</v>
      </c>
      <c r="K792" s="6" t="s">
        <v>2896</v>
      </c>
      <c r="L792" s="6">
        <v>1677.63</v>
      </c>
      <c r="M792" s="6">
        <v>1677.63</v>
      </c>
      <c r="N792" s="7" t="s">
        <v>35</v>
      </c>
      <c r="O792" s="6" t="s">
        <v>35</v>
      </c>
      <c r="P792" s="6" t="s">
        <v>35</v>
      </c>
      <c r="Q792" s="6" t="s">
        <v>36</v>
      </c>
      <c r="R792" s="6"/>
      <c r="S792" s="6">
        <f t="shared" si="12"/>
        <v>1677.63</v>
      </c>
      <c r="T792" s="7"/>
      <c r="U792" s="6"/>
      <c r="V792" s="6"/>
      <c r="W792" s="6" t="s">
        <v>55</v>
      </c>
      <c r="X792" s="6"/>
      <c r="Y792" s="6" t="s">
        <v>2897</v>
      </c>
      <c r="Z792" s="6" t="s">
        <v>1349</v>
      </c>
      <c r="AA792" s="6" t="s">
        <v>40</v>
      </c>
    </row>
    <row r="793" spans="1:27">
      <c r="A793" s="6">
        <v>792</v>
      </c>
      <c r="B793" s="6"/>
      <c r="C793" s="7">
        <v>46144</v>
      </c>
      <c r="D793" s="6" t="s">
        <v>28</v>
      </c>
      <c r="E793" s="6" t="s">
        <v>2712</v>
      </c>
      <c r="F793" s="6" t="s">
        <v>30</v>
      </c>
      <c r="G793" s="6">
        <v>12</v>
      </c>
      <c r="H793" s="6" t="s">
        <v>2898</v>
      </c>
      <c r="I793" s="6" t="s">
        <v>2899</v>
      </c>
      <c r="J793" s="6" t="s">
        <v>2900</v>
      </c>
      <c r="K793" s="6"/>
      <c r="L793" s="6">
        <v>3641.15</v>
      </c>
      <c r="M793" s="6">
        <v>3641.15</v>
      </c>
      <c r="N793" s="7" t="s">
        <v>35</v>
      </c>
      <c r="O793" s="6" t="s">
        <v>35</v>
      </c>
      <c r="P793" s="6" t="s">
        <v>35</v>
      </c>
      <c r="Q793" s="6" t="s">
        <v>36</v>
      </c>
      <c r="R793" s="6"/>
      <c r="S793" s="6">
        <f t="shared" si="12"/>
        <v>3641.15</v>
      </c>
      <c r="T793" s="7"/>
      <c r="U793" s="6"/>
      <c r="V793" s="6"/>
      <c r="W793" s="6" t="s">
        <v>55</v>
      </c>
      <c r="X793" s="6"/>
      <c r="Y793" s="6" t="s">
        <v>2901</v>
      </c>
      <c r="Z793" s="6" t="s">
        <v>1973</v>
      </c>
      <c r="AA793" s="6" t="s">
        <v>40</v>
      </c>
    </row>
    <row r="794" spans="1:27">
      <c r="A794" s="6">
        <v>793</v>
      </c>
      <c r="B794" s="6"/>
      <c r="C794" s="7">
        <v>46144</v>
      </c>
      <c r="D794" s="6" t="s">
        <v>28</v>
      </c>
      <c r="E794" s="6" t="s">
        <v>2712</v>
      </c>
      <c r="F794" s="6" t="s">
        <v>30</v>
      </c>
      <c r="G794" s="6">
        <v>12</v>
      </c>
      <c r="H794" s="6" t="s">
        <v>2902</v>
      </c>
      <c r="I794" s="6" t="s">
        <v>2903</v>
      </c>
      <c r="J794" s="6" t="s">
        <v>2904</v>
      </c>
      <c r="K794" s="6" t="s">
        <v>2905</v>
      </c>
      <c r="L794" s="6">
        <v>1837.42</v>
      </c>
      <c r="M794" s="6">
        <v>1837.42</v>
      </c>
      <c r="N794" s="7" t="s">
        <v>35</v>
      </c>
      <c r="O794" s="6" t="s">
        <v>35</v>
      </c>
      <c r="P794" s="6" t="s">
        <v>35</v>
      </c>
      <c r="Q794" s="6" t="s">
        <v>36</v>
      </c>
      <c r="R794" s="6"/>
      <c r="S794" s="6">
        <f t="shared" si="12"/>
        <v>1837.42</v>
      </c>
      <c r="T794" s="7"/>
      <c r="U794" s="6"/>
      <c r="V794" s="6"/>
      <c r="W794" s="6" t="s">
        <v>103</v>
      </c>
      <c r="X794" s="6"/>
      <c r="Y794" s="6" t="s">
        <v>2906</v>
      </c>
      <c r="Z794" s="6" t="s">
        <v>1539</v>
      </c>
      <c r="AA794" s="6" t="s">
        <v>40</v>
      </c>
    </row>
    <row r="795" spans="1:27">
      <c r="A795" s="6">
        <v>794</v>
      </c>
      <c r="B795" s="6"/>
      <c r="C795" s="7">
        <v>46144</v>
      </c>
      <c r="D795" s="6" t="s">
        <v>28</v>
      </c>
      <c r="E795" s="6" t="s">
        <v>2712</v>
      </c>
      <c r="F795" s="6" t="s">
        <v>30</v>
      </c>
      <c r="G795" s="6">
        <v>12</v>
      </c>
      <c r="H795" s="6" t="s">
        <v>2907</v>
      </c>
      <c r="I795" s="6" t="s">
        <v>2908</v>
      </c>
      <c r="J795" s="6" t="s">
        <v>2909</v>
      </c>
      <c r="K795" s="6" t="s">
        <v>2910</v>
      </c>
      <c r="L795" s="6">
        <v>1442.85</v>
      </c>
      <c r="M795" s="6">
        <v>1442.85</v>
      </c>
      <c r="N795" s="7" t="s">
        <v>35</v>
      </c>
      <c r="O795" s="6" t="s">
        <v>35</v>
      </c>
      <c r="P795" s="6" t="s">
        <v>35</v>
      </c>
      <c r="Q795" s="6" t="s">
        <v>36</v>
      </c>
      <c r="R795" s="6"/>
      <c r="S795" s="6">
        <f t="shared" si="12"/>
        <v>1442.85</v>
      </c>
      <c r="T795" s="7"/>
      <c r="U795" s="6"/>
      <c r="V795" s="6"/>
      <c r="W795" s="6" t="s">
        <v>2720</v>
      </c>
      <c r="X795" s="6"/>
      <c r="Y795" s="6" t="s">
        <v>2911</v>
      </c>
      <c r="Z795" s="6" t="s">
        <v>235</v>
      </c>
      <c r="AA795" s="6" t="s">
        <v>40</v>
      </c>
    </row>
    <row r="796" spans="1:27">
      <c r="A796" s="6">
        <v>795</v>
      </c>
      <c r="B796" s="6"/>
      <c r="C796" s="7">
        <v>46144</v>
      </c>
      <c r="D796" s="6" t="s">
        <v>28</v>
      </c>
      <c r="E796" s="6" t="s">
        <v>2712</v>
      </c>
      <c r="F796" s="6" t="s">
        <v>30</v>
      </c>
      <c r="G796" s="6">
        <v>12</v>
      </c>
      <c r="H796" s="6" t="s">
        <v>2912</v>
      </c>
      <c r="I796" s="6" t="s">
        <v>2913</v>
      </c>
      <c r="J796" s="6" t="s">
        <v>2914</v>
      </c>
      <c r="K796" s="6"/>
      <c r="L796" s="6">
        <v>2297.19</v>
      </c>
      <c r="M796" s="6">
        <v>2297.19</v>
      </c>
      <c r="N796" s="7" t="s">
        <v>35</v>
      </c>
      <c r="O796" s="6" t="s">
        <v>35</v>
      </c>
      <c r="P796" s="6" t="s">
        <v>35</v>
      </c>
      <c r="Q796" s="6" t="s">
        <v>36</v>
      </c>
      <c r="R796" s="6"/>
      <c r="S796" s="6">
        <f t="shared" si="12"/>
        <v>2297.19</v>
      </c>
      <c r="T796" s="7"/>
      <c r="U796" s="6"/>
      <c r="V796" s="6"/>
      <c r="W796" s="6" t="s">
        <v>82</v>
      </c>
      <c r="X796" s="6"/>
      <c r="Y796" s="6" t="s">
        <v>2915</v>
      </c>
      <c r="Z796" s="6" t="s">
        <v>1577</v>
      </c>
      <c r="AA796" s="6" t="s">
        <v>40</v>
      </c>
    </row>
    <row r="797" spans="1:27">
      <c r="A797" s="6">
        <v>796</v>
      </c>
      <c r="B797" s="6"/>
      <c r="C797" s="7">
        <v>46144</v>
      </c>
      <c r="D797" s="6" t="s">
        <v>28</v>
      </c>
      <c r="E797" s="6" t="s">
        <v>2712</v>
      </c>
      <c r="F797" s="6" t="s">
        <v>30</v>
      </c>
      <c r="G797" s="6">
        <v>12</v>
      </c>
      <c r="H797" s="6" t="s">
        <v>2916</v>
      </c>
      <c r="I797" s="6" t="s">
        <v>2917</v>
      </c>
      <c r="J797" s="6" t="s">
        <v>2918</v>
      </c>
      <c r="K797" s="6"/>
      <c r="L797" s="6">
        <v>2674.92</v>
      </c>
      <c r="M797" s="6">
        <v>2674.92</v>
      </c>
      <c r="N797" s="7" t="s">
        <v>35</v>
      </c>
      <c r="O797" s="6" t="s">
        <v>35</v>
      </c>
      <c r="P797" s="6" t="s">
        <v>35</v>
      </c>
      <c r="Q797" s="6" t="s">
        <v>36</v>
      </c>
      <c r="R797" s="6"/>
      <c r="S797" s="6">
        <f t="shared" si="12"/>
        <v>2674.92</v>
      </c>
      <c r="T797" s="7"/>
      <c r="U797" s="6"/>
      <c r="V797" s="6"/>
      <c r="W797" s="6" t="s">
        <v>444</v>
      </c>
      <c r="X797" s="6"/>
      <c r="Y797" s="6" t="s">
        <v>2919</v>
      </c>
      <c r="Z797" s="6" t="s">
        <v>1555</v>
      </c>
      <c r="AA797" s="6" t="s">
        <v>40</v>
      </c>
    </row>
    <row r="798" spans="1:27">
      <c r="A798" s="6">
        <v>797</v>
      </c>
      <c r="B798" s="6"/>
      <c r="C798" s="7">
        <v>46144</v>
      </c>
      <c r="D798" s="6" t="s">
        <v>28</v>
      </c>
      <c r="E798" s="6" t="s">
        <v>2712</v>
      </c>
      <c r="F798" s="6" t="s">
        <v>30</v>
      </c>
      <c r="G798" s="6">
        <v>12</v>
      </c>
      <c r="H798" s="6" t="s">
        <v>2920</v>
      </c>
      <c r="I798" s="6" t="s">
        <v>2921</v>
      </c>
      <c r="J798" s="6" t="s">
        <v>2922</v>
      </c>
      <c r="K798" s="6" t="s">
        <v>2923</v>
      </c>
      <c r="L798" s="6">
        <v>1192.46</v>
      </c>
      <c r="M798" s="6">
        <v>1192.46</v>
      </c>
      <c r="N798" s="7" t="s">
        <v>35</v>
      </c>
      <c r="O798" s="6" t="s">
        <v>35</v>
      </c>
      <c r="P798" s="6" t="s">
        <v>35</v>
      </c>
      <c r="Q798" s="6" t="s">
        <v>36</v>
      </c>
      <c r="R798" s="6"/>
      <c r="S798" s="6">
        <f t="shared" si="12"/>
        <v>1192.46</v>
      </c>
      <c r="T798" s="7"/>
      <c r="U798" s="6"/>
      <c r="V798" s="6"/>
      <c r="W798" s="6" t="s">
        <v>103</v>
      </c>
      <c r="X798" s="6"/>
      <c r="Y798" s="6" t="s">
        <v>2924</v>
      </c>
      <c r="Z798" s="6" t="s">
        <v>1539</v>
      </c>
      <c r="AA798" s="6" t="s">
        <v>40</v>
      </c>
    </row>
    <row r="799" spans="1:27">
      <c r="A799" s="6">
        <v>798</v>
      </c>
      <c r="B799" s="6"/>
      <c r="C799" s="7">
        <v>46144</v>
      </c>
      <c r="D799" s="6" t="s">
        <v>28</v>
      </c>
      <c r="E799" s="6" t="s">
        <v>2712</v>
      </c>
      <c r="F799" s="6" t="s">
        <v>30</v>
      </c>
      <c r="G799" s="6">
        <v>12</v>
      </c>
      <c r="H799" s="6" t="s">
        <v>2925</v>
      </c>
      <c r="I799" s="6" t="s">
        <v>2926</v>
      </c>
      <c r="J799" s="6" t="s">
        <v>2927</v>
      </c>
      <c r="K799" s="6" t="s">
        <v>2928</v>
      </c>
      <c r="L799" s="6">
        <v>1095.43</v>
      </c>
      <c r="M799" s="6">
        <v>1095.43</v>
      </c>
      <c r="N799" s="7" t="s">
        <v>35</v>
      </c>
      <c r="O799" s="6" t="s">
        <v>35</v>
      </c>
      <c r="P799" s="6" t="s">
        <v>35</v>
      </c>
      <c r="Q799" s="6" t="s">
        <v>36</v>
      </c>
      <c r="R799" s="6"/>
      <c r="S799" s="6">
        <f t="shared" si="12"/>
        <v>1095.43</v>
      </c>
      <c r="T799" s="7"/>
      <c r="U799" s="6"/>
      <c r="V799" s="6"/>
      <c r="W799" s="6" t="s">
        <v>55</v>
      </c>
      <c r="X799" s="6"/>
      <c r="Y799" s="6" t="s">
        <v>2929</v>
      </c>
      <c r="Z799" s="6" t="s">
        <v>1577</v>
      </c>
      <c r="AA799" s="6" t="s">
        <v>40</v>
      </c>
    </row>
    <row r="800" spans="1:27">
      <c r="A800" s="6">
        <v>799</v>
      </c>
      <c r="B800" s="6"/>
      <c r="C800" s="7">
        <v>46144</v>
      </c>
      <c r="D800" s="6" t="s">
        <v>28</v>
      </c>
      <c r="E800" s="6" t="s">
        <v>2712</v>
      </c>
      <c r="F800" s="6" t="s">
        <v>30</v>
      </c>
      <c r="G800" s="6">
        <v>12</v>
      </c>
      <c r="H800" s="6" t="s">
        <v>2930</v>
      </c>
      <c r="I800" s="6" t="s">
        <v>2931</v>
      </c>
      <c r="J800" s="6" t="s">
        <v>2932</v>
      </c>
      <c r="K800" s="6" t="s">
        <v>2933</v>
      </c>
      <c r="L800" s="6">
        <v>679.59</v>
      </c>
      <c r="M800" s="6">
        <v>679.59</v>
      </c>
      <c r="N800" s="7" t="s">
        <v>35</v>
      </c>
      <c r="O800" s="6" t="s">
        <v>35</v>
      </c>
      <c r="P800" s="6" t="s">
        <v>35</v>
      </c>
      <c r="Q800" s="6" t="s">
        <v>36</v>
      </c>
      <c r="R800" s="6"/>
      <c r="S800" s="6">
        <f t="shared" si="12"/>
        <v>679.59</v>
      </c>
      <c r="T800" s="7"/>
      <c r="U800" s="6"/>
      <c r="V800" s="6"/>
      <c r="W800" s="6" t="s">
        <v>55</v>
      </c>
      <c r="X800" s="6"/>
      <c r="Y800" s="6" t="s">
        <v>2934</v>
      </c>
      <c r="Z800" s="6" t="s">
        <v>1349</v>
      </c>
      <c r="AA800" s="6" t="s">
        <v>40</v>
      </c>
    </row>
    <row r="801" spans="1:27">
      <c r="A801" s="6">
        <v>800</v>
      </c>
      <c r="B801" s="6"/>
      <c r="C801" s="7">
        <v>46144</v>
      </c>
      <c r="D801" s="6" t="s">
        <v>28</v>
      </c>
      <c r="E801" s="6" t="s">
        <v>2712</v>
      </c>
      <c r="F801" s="6" t="s">
        <v>30</v>
      </c>
      <c r="G801" s="6">
        <v>12</v>
      </c>
      <c r="H801" s="6" t="s">
        <v>2935</v>
      </c>
      <c r="I801" s="6" t="s">
        <v>2936</v>
      </c>
      <c r="J801" s="6" t="s">
        <v>2937</v>
      </c>
      <c r="K801" s="6" t="s">
        <v>2938</v>
      </c>
      <c r="L801" s="6">
        <v>736.8</v>
      </c>
      <c r="M801" s="6">
        <v>736.8</v>
      </c>
      <c r="N801" s="7" t="s">
        <v>35</v>
      </c>
      <c r="O801" s="6" t="s">
        <v>35</v>
      </c>
      <c r="P801" s="6" t="s">
        <v>35</v>
      </c>
      <c r="Q801" s="6" t="s">
        <v>36</v>
      </c>
      <c r="R801" s="6"/>
      <c r="S801" s="6">
        <f t="shared" si="12"/>
        <v>736.8</v>
      </c>
      <c r="T801" s="7"/>
      <c r="U801" s="6"/>
      <c r="V801" s="6"/>
      <c r="W801" s="6" t="s">
        <v>37</v>
      </c>
      <c r="X801" s="6" t="s">
        <v>1403</v>
      </c>
      <c r="Y801" s="6" t="s">
        <v>2939</v>
      </c>
      <c r="Z801" s="6" t="s">
        <v>1336</v>
      </c>
      <c r="AA801" s="6" t="s">
        <v>40</v>
      </c>
    </row>
    <row r="802" spans="1:27">
      <c r="A802" s="6">
        <v>801</v>
      </c>
      <c r="B802" s="6"/>
      <c r="C802" s="7">
        <v>46144</v>
      </c>
      <c r="D802" s="6" t="s">
        <v>28</v>
      </c>
      <c r="E802" s="6" t="s">
        <v>2712</v>
      </c>
      <c r="F802" s="6" t="s">
        <v>30</v>
      </c>
      <c r="G802" s="6">
        <v>12</v>
      </c>
      <c r="H802" s="6" t="s">
        <v>2940</v>
      </c>
      <c r="I802" s="6" t="s">
        <v>2941</v>
      </c>
      <c r="J802" s="6" t="s">
        <v>2942</v>
      </c>
      <c r="K802" s="6" t="s">
        <v>2943</v>
      </c>
      <c r="L802" s="6">
        <v>609.91999999999996</v>
      </c>
      <c r="M802" s="6">
        <v>609.91999999999996</v>
      </c>
      <c r="N802" s="7" t="s">
        <v>35</v>
      </c>
      <c r="O802" s="6" t="s">
        <v>35</v>
      </c>
      <c r="P802" s="6" t="s">
        <v>35</v>
      </c>
      <c r="Q802" s="6" t="s">
        <v>36</v>
      </c>
      <c r="R802" s="6"/>
      <c r="S802" s="6">
        <f t="shared" si="12"/>
        <v>609.91999999999996</v>
      </c>
      <c r="T802" s="7"/>
      <c r="U802" s="6"/>
      <c r="V802" s="6"/>
      <c r="W802" s="6" t="s">
        <v>55</v>
      </c>
      <c r="X802" s="6"/>
      <c r="Y802" s="6" t="s">
        <v>2944</v>
      </c>
      <c r="Z802" s="6" t="s">
        <v>1349</v>
      </c>
      <c r="AA802" s="6" t="s">
        <v>40</v>
      </c>
    </row>
    <row r="803" spans="1:27">
      <c r="A803" s="6">
        <v>802</v>
      </c>
      <c r="B803" s="6"/>
      <c r="C803" s="7">
        <v>46144</v>
      </c>
      <c r="D803" s="6" t="s">
        <v>28</v>
      </c>
      <c r="E803" s="6" t="s">
        <v>2712</v>
      </c>
      <c r="F803" s="6" t="s">
        <v>30</v>
      </c>
      <c r="G803" s="6">
        <v>12</v>
      </c>
      <c r="H803" s="6" t="s">
        <v>2945</v>
      </c>
      <c r="I803" s="6" t="s">
        <v>2946</v>
      </c>
      <c r="J803" s="6" t="s">
        <v>2947</v>
      </c>
      <c r="K803" s="6" t="s">
        <v>2948</v>
      </c>
      <c r="L803" s="6">
        <v>505.9</v>
      </c>
      <c r="M803" s="6">
        <v>505.9</v>
      </c>
      <c r="N803" s="7" t="s">
        <v>35</v>
      </c>
      <c r="O803" s="6" t="s">
        <v>35</v>
      </c>
      <c r="P803" s="6" t="s">
        <v>35</v>
      </c>
      <c r="Q803" s="6" t="s">
        <v>36</v>
      </c>
      <c r="R803" s="6"/>
      <c r="S803" s="6">
        <f t="shared" si="12"/>
        <v>505.9</v>
      </c>
      <c r="T803" s="7"/>
      <c r="U803" s="6"/>
      <c r="V803" s="6"/>
      <c r="W803" s="6" t="s">
        <v>37</v>
      </c>
      <c r="X803" s="6" t="s">
        <v>1403</v>
      </c>
      <c r="Y803" s="6" t="s">
        <v>2949</v>
      </c>
      <c r="Z803" s="6" t="s">
        <v>1336</v>
      </c>
      <c r="AA803" s="6" t="s">
        <v>40</v>
      </c>
    </row>
    <row r="804" spans="1:27">
      <c r="A804" s="6">
        <v>803</v>
      </c>
      <c r="B804" s="6" t="s">
        <v>342</v>
      </c>
      <c r="C804" s="7">
        <v>46144</v>
      </c>
      <c r="D804" s="6" t="s">
        <v>226</v>
      </c>
      <c r="E804" s="6" t="s">
        <v>2712</v>
      </c>
      <c r="F804" s="6" t="s">
        <v>240</v>
      </c>
      <c r="G804" s="6">
        <v>2</v>
      </c>
      <c r="H804" s="6" t="s">
        <v>2950</v>
      </c>
      <c r="I804" s="6">
        <v>7338068373</v>
      </c>
      <c r="J804" s="6" t="s">
        <v>2951</v>
      </c>
      <c r="K804" s="6" t="s">
        <v>2951</v>
      </c>
      <c r="L804" s="6">
        <v>6750</v>
      </c>
      <c r="M804" s="6">
        <v>6750</v>
      </c>
      <c r="N804" s="7" t="s">
        <v>239</v>
      </c>
      <c r="O804" s="6" t="s">
        <v>239</v>
      </c>
      <c r="P804" s="6" t="s">
        <v>239</v>
      </c>
      <c r="Q804" s="6" t="s">
        <v>236</v>
      </c>
      <c r="R804" s="6"/>
      <c r="S804" s="6">
        <f t="shared" si="12"/>
        <v>6750</v>
      </c>
      <c r="T804" s="7"/>
      <c r="U804" s="6"/>
      <c r="V804" s="6"/>
      <c r="W804" s="6" t="s">
        <v>236</v>
      </c>
      <c r="X804" s="6" t="s">
        <v>236</v>
      </c>
      <c r="Y804" s="6" t="s">
        <v>236</v>
      </c>
      <c r="Z804" s="6" t="s">
        <v>236</v>
      </c>
      <c r="AA804" s="6" t="s">
        <v>236</v>
      </c>
    </row>
    <row r="805" spans="1:27">
      <c r="A805" s="6">
        <v>804</v>
      </c>
      <c r="B805" s="6" t="s">
        <v>342</v>
      </c>
      <c r="C805" s="7">
        <v>46144</v>
      </c>
      <c r="D805" s="6" t="s">
        <v>226</v>
      </c>
      <c r="E805" s="6" t="s">
        <v>2712</v>
      </c>
      <c r="F805" s="6" t="s">
        <v>240</v>
      </c>
      <c r="G805" s="6">
        <v>2</v>
      </c>
      <c r="H805" s="6" t="s">
        <v>2952</v>
      </c>
      <c r="I805" s="6">
        <v>7384548873</v>
      </c>
      <c r="J805" s="6" t="s">
        <v>2953</v>
      </c>
      <c r="K805" s="6" t="s">
        <v>2953</v>
      </c>
      <c r="L805" s="6">
        <v>2310</v>
      </c>
      <c r="M805" s="6">
        <v>2310</v>
      </c>
      <c r="N805" s="7" t="s">
        <v>239</v>
      </c>
      <c r="O805" s="6" t="s">
        <v>239</v>
      </c>
      <c r="P805" s="6" t="s">
        <v>239</v>
      </c>
      <c r="Q805" s="6" t="s">
        <v>236</v>
      </c>
      <c r="R805" s="6"/>
      <c r="S805" s="6">
        <f t="shared" si="12"/>
        <v>2310</v>
      </c>
      <c r="T805" s="7"/>
      <c r="U805" s="6"/>
      <c r="V805" s="6"/>
      <c r="W805" s="6" t="s">
        <v>236</v>
      </c>
      <c r="X805" s="6" t="s">
        <v>236</v>
      </c>
      <c r="Y805" s="6" t="s">
        <v>236</v>
      </c>
      <c r="Z805" s="6" t="s">
        <v>236</v>
      </c>
      <c r="AA805" s="6" t="s">
        <v>236</v>
      </c>
    </row>
    <row r="806" spans="1:27">
      <c r="A806" s="6">
        <v>805</v>
      </c>
      <c r="B806" s="6" t="s">
        <v>342</v>
      </c>
      <c r="C806" s="7">
        <v>46144</v>
      </c>
      <c r="D806" s="6" t="s">
        <v>226</v>
      </c>
      <c r="E806" s="6" t="s">
        <v>2712</v>
      </c>
      <c r="F806" s="6" t="s">
        <v>240</v>
      </c>
      <c r="G806" s="6">
        <v>2</v>
      </c>
      <c r="H806" s="6" t="s">
        <v>2954</v>
      </c>
      <c r="I806" s="6">
        <v>9063193799</v>
      </c>
      <c r="J806" s="6" t="s">
        <v>2955</v>
      </c>
      <c r="K806" s="6" t="s">
        <v>2955</v>
      </c>
      <c r="L806" s="6">
        <v>3070</v>
      </c>
      <c r="M806" s="6">
        <v>3070</v>
      </c>
      <c r="N806" s="7" t="s">
        <v>239</v>
      </c>
      <c r="O806" s="6" t="s">
        <v>239</v>
      </c>
      <c r="P806" s="6" t="s">
        <v>239</v>
      </c>
      <c r="Q806" s="6" t="s">
        <v>236</v>
      </c>
      <c r="R806" s="6"/>
      <c r="S806" s="6">
        <f t="shared" si="12"/>
        <v>3070</v>
      </c>
      <c r="T806" s="7"/>
      <c r="U806" s="6"/>
      <c r="V806" s="6"/>
      <c r="W806" s="6" t="s">
        <v>236</v>
      </c>
      <c r="X806" s="6" t="s">
        <v>236</v>
      </c>
      <c r="Y806" s="6" t="s">
        <v>236</v>
      </c>
      <c r="Z806" s="6" t="s">
        <v>236</v>
      </c>
      <c r="AA806" s="6" t="s">
        <v>236</v>
      </c>
    </row>
    <row r="807" spans="1:27">
      <c r="A807" s="6">
        <v>806</v>
      </c>
      <c r="B807" s="6" t="s">
        <v>346</v>
      </c>
      <c r="C807" s="7">
        <v>46144</v>
      </c>
      <c r="D807" s="6" t="s">
        <v>226</v>
      </c>
      <c r="E807" s="6" t="s">
        <v>2712</v>
      </c>
      <c r="F807" s="6" t="s">
        <v>240</v>
      </c>
      <c r="G807" s="6">
        <v>2</v>
      </c>
      <c r="H807" s="6" t="s">
        <v>2956</v>
      </c>
      <c r="I807" s="6">
        <v>9932396827</v>
      </c>
      <c r="J807" s="6" t="s">
        <v>2957</v>
      </c>
      <c r="K807" s="6" t="s">
        <v>2957</v>
      </c>
      <c r="L807" s="6">
        <v>1240</v>
      </c>
      <c r="M807" s="6">
        <v>1240</v>
      </c>
      <c r="N807" s="7" t="s">
        <v>239</v>
      </c>
      <c r="O807" s="6" t="s">
        <v>239</v>
      </c>
      <c r="P807" s="6" t="s">
        <v>239</v>
      </c>
      <c r="Q807" s="6" t="s">
        <v>236</v>
      </c>
      <c r="R807" s="6"/>
      <c r="S807" s="6">
        <f t="shared" si="12"/>
        <v>1240</v>
      </c>
      <c r="T807" s="7"/>
      <c r="U807" s="6"/>
      <c r="V807" s="6"/>
      <c r="W807" s="6" t="s">
        <v>236</v>
      </c>
      <c r="X807" s="6" t="s">
        <v>236</v>
      </c>
      <c r="Y807" s="6" t="s">
        <v>236</v>
      </c>
      <c r="Z807" s="6" t="s">
        <v>236</v>
      </c>
      <c r="AA807" s="6" t="s">
        <v>236</v>
      </c>
    </row>
    <row r="808" spans="1:27">
      <c r="A808" s="6">
        <v>807</v>
      </c>
      <c r="B808" s="6" t="s">
        <v>346</v>
      </c>
      <c r="C808" s="7">
        <v>46144</v>
      </c>
      <c r="D808" s="6" t="s">
        <v>226</v>
      </c>
      <c r="E808" s="6" t="s">
        <v>2712</v>
      </c>
      <c r="F808" s="6" t="s">
        <v>240</v>
      </c>
      <c r="G808" s="6">
        <v>2</v>
      </c>
      <c r="H808" s="6" t="s">
        <v>2958</v>
      </c>
      <c r="I808" s="6">
        <v>6309479062</v>
      </c>
      <c r="J808" s="6" t="s">
        <v>2959</v>
      </c>
      <c r="K808" s="6" t="s">
        <v>2959</v>
      </c>
      <c r="L808" s="6">
        <v>3100</v>
      </c>
      <c r="M808" s="6">
        <v>3100</v>
      </c>
      <c r="N808" s="7" t="s">
        <v>239</v>
      </c>
      <c r="O808" s="6" t="s">
        <v>239</v>
      </c>
      <c r="P808" s="6" t="s">
        <v>239</v>
      </c>
      <c r="Q808" s="6" t="s">
        <v>236</v>
      </c>
      <c r="R808" s="6"/>
      <c r="S808" s="6">
        <f t="shared" si="12"/>
        <v>3100</v>
      </c>
      <c r="T808" s="7"/>
      <c r="U808" s="6"/>
      <c r="V808" s="6"/>
      <c r="W808" s="6" t="s">
        <v>236</v>
      </c>
      <c r="X808" s="6" t="s">
        <v>236</v>
      </c>
      <c r="Y808" s="6" t="s">
        <v>236</v>
      </c>
      <c r="Z808" s="6" t="s">
        <v>236</v>
      </c>
      <c r="AA808" s="6" t="s">
        <v>236</v>
      </c>
    </row>
    <row r="809" spans="1:27">
      <c r="A809" s="6">
        <v>808</v>
      </c>
      <c r="B809" s="6" t="s">
        <v>346</v>
      </c>
      <c r="C809" s="7">
        <v>46144</v>
      </c>
      <c r="D809" s="6" t="s">
        <v>226</v>
      </c>
      <c r="E809" s="6" t="s">
        <v>2712</v>
      </c>
      <c r="F809" s="6" t="s">
        <v>240</v>
      </c>
      <c r="G809" s="6">
        <v>2</v>
      </c>
      <c r="H809" s="6" t="s">
        <v>2960</v>
      </c>
      <c r="I809" s="6">
        <v>9342565153</v>
      </c>
      <c r="J809" s="6" t="s">
        <v>2961</v>
      </c>
      <c r="K809" s="6" t="s">
        <v>2961</v>
      </c>
      <c r="L809" s="6">
        <v>670</v>
      </c>
      <c r="M809" s="6">
        <v>670</v>
      </c>
      <c r="N809" s="7" t="s">
        <v>239</v>
      </c>
      <c r="O809" s="6" t="s">
        <v>239</v>
      </c>
      <c r="P809" s="6" t="s">
        <v>239</v>
      </c>
      <c r="Q809" s="6" t="s">
        <v>236</v>
      </c>
      <c r="R809" s="6"/>
      <c r="S809" s="6">
        <f t="shared" si="12"/>
        <v>670</v>
      </c>
      <c r="T809" s="7"/>
      <c r="U809" s="6"/>
      <c r="V809" s="6"/>
      <c r="W809" s="6" t="s">
        <v>236</v>
      </c>
      <c r="X809" s="6" t="s">
        <v>236</v>
      </c>
      <c r="Y809" s="6" t="s">
        <v>236</v>
      </c>
      <c r="Z809" s="6" t="s">
        <v>236</v>
      </c>
      <c r="AA809" s="6" t="s">
        <v>236</v>
      </c>
    </row>
    <row r="810" spans="1:27">
      <c r="A810" s="6">
        <v>809</v>
      </c>
      <c r="B810" s="6" t="s">
        <v>346</v>
      </c>
      <c r="C810" s="7">
        <v>46144</v>
      </c>
      <c r="D810" s="6" t="s">
        <v>226</v>
      </c>
      <c r="E810" s="6" t="s">
        <v>2712</v>
      </c>
      <c r="F810" s="6" t="s">
        <v>240</v>
      </c>
      <c r="G810" s="6">
        <v>2</v>
      </c>
      <c r="H810" s="6" t="s">
        <v>2962</v>
      </c>
      <c r="I810" s="6">
        <v>7095999240</v>
      </c>
      <c r="J810" s="6" t="s">
        <v>2963</v>
      </c>
      <c r="K810" s="6" t="s">
        <v>2963</v>
      </c>
      <c r="L810" s="6">
        <v>1620</v>
      </c>
      <c r="M810" s="6">
        <v>1620</v>
      </c>
      <c r="N810" s="7" t="s">
        <v>239</v>
      </c>
      <c r="O810" s="6" t="s">
        <v>239</v>
      </c>
      <c r="P810" s="6" t="s">
        <v>239</v>
      </c>
      <c r="Q810" s="6" t="s">
        <v>236</v>
      </c>
      <c r="R810" s="6"/>
      <c r="S810" s="6">
        <f t="shared" si="12"/>
        <v>1620</v>
      </c>
      <c r="T810" s="7"/>
      <c r="U810" s="6"/>
      <c r="V810" s="6"/>
      <c r="W810" s="6" t="s">
        <v>236</v>
      </c>
      <c r="X810" s="6" t="s">
        <v>236</v>
      </c>
      <c r="Y810" s="6" t="s">
        <v>236</v>
      </c>
      <c r="Z810" s="6" t="s">
        <v>236</v>
      </c>
      <c r="AA810" s="6" t="s">
        <v>236</v>
      </c>
    </row>
    <row r="811" spans="1:27">
      <c r="A811" s="6">
        <v>810</v>
      </c>
      <c r="B811" s="6" t="s">
        <v>346</v>
      </c>
      <c r="C811" s="7">
        <v>46144</v>
      </c>
      <c r="D811" s="6" t="s">
        <v>226</v>
      </c>
      <c r="E811" s="6" t="s">
        <v>2712</v>
      </c>
      <c r="F811" s="6" t="s">
        <v>240</v>
      </c>
      <c r="G811" s="6">
        <v>2</v>
      </c>
      <c r="H811" s="6" t="s">
        <v>2964</v>
      </c>
      <c r="I811" s="6">
        <v>8220464246</v>
      </c>
      <c r="J811" s="6" t="s">
        <v>2965</v>
      </c>
      <c r="K811" s="6" t="s">
        <v>2965</v>
      </c>
      <c r="L811" s="6">
        <v>590</v>
      </c>
      <c r="M811" s="6">
        <v>590</v>
      </c>
      <c r="N811" s="7" t="s">
        <v>239</v>
      </c>
      <c r="O811" s="6" t="s">
        <v>239</v>
      </c>
      <c r="P811" s="6" t="s">
        <v>239</v>
      </c>
      <c r="Q811" s="6" t="s">
        <v>236</v>
      </c>
      <c r="R811" s="6"/>
      <c r="S811" s="6">
        <f t="shared" si="12"/>
        <v>590</v>
      </c>
      <c r="T811" s="7"/>
      <c r="U811" s="6"/>
      <c r="V811" s="6"/>
      <c r="W811" s="6" t="s">
        <v>236</v>
      </c>
      <c r="X811" s="6" t="s">
        <v>236</v>
      </c>
      <c r="Y811" s="6" t="s">
        <v>236</v>
      </c>
      <c r="Z811" s="6" t="s">
        <v>236</v>
      </c>
      <c r="AA811" s="6" t="s">
        <v>236</v>
      </c>
    </row>
    <row r="812" spans="1:27">
      <c r="A812" s="6">
        <v>811</v>
      </c>
      <c r="B812" s="6" t="s">
        <v>346</v>
      </c>
      <c r="C812" s="7">
        <v>46144</v>
      </c>
      <c r="D812" s="6" t="s">
        <v>226</v>
      </c>
      <c r="E812" s="6" t="s">
        <v>2712</v>
      </c>
      <c r="F812" s="6" t="s">
        <v>240</v>
      </c>
      <c r="G812" s="6">
        <v>2</v>
      </c>
      <c r="H812" s="6" t="s">
        <v>2966</v>
      </c>
      <c r="I812" s="6">
        <v>9620107997</v>
      </c>
      <c r="J812" s="6" t="s">
        <v>2967</v>
      </c>
      <c r="K812" s="6" t="s">
        <v>2967</v>
      </c>
      <c r="L812" s="6">
        <v>850</v>
      </c>
      <c r="M812" s="6">
        <v>850</v>
      </c>
      <c r="N812" s="7" t="s">
        <v>239</v>
      </c>
      <c r="O812" s="6" t="s">
        <v>239</v>
      </c>
      <c r="P812" s="6" t="s">
        <v>239</v>
      </c>
      <c r="Q812" s="6" t="s">
        <v>236</v>
      </c>
      <c r="R812" s="6"/>
      <c r="S812" s="6">
        <f t="shared" si="12"/>
        <v>850</v>
      </c>
      <c r="T812" s="7"/>
      <c r="U812" s="6"/>
      <c r="V812" s="6"/>
      <c r="W812" s="6" t="s">
        <v>236</v>
      </c>
      <c r="X812" s="6" t="s">
        <v>236</v>
      </c>
      <c r="Y812" s="6" t="s">
        <v>236</v>
      </c>
      <c r="Z812" s="6" t="s">
        <v>236</v>
      </c>
      <c r="AA812" s="6" t="s">
        <v>236</v>
      </c>
    </row>
    <row r="813" spans="1:27">
      <c r="A813" s="6">
        <v>812</v>
      </c>
      <c r="B813" s="6" t="s">
        <v>346</v>
      </c>
      <c r="C813" s="7">
        <v>46144</v>
      </c>
      <c r="D813" s="6" t="s">
        <v>226</v>
      </c>
      <c r="E813" s="6" t="s">
        <v>2712</v>
      </c>
      <c r="F813" s="6" t="s">
        <v>240</v>
      </c>
      <c r="G813" s="6">
        <v>2</v>
      </c>
      <c r="H813" s="6" t="s">
        <v>2968</v>
      </c>
      <c r="I813" s="6">
        <v>9849033929</v>
      </c>
      <c r="J813" s="6" t="s">
        <v>2969</v>
      </c>
      <c r="K813" s="6" t="s">
        <v>2969</v>
      </c>
      <c r="L813" s="6">
        <v>110</v>
      </c>
      <c r="M813" s="6">
        <v>110</v>
      </c>
      <c r="N813" s="7" t="s">
        <v>239</v>
      </c>
      <c r="O813" s="6" t="s">
        <v>239</v>
      </c>
      <c r="P813" s="6" t="s">
        <v>239</v>
      </c>
      <c r="Q813" s="6" t="s">
        <v>236</v>
      </c>
      <c r="R813" s="6"/>
      <c r="S813" s="6">
        <f t="shared" si="12"/>
        <v>110</v>
      </c>
      <c r="T813" s="7"/>
      <c r="U813" s="6"/>
      <c r="V813" s="6"/>
      <c r="W813" s="6" t="s">
        <v>236</v>
      </c>
      <c r="X813" s="6" t="s">
        <v>236</v>
      </c>
      <c r="Y813" s="6" t="s">
        <v>236</v>
      </c>
      <c r="Z813" s="6" t="s">
        <v>236</v>
      </c>
      <c r="AA813" s="6" t="s">
        <v>236</v>
      </c>
    </row>
    <row r="814" spans="1:27">
      <c r="A814" s="6">
        <v>813</v>
      </c>
      <c r="B814" s="6" t="s">
        <v>346</v>
      </c>
      <c r="C814" s="7">
        <v>46144</v>
      </c>
      <c r="D814" s="6" t="s">
        <v>226</v>
      </c>
      <c r="E814" s="6" t="s">
        <v>2712</v>
      </c>
      <c r="F814" s="6" t="s">
        <v>240</v>
      </c>
      <c r="G814" s="6">
        <v>2</v>
      </c>
      <c r="H814" s="6" t="s">
        <v>2970</v>
      </c>
      <c r="I814" s="6">
        <v>8341045092</v>
      </c>
      <c r="J814" s="6" t="s">
        <v>2971</v>
      </c>
      <c r="K814" s="6" t="s">
        <v>2971</v>
      </c>
      <c r="L814" s="6">
        <v>920</v>
      </c>
      <c r="M814" s="6">
        <v>920</v>
      </c>
      <c r="N814" s="7" t="s">
        <v>239</v>
      </c>
      <c r="O814" s="6" t="s">
        <v>239</v>
      </c>
      <c r="P814" s="6" t="s">
        <v>239</v>
      </c>
      <c r="Q814" s="6" t="s">
        <v>236</v>
      </c>
      <c r="R814" s="6"/>
      <c r="S814" s="6">
        <f t="shared" si="12"/>
        <v>920</v>
      </c>
      <c r="T814" s="7"/>
      <c r="U814" s="6"/>
      <c r="V814" s="6"/>
      <c r="W814" s="6" t="s">
        <v>236</v>
      </c>
      <c r="X814" s="6" t="s">
        <v>236</v>
      </c>
      <c r="Y814" s="6" t="s">
        <v>236</v>
      </c>
      <c r="Z814" s="6" t="s">
        <v>236</v>
      </c>
      <c r="AA814" s="6" t="s">
        <v>236</v>
      </c>
    </row>
    <row r="815" spans="1:27">
      <c r="A815" s="6">
        <v>814</v>
      </c>
      <c r="B815" s="6" t="s">
        <v>346</v>
      </c>
      <c r="C815" s="7">
        <v>46144</v>
      </c>
      <c r="D815" s="6" t="s">
        <v>226</v>
      </c>
      <c r="E815" s="6" t="s">
        <v>2712</v>
      </c>
      <c r="F815" s="6" t="s">
        <v>240</v>
      </c>
      <c r="G815" s="6">
        <v>2</v>
      </c>
      <c r="H815" s="6" t="s">
        <v>2972</v>
      </c>
      <c r="I815" s="6">
        <v>7330745694</v>
      </c>
      <c r="J815" s="6" t="s">
        <v>2973</v>
      </c>
      <c r="K815" s="6" t="s">
        <v>2973</v>
      </c>
      <c r="L815" s="6">
        <v>910</v>
      </c>
      <c r="M815" s="6">
        <v>910</v>
      </c>
      <c r="N815" s="7" t="s">
        <v>239</v>
      </c>
      <c r="O815" s="6" t="s">
        <v>239</v>
      </c>
      <c r="P815" s="6" t="s">
        <v>239</v>
      </c>
      <c r="Q815" s="6" t="s">
        <v>236</v>
      </c>
      <c r="R815" s="6"/>
      <c r="S815" s="6">
        <f t="shared" si="12"/>
        <v>910</v>
      </c>
      <c r="T815" s="7"/>
      <c r="U815" s="6"/>
      <c r="V815" s="6"/>
      <c r="W815" s="6" t="s">
        <v>236</v>
      </c>
      <c r="X815" s="6" t="s">
        <v>236</v>
      </c>
      <c r="Y815" s="6" t="s">
        <v>236</v>
      </c>
      <c r="Z815" s="6" t="s">
        <v>236</v>
      </c>
      <c r="AA815" s="6" t="s">
        <v>236</v>
      </c>
    </row>
    <row r="816" spans="1:27">
      <c r="A816" s="6">
        <v>815</v>
      </c>
      <c r="B816" s="6" t="s">
        <v>342</v>
      </c>
      <c r="C816" s="7">
        <v>46144</v>
      </c>
      <c r="D816" s="6" t="s">
        <v>226</v>
      </c>
      <c r="E816" s="6" t="s">
        <v>2712</v>
      </c>
      <c r="F816" s="6" t="s">
        <v>240</v>
      </c>
      <c r="G816" s="6">
        <v>2</v>
      </c>
      <c r="H816" s="6" t="s">
        <v>2974</v>
      </c>
      <c r="I816" s="6">
        <v>9346385326</v>
      </c>
      <c r="J816" s="6" t="s">
        <v>2975</v>
      </c>
      <c r="K816" s="6" t="s">
        <v>2975</v>
      </c>
      <c r="L816" s="6">
        <v>230</v>
      </c>
      <c r="M816" s="6">
        <v>230</v>
      </c>
      <c r="N816" s="7" t="s">
        <v>239</v>
      </c>
      <c r="O816" s="6" t="s">
        <v>239</v>
      </c>
      <c r="P816" s="6" t="s">
        <v>239</v>
      </c>
      <c r="Q816" s="6" t="s">
        <v>236</v>
      </c>
      <c r="R816" s="6"/>
      <c r="S816" s="6">
        <f t="shared" si="12"/>
        <v>230</v>
      </c>
      <c r="T816" s="7"/>
      <c r="U816" s="6"/>
      <c r="V816" s="6"/>
      <c r="W816" s="6" t="s">
        <v>236</v>
      </c>
      <c r="X816" s="6" t="s">
        <v>236</v>
      </c>
      <c r="Y816" s="6" t="s">
        <v>236</v>
      </c>
      <c r="Z816" s="6" t="s">
        <v>236</v>
      </c>
      <c r="AA816" s="6" t="s">
        <v>236</v>
      </c>
    </row>
    <row r="817" spans="1:27">
      <c r="A817" s="6">
        <v>816</v>
      </c>
      <c r="B817" s="6" t="s">
        <v>346</v>
      </c>
      <c r="C817" s="7">
        <v>46144</v>
      </c>
      <c r="D817" s="6" t="s">
        <v>226</v>
      </c>
      <c r="E817" s="6" t="s">
        <v>2712</v>
      </c>
      <c r="F817" s="6" t="s">
        <v>267</v>
      </c>
      <c r="G817" s="6">
        <v>2</v>
      </c>
      <c r="H817" s="6" t="s">
        <v>2976</v>
      </c>
      <c r="I817" s="6">
        <v>6302145231</v>
      </c>
      <c r="J817" s="6" t="s">
        <v>2977</v>
      </c>
      <c r="K817" s="6" t="s">
        <v>2977</v>
      </c>
      <c r="L817" s="6">
        <v>3540</v>
      </c>
      <c r="M817" s="6">
        <v>3540</v>
      </c>
      <c r="N817" s="7" t="s">
        <v>239</v>
      </c>
      <c r="O817" s="6" t="s">
        <v>239</v>
      </c>
      <c r="P817" s="6" t="s">
        <v>239</v>
      </c>
      <c r="Q817" s="6" t="s">
        <v>236</v>
      </c>
      <c r="R817" s="6"/>
      <c r="S817" s="6">
        <f t="shared" si="12"/>
        <v>3540</v>
      </c>
      <c r="T817" s="7"/>
      <c r="U817" s="6"/>
      <c r="V817" s="6"/>
      <c r="W817" s="6" t="s">
        <v>236</v>
      </c>
      <c r="X817" s="6" t="s">
        <v>236</v>
      </c>
      <c r="Y817" s="6" t="s">
        <v>236</v>
      </c>
      <c r="Z817" s="6" t="s">
        <v>236</v>
      </c>
      <c r="AA817" s="6" t="s">
        <v>236</v>
      </c>
    </row>
    <row r="818" spans="1:27">
      <c r="A818" s="6">
        <v>817</v>
      </c>
      <c r="B818" s="6" t="s">
        <v>346</v>
      </c>
      <c r="C818" s="7">
        <v>46144</v>
      </c>
      <c r="D818" s="6" t="s">
        <v>226</v>
      </c>
      <c r="E818" s="6" t="s">
        <v>2712</v>
      </c>
      <c r="F818" s="6" t="s">
        <v>267</v>
      </c>
      <c r="G818" s="6">
        <v>2</v>
      </c>
      <c r="H818" s="6" t="s">
        <v>2978</v>
      </c>
      <c r="I818" s="6">
        <v>7569241295</v>
      </c>
      <c r="J818" s="6" t="s">
        <v>2979</v>
      </c>
      <c r="K818" s="6" t="s">
        <v>2979</v>
      </c>
      <c r="L818" s="6">
        <v>4420</v>
      </c>
      <c r="M818" s="6">
        <v>4420</v>
      </c>
      <c r="N818" s="7" t="s">
        <v>239</v>
      </c>
      <c r="O818" s="6" t="s">
        <v>239</v>
      </c>
      <c r="P818" s="6" t="s">
        <v>239</v>
      </c>
      <c r="Q818" s="6" t="s">
        <v>236</v>
      </c>
      <c r="R818" s="6"/>
      <c r="S818" s="6">
        <f t="shared" si="12"/>
        <v>4420</v>
      </c>
      <c r="T818" s="7"/>
      <c r="U818" s="6"/>
      <c r="V818" s="6"/>
      <c r="W818" s="6" t="s">
        <v>236</v>
      </c>
      <c r="X818" s="6" t="s">
        <v>236</v>
      </c>
      <c r="Y818" s="6" t="s">
        <v>236</v>
      </c>
      <c r="Z818" s="6" t="s">
        <v>236</v>
      </c>
      <c r="AA818" s="6" t="s">
        <v>236</v>
      </c>
    </row>
    <row r="819" spans="1:27">
      <c r="A819" s="6">
        <v>818</v>
      </c>
      <c r="B819" s="6" t="s">
        <v>346</v>
      </c>
      <c r="C819" s="7">
        <v>46144</v>
      </c>
      <c r="D819" s="6" t="s">
        <v>226</v>
      </c>
      <c r="E819" s="6" t="s">
        <v>2712</v>
      </c>
      <c r="F819" s="6" t="s">
        <v>267</v>
      </c>
      <c r="G819" s="6">
        <v>2</v>
      </c>
      <c r="H819" s="6" t="s">
        <v>2980</v>
      </c>
      <c r="I819" s="6">
        <v>9686314156</v>
      </c>
      <c r="J819" s="6" t="s">
        <v>2981</v>
      </c>
      <c r="K819" s="6" t="s">
        <v>2981</v>
      </c>
      <c r="L819" s="6">
        <v>2960</v>
      </c>
      <c r="M819" s="6">
        <v>2960</v>
      </c>
      <c r="N819" s="7" t="s">
        <v>239</v>
      </c>
      <c r="O819" s="6" t="s">
        <v>239</v>
      </c>
      <c r="P819" s="6" t="s">
        <v>239</v>
      </c>
      <c r="Q819" s="6" t="s">
        <v>236</v>
      </c>
      <c r="R819" s="6"/>
      <c r="S819" s="6">
        <f t="shared" si="12"/>
        <v>2960</v>
      </c>
      <c r="T819" s="7"/>
      <c r="U819" s="6"/>
      <c r="V819" s="6"/>
      <c r="W819" s="6" t="s">
        <v>236</v>
      </c>
      <c r="X819" s="6" t="s">
        <v>236</v>
      </c>
      <c r="Y819" s="6" t="s">
        <v>236</v>
      </c>
      <c r="Z819" s="6" t="s">
        <v>236</v>
      </c>
      <c r="AA819" s="6" t="s">
        <v>236</v>
      </c>
    </row>
    <row r="820" spans="1:27">
      <c r="A820" s="6">
        <v>819</v>
      </c>
      <c r="B820" s="6" t="s">
        <v>346</v>
      </c>
      <c r="C820" s="7">
        <v>46144</v>
      </c>
      <c r="D820" s="6" t="s">
        <v>226</v>
      </c>
      <c r="E820" s="6" t="s">
        <v>2712</v>
      </c>
      <c r="F820" s="6" t="s">
        <v>267</v>
      </c>
      <c r="G820" s="6">
        <v>2</v>
      </c>
      <c r="H820" s="11" t="s">
        <v>2982</v>
      </c>
      <c r="I820" s="6">
        <v>9790514044</v>
      </c>
      <c r="J820" s="10" t="s">
        <v>2983</v>
      </c>
      <c r="K820" s="10" t="s">
        <v>2983</v>
      </c>
      <c r="L820" s="11">
        <v>2266</v>
      </c>
      <c r="M820" s="11">
        <v>2266</v>
      </c>
      <c r="N820" s="7" t="s">
        <v>239</v>
      </c>
      <c r="O820" s="6" t="s">
        <v>239</v>
      </c>
      <c r="P820" s="6" t="s">
        <v>239</v>
      </c>
      <c r="Q820" s="6" t="s">
        <v>236</v>
      </c>
      <c r="R820" s="6"/>
      <c r="S820" s="6">
        <f t="shared" si="12"/>
        <v>2266</v>
      </c>
      <c r="T820" s="6"/>
      <c r="U820" s="6"/>
      <c r="V820" s="6"/>
      <c r="W820" s="6" t="s">
        <v>236</v>
      </c>
      <c r="X820" s="6" t="s">
        <v>236</v>
      </c>
      <c r="Y820" s="6" t="s">
        <v>236</v>
      </c>
      <c r="Z820" s="6" t="s">
        <v>236</v>
      </c>
      <c r="AA820" s="6" t="s">
        <v>236</v>
      </c>
    </row>
    <row r="821" spans="1:27">
      <c r="A821" s="6">
        <v>820</v>
      </c>
      <c r="B821" s="6" t="s">
        <v>346</v>
      </c>
      <c r="C821" s="7">
        <v>46144</v>
      </c>
      <c r="D821" s="6" t="s">
        <v>226</v>
      </c>
      <c r="E821" s="6" t="s">
        <v>2712</v>
      </c>
      <c r="F821" s="6" t="s">
        <v>267</v>
      </c>
      <c r="G821" s="6">
        <v>2</v>
      </c>
      <c r="H821" s="11" t="s">
        <v>2984</v>
      </c>
      <c r="I821" s="6">
        <v>8639709962</v>
      </c>
      <c r="J821" s="10" t="s">
        <v>2985</v>
      </c>
      <c r="K821" s="10" t="s">
        <v>2985</v>
      </c>
      <c r="L821" s="11">
        <v>2210</v>
      </c>
      <c r="M821" s="11">
        <v>2210</v>
      </c>
      <c r="N821" s="7" t="s">
        <v>239</v>
      </c>
      <c r="O821" s="6" t="s">
        <v>239</v>
      </c>
      <c r="P821" s="6" t="s">
        <v>239</v>
      </c>
      <c r="Q821" s="6" t="s">
        <v>236</v>
      </c>
      <c r="R821" s="6"/>
      <c r="S821" s="6">
        <f t="shared" si="12"/>
        <v>2210</v>
      </c>
      <c r="T821" s="6"/>
      <c r="U821" s="6"/>
      <c r="V821" s="6"/>
      <c r="W821" s="6" t="s">
        <v>236</v>
      </c>
      <c r="X821" s="6" t="s">
        <v>236</v>
      </c>
      <c r="Y821" s="6" t="s">
        <v>236</v>
      </c>
      <c r="Z821" s="6" t="s">
        <v>236</v>
      </c>
      <c r="AA821" s="6" t="s">
        <v>236</v>
      </c>
    </row>
    <row r="822" spans="1:27">
      <c r="A822" s="6">
        <v>821</v>
      </c>
      <c r="B822" s="6" t="s">
        <v>346</v>
      </c>
      <c r="C822" s="7">
        <v>46144</v>
      </c>
      <c r="D822" s="6" t="s">
        <v>226</v>
      </c>
      <c r="E822" s="6" t="s">
        <v>2712</v>
      </c>
      <c r="F822" s="6" t="s">
        <v>267</v>
      </c>
      <c r="G822" s="6">
        <v>2</v>
      </c>
      <c r="H822" s="11" t="s">
        <v>2986</v>
      </c>
      <c r="I822" s="6">
        <v>8592000666</v>
      </c>
      <c r="J822" s="10" t="s">
        <v>2987</v>
      </c>
      <c r="K822" s="10" t="s">
        <v>2987</v>
      </c>
      <c r="L822" s="11">
        <v>1580</v>
      </c>
      <c r="M822" s="11">
        <v>1580</v>
      </c>
      <c r="N822" s="7" t="s">
        <v>239</v>
      </c>
      <c r="O822" s="6" t="s">
        <v>239</v>
      </c>
      <c r="P822" s="6" t="s">
        <v>239</v>
      </c>
      <c r="Q822" s="6" t="s">
        <v>236</v>
      </c>
      <c r="R822" s="6"/>
      <c r="S822" s="6">
        <f t="shared" si="12"/>
        <v>1580</v>
      </c>
      <c r="T822" s="6"/>
      <c r="U822" s="6"/>
      <c r="V822" s="6"/>
      <c r="W822" s="6" t="s">
        <v>236</v>
      </c>
      <c r="X822" s="6" t="s">
        <v>236</v>
      </c>
      <c r="Y822" s="6" t="s">
        <v>236</v>
      </c>
      <c r="Z822" s="6" t="s">
        <v>236</v>
      </c>
      <c r="AA822" s="6" t="s">
        <v>236</v>
      </c>
    </row>
    <row r="823" spans="1:27">
      <c r="A823" s="6">
        <v>822</v>
      </c>
      <c r="B823" s="6" t="s">
        <v>346</v>
      </c>
      <c r="C823" s="7">
        <v>46144</v>
      </c>
      <c r="D823" s="6" t="s">
        <v>226</v>
      </c>
      <c r="E823" s="6" t="s">
        <v>2712</v>
      </c>
      <c r="F823" s="6" t="s">
        <v>267</v>
      </c>
      <c r="G823" s="6">
        <v>2</v>
      </c>
      <c r="H823" s="11" t="s">
        <v>2988</v>
      </c>
      <c r="I823" s="6">
        <v>9656812949</v>
      </c>
      <c r="J823" s="10" t="s">
        <v>2989</v>
      </c>
      <c r="K823" s="10" t="s">
        <v>2989</v>
      </c>
      <c r="L823" s="11">
        <v>1660</v>
      </c>
      <c r="M823" s="11">
        <v>1660</v>
      </c>
      <c r="N823" s="7" t="s">
        <v>239</v>
      </c>
      <c r="O823" s="6" t="s">
        <v>239</v>
      </c>
      <c r="P823" s="6" t="s">
        <v>239</v>
      </c>
      <c r="Q823" s="6" t="s">
        <v>236</v>
      </c>
      <c r="R823" s="6"/>
      <c r="S823" s="6">
        <f t="shared" si="12"/>
        <v>1660</v>
      </c>
      <c r="T823" s="6"/>
      <c r="U823" s="6"/>
      <c r="V823" s="6"/>
      <c r="W823" s="6" t="s">
        <v>236</v>
      </c>
      <c r="X823" s="6" t="s">
        <v>236</v>
      </c>
      <c r="Y823" s="6" t="s">
        <v>236</v>
      </c>
      <c r="Z823" s="6" t="s">
        <v>236</v>
      </c>
      <c r="AA823" s="6" t="s">
        <v>236</v>
      </c>
    </row>
    <row r="824" spans="1:27">
      <c r="A824" s="6">
        <v>823</v>
      </c>
      <c r="B824" s="6" t="s">
        <v>346</v>
      </c>
      <c r="C824" s="7">
        <v>46144</v>
      </c>
      <c r="D824" s="6" t="s">
        <v>226</v>
      </c>
      <c r="E824" s="6" t="s">
        <v>2712</v>
      </c>
      <c r="F824" s="6" t="s">
        <v>267</v>
      </c>
      <c r="G824" s="6">
        <v>2</v>
      </c>
      <c r="H824" s="11" t="s">
        <v>2990</v>
      </c>
      <c r="I824" s="6">
        <v>9849419027</v>
      </c>
      <c r="J824" s="10" t="s">
        <v>2991</v>
      </c>
      <c r="K824" s="10" t="s">
        <v>2991</v>
      </c>
      <c r="L824" s="11">
        <v>1360</v>
      </c>
      <c r="M824" s="11">
        <v>1360</v>
      </c>
      <c r="N824" s="7" t="s">
        <v>239</v>
      </c>
      <c r="O824" s="6" t="s">
        <v>239</v>
      </c>
      <c r="P824" s="6" t="s">
        <v>239</v>
      </c>
      <c r="Q824" s="6" t="s">
        <v>236</v>
      </c>
      <c r="R824" s="6"/>
      <c r="S824" s="6">
        <f t="shared" si="12"/>
        <v>1360</v>
      </c>
      <c r="T824" s="6"/>
      <c r="U824" s="6"/>
      <c r="V824" s="6"/>
      <c r="W824" s="6" t="s">
        <v>236</v>
      </c>
      <c r="X824" s="6" t="s">
        <v>236</v>
      </c>
      <c r="Y824" s="6" t="s">
        <v>236</v>
      </c>
      <c r="Z824" s="6" t="s">
        <v>236</v>
      </c>
      <c r="AA824" s="6" t="s">
        <v>236</v>
      </c>
    </row>
    <row r="825" spans="1:27">
      <c r="A825" s="6">
        <v>824</v>
      </c>
      <c r="B825" s="6" t="s">
        <v>346</v>
      </c>
      <c r="C825" s="7">
        <v>46144</v>
      </c>
      <c r="D825" s="6" t="s">
        <v>226</v>
      </c>
      <c r="E825" s="6" t="s">
        <v>2712</v>
      </c>
      <c r="F825" s="6" t="s">
        <v>267</v>
      </c>
      <c r="G825" s="6">
        <v>2</v>
      </c>
      <c r="H825" s="11" t="s">
        <v>2992</v>
      </c>
      <c r="I825" s="6">
        <v>9497406358</v>
      </c>
      <c r="J825" s="36" t="s">
        <v>2993</v>
      </c>
      <c r="K825" s="36" t="s">
        <v>2993</v>
      </c>
      <c r="L825" s="11">
        <v>870</v>
      </c>
      <c r="M825" s="11">
        <v>870</v>
      </c>
      <c r="N825" s="7" t="s">
        <v>239</v>
      </c>
      <c r="O825" s="6" t="s">
        <v>239</v>
      </c>
      <c r="P825" s="6" t="s">
        <v>239</v>
      </c>
      <c r="Q825" s="6" t="s">
        <v>236</v>
      </c>
      <c r="R825" s="6"/>
      <c r="S825" s="6">
        <f t="shared" si="12"/>
        <v>870</v>
      </c>
      <c r="T825" s="6"/>
      <c r="U825" s="6"/>
      <c r="V825" s="6"/>
      <c r="W825" s="6" t="s">
        <v>236</v>
      </c>
      <c r="X825" s="6" t="s">
        <v>236</v>
      </c>
      <c r="Y825" s="6" t="s">
        <v>236</v>
      </c>
      <c r="Z825" s="6" t="s">
        <v>236</v>
      </c>
      <c r="AA825" s="6" t="s">
        <v>236</v>
      </c>
    </row>
    <row r="826" spans="1:27">
      <c r="A826" s="6">
        <v>825</v>
      </c>
      <c r="B826" s="6" t="s">
        <v>346</v>
      </c>
      <c r="C826" s="7">
        <v>46144</v>
      </c>
      <c r="D826" s="6" t="s">
        <v>226</v>
      </c>
      <c r="E826" s="6" t="s">
        <v>2712</v>
      </c>
      <c r="F826" s="6" t="s">
        <v>267</v>
      </c>
      <c r="G826" s="6">
        <v>2</v>
      </c>
      <c r="H826" s="11" t="s">
        <v>2994</v>
      </c>
      <c r="I826" s="6">
        <v>9603344042</v>
      </c>
      <c r="J826" s="10" t="s">
        <v>2995</v>
      </c>
      <c r="K826" s="10" t="s">
        <v>2995</v>
      </c>
      <c r="L826" s="11">
        <v>410</v>
      </c>
      <c r="M826" s="11">
        <v>410</v>
      </c>
      <c r="N826" s="7" t="s">
        <v>239</v>
      </c>
      <c r="O826" s="6" t="s">
        <v>239</v>
      </c>
      <c r="P826" s="6" t="s">
        <v>239</v>
      </c>
      <c r="Q826" s="6" t="s">
        <v>236</v>
      </c>
      <c r="R826" s="6"/>
      <c r="S826" s="6">
        <f t="shared" si="12"/>
        <v>410</v>
      </c>
      <c r="T826" s="6"/>
      <c r="U826" s="6"/>
      <c r="V826" s="6"/>
      <c r="W826" s="6" t="s">
        <v>236</v>
      </c>
      <c r="X826" s="6" t="s">
        <v>236</v>
      </c>
      <c r="Y826" s="6" t="s">
        <v>236</v>
      </c>
      <c r="Z826" s="6" t="s">
        <v>236</v>
      </c>
      <c r="AA826" s="6" t="s">
        <v>236</v>
      </c>
    </row>
    <row r="827" spans="1:27">
      <c r="A827" s="6">
        <v>826</v>
      </c>
      <c r="B827" s="6" t="s">
        <v>346</v>
      </c>
      <c r="C827" s="7">
        <v>46144</v>
      </c>
      <c r="D827" s="6" t="s">
        <v>226</v>
      </c>
      <c r="E827" s="6" t="s">
        <v>2712</v>
      </c>
      <c r="F827" s="6" t="s">
        <v>267</v>
      </c>
      <c r="G827" s="6">
        <v>2</v>
      </c>
      <c r="H827" s="11" t="s">
        <v>2996</v>
      </c>
      <c r="I827" s="6">
        <v>8142208919</v>
      </c>
      <c r="J827" s="10" t="s">
        <v>2997</v>
      </c>
      <c r="K827" s="10" t="s">
        <v>2997</v>
      </c>
      <c r="L827" s="11">
        <v>1160</v>
      </c>
      <c r="M827" s="11">
        <v>1160</v>
      </c>
      <c r="N827" s="7" t="s">
        <v>239</v>
      </c>
      <c r="O827" s="6" t="s">
        <v>239</v>
      </c>
      <c r="P827" s="6" t="s">
        <v>239</v>
      </c>
      <c r="Q827" s="6" t="s">
        <v>236</v>
      </c>
      <c r="R827" s="6"/>
      <c r="S827" s="6">
        <f t="shared" si="12"/>
        <v>1160</v>
      </c>
      <c r="T827" s="6"/>
      <c r="U827" s="6"/>
      <c r="V827" s="6"/>
      <c r="W827" s="6" t="s">
        <v>236</v>
      </c>
      <c r="X827" s="6" t="s">
        <v>236</v>
      </c>
      <c r="Y827" s="6" t="s">
        <v>236</v>
      </c>
      <c r="Z827" s="6" t="s">
        <v>236</v>
      </c>
      <c r="AA827" s="6" t="s">
        <v>236</v>
      </c>
    </row>
    <row r="828" spans="1:27">
      <c r="A828" s="6">
        <v>827</v>
      </c>
      <c r="B828" s="6" t="s">
        <v>346</v>
      </c>
      <c r="C828" s="7">
        <v>46144</v>
      </c>
      <c r="D828" s="6" t="s">
        <v>226</v>
      </c>
      <c r="E828" s="6" t="s">
        <v>2712</v>
      </c>
      <c r="F828" s="6" t="s">
        <v>267</v>
      </c>
      <c r="G828" s="6">
        <v>2</v>
      </c>
      <c r="H828" s="11" t="s">
        <v>2998</v>
      </c>
      <c r="I828" s="6">
        <v>8309192934</v>
      </c>
      <c r="J828" s="10" t="s">
        <v>2999</v>
      </c>
      <c r="K828" s="10" t="s">
        <v>2999</v>
      </c>
      <c r="L828" s="11">
        <v>440</v>
      </c>
      <c r="M828" s="11">
        <v>440</v>
      </c>
      <c r="N828" s="7" t="s">
        <v>239</v>
      </c>
      <c r="O828" s="6" t="s">
        <v>239</v>
      </c>
      <c r="P828" s="6" t="s">
        <v>239</v>
      </c>
      <c r="Q828" s="6" t="s">
        <v>236</v>
      </c>
      <c r="R828" s="6"/>
      <c r="S828" s="6">
        <f t="shared" si="12"/>
        <v>440</v>
      </c>
      <c r="T828" s="6"/>
      <c r="U828" s="6"/>
      <c r="V828" s="6"/>
      <c r="W828" s="6" t="s">
        <v>236</v>
      </c>
      <c r="X828" s="6" t="s">
        <v>236</v>
      </c>
      <c r="Y828" s="6" t="s">
        <v>236</v>
      </c>
      <c r="Z828" s="6" t="s">
        <v>236</v>
      </c>
      <c r="AA828" s="6" t="s">
        <v>236</v>
      </c>
    </row>
    <row r="829" spans="1:27">
      <c r="A829" s="6">
        <v>828</v>
      </c>
      <c r="B829" s="6" t="s">
        <v>346</v>
      </c>
      <c r="C829" s="7">
        <v>46144</v>
      </c>
      <c r="D829" s="6" t="s">
        <v>226</v>
      </c>
      <c r="E829" s="6" t="s">
        <v>2712</v>
      </c>
      <c r="F829" s="6" t="s">
        <v>267</v>
      </c>
      <c r="G829" s="6">
        <v>2</v>
      </c>
      <c r="H829" s="11" t="s">
        <v>3000</v>
      </c>
      <c r="I829" s="6">
        <v>8072586035</v>
      </c>
      <c r="J829" s="10" t="s">
        <v>3001</v>
      </c>
      <c r="K829" s="10" t="s">
        <v>3001</v>
      </c>
      <c r="L829" s="11">
        <v>1090</v>
      </c>
      <c r="M829" s="11">
        <v>1090</v>
      </c>
      <c r="N829" s="7" t="s">
        <v>239</v>
      </c>
      <c r="O829" s="6" t="s">
        <v>239</v>
      </c>
      <c r="P829" s="6" t="s">
        <v>239</v>
      </c>
      <c r="Q829" s="6" t="s">
        <v>236</v>
      </c>
      <c r="R829" s="6"/>
      <c r="S829" s="6">
        <f t="shared" si="12"/>
        <v>1090</v>
      </c>
      <c r="T829" s="6"/>
      <c r="U829" s="6"/>
      <c r="V829" s="6"/>
      <c r="W829" s="6" t="s">
        <v>236</v>
      </c>
      <c r="X829" s="6" t="s">
        <v>236</v>
      </c>
      <c r="Y829" s="6" t="s">
        <v>236</v>
      </c>
      <c r="Z829" s="6" t="s">
        <v>236</v>
      </c>
      <c r="AA829" s="6" t="s">
        <v>236</v>
      </c>
    </row>
    <row r="830" spans="1:27">
      <c r="A830" s="6">
        <v>829</v>
      </c>
      <c r="B830" s="6" t="s">
        <v>346</v>
      </c>
      <c r="C830" s="7">
        <v>46144</v>
      </c>
      <c r="D830" s="6" t="s">
        <v>226</v>
      </c>
      <c r="E830" s="6" t="s">
        <v>2712</v>
      </c>
      <c r="F830" s="6" t="s">
        <v>267</v>
      </c>
      <c r="G830" s="6">
        <v>2</v>
      </c>
      <c r="H830" s="11" t="s">
        <v>3002</v>
      </c>
      <c r="I830" s="6">
        <v>9618635310</v>
      </c>
      <c r="J830" s="10" t="s">
        <v>3003</v>
      </c>
      <c r="K830" s="10" t="s">
        <v>3003</v>
      </c>
      <c r="L830" s="11">
        <v>1282</v>
      </c>
      <c r="M830" s="11">
        <v>1282</v>
      </c>
      <c r="N830" s="7" t="s">
        <v>239</v>
      </c>
      <c r="O830" s="6" t="s">
        <v>239</v>
      </c>
      <c r="P830" s="6" t="s">
        <v>239</v>
      </c>
      <c r="Q830" s="6" t="s">
        <v>236</v>
      </c>
      <c r="R830" s="6"/>
      <c r="S830" s="6">
        <f t="shared" si="12"/>
        <v>1282</v>
      </c>
      <c r="T830" s="6"/>
      <c r="U830" s="6"/>
      <c r="V830" s="6"/>
      <c r="W830" s="6" t="s">
        <v>236</v>
      </c>
      <c r="X830" s="6" t="s">
        <v>236</v>
      </c>
      <c r="Y830" s="6" t="s">
        <v>236</v>
      </c>
      <c r="Z830" s="6" t="s">
        <v>236</v>
      </c>
      <c r="AA830" s="6" t="s">
        <v>236</v>
      </c>
    </row>
    <row r="831" spans="1:27">
      <c r="A831" s="6">
        <v>830</v>
      </c>
      <c r="B831" s="6" t="s">
        <v>346</v>
      </c>
      <c r="C831" s="7">
        <v>46144</v>
      </c>
      <c r="D831" s="6" t="s">
        <v>226</v>
      </c>
      <c r="E831" s="6" t="s">
        <v>2712</v>
      </c>
      <c r="F831" s="6" t="s">
        <v>267</v>
      </c>
      <c r="G831" s="6">
        <v>2</v>
      </c>
      <c r="H831" s="11" t="s">
        <v>3004</v>
      </c>
      <c r="I831" s="6">
        <v>9492721294</v>
      </c>
      <c r="J831" s="10" t="s">
        <v>3005</v>
      </c>
      <c r="K831" s="10" t="s">
        <v>3005</v>
      </c>
      <c r="L831" s="11">
        <v>1110</v>
      </c>
      <c r="M831" s="11">
        <v>1110</v>
      </c>
      <c r="N831" s="7" t="s">
        <v>239</v>
      </c>
      <c r="O831" s="6" t="s">
        <v>239</v>
      </c>
      <c r="P831" s="6" t="s">
        <v>239</v>
      </c>
      <c r="Q831" s="6" t="s">
        <v>236</v>
      </c>
      <c r="R831" s="6"/>
      <c r="S831" s="6">
        <f t="shared" si="12"/>
        <v>1110</v>
      </c>
      <c r="T831" s="6"/>
      <c r="U831" s="6"/>
      <c r="V831" s="6"/>
      <c r="W831" s="6" t="s">
        <v>236</v>
      </c>
      <c r="X831" s="6" t="s">
        <v>236</v>
      </c>
      <c r="Y831" s="6" t="s">
        <v>236</v>
      </c>
      <c r="Z831" s="6" t="s">
        <v>236</v>
      </c>
      <c r="AA831" s="6" t="s">
        <v>236</v>
      </c>
    </row>
    <row r="832" spans="1:27">
      <c r="A832" s="6">
        <v>831</v>
      </c>
      <c r="B832" s="6" t="s">
        <v>346</v>
      </c>
      <c r="C832" s="7">
        <v>46144</v>
      </c>
      <c r="D832" s="6" t="s">
        <v>226</v>
      </c>
      <c r="E832" s="6" t="s">
        <v>2712</v>
      </c>
      <c r="F832" s="6" t="s">
        <v>267</v>
      </c>
      <c r="G832" s="6">
        <v>2</v>
      </c>
      <c r="H832" s="11" t="s">
        <v>3006</v>
      </c>
      <c r="I832" s="6">
        <v>9464957924</v>
      </c>
      <c r="J832" s="10" t="s">
        <v>3007</v>
      </c>
      <c r="K832" s="10" t="s">
        <v>3007</v>
      </c>
      <c r="L832" s="11">
        <v>160</v>
      </c>
      <c r="M832" s="11">
        <v>160</v>
      </c>
      <c r="N832" s="7" t="s">
        <v>239</v>
      </c>
      <c r="O832" s="6" t="s">
        <v>239</v>
      </c>
      <c r="P832" s="6" t="s">
        <v>239</v>
      </c>
      <c r="Q832" s="6" t="s">
        <v>236</v>
      </c>
      <c r="R832" s="6"/>
      <c r="S832" s="6">
        <f t="shared" si="12"/>
        <v>160</v>
      </c>
      <c r="T832" s="6"/>
      <c r="U832" s="6"/>
      <c r="V832" s="6"/>
      <c r="W832" s="6" t="s">
        <v>236</v>
      </c>
      <c r="X832" s="6" t="s">
        <v>236</v>
      </c>
      <c r="Y832" s="6" t="s">
        <v>236</v>
      </c>
      <c r="Z832" s="6" t="s">
        <v>236</v>
      </c>
      <c r="AA832" s="6" t="s">
        <v>236</v>
      </c>
    </row>
    <row r="833" spans="1:27">
      <c r="A833" s="6">
        <v>832</v>
      </c>
      <c r="B833" s="6" t="s">
        <v>346</v>
      </c>
      <c r="C833" s="7">
        <v>46144</v>
      </c>
      <c r="D833" s="6" t="s">
        <v>226</v>
      </c>
      <c r="E833" s="6" t="s">
        <v>2712</v>
      </c>
      <c r="F833" s="6" t="s">
        <v>267</v>
      </c>
      <c r="G833" s="6">
        <v>2</v>
      </c>
      <c r="H833" s="11" t="s">
        <v>3008</v>
      </c>
      <c r="I833" s="6">
        <v>8281651688</v>
      </c>
      <c r="J833" s="10" t="s">
        <v>3009</v>
      </c>
      <c r="K833" s="10" t="s">
        <v>3009</v>
      </c>
      <c r="L833" s="11">
        <v>940</v>
      </c>
      <c r="M833" s="11">
        <v>940</v>
      </c>
      <c r="N833" s="7" t="s">
        <v>239</v>
      </c>
      <c r="O833" s="6" t="s">
        <v>239</v>
      </c>
      <c r="P833" s="6" t="s">
        <v>239</v>
      </c>
      <c r="Q833" s="6" t="s">
        <v>236</v>
      </c>
      <c r="R833" s="6"/>
      <c r="S833" s="6">
        <f t="shared" si="12"/>
        <v>940</v>
      </c>
      <c r="T833" s="6"/>
      <c r="U833" s="6"/>
      <c r="V833" s="6"/>
      <c r="W833" s="6" t="s">
        <v>236</v>
      </c>
      <c r="X833" s="6" t="s">
        <v>236</v>
      </c>
      <c r="Y833" s="6" t="s">
        <v>236</v>
      </c>
      <c r="Z833" s="6" t="s">
        <v>236</v>
      </c>
      <c r="AA833" s="6" t="s">
        <v>236</v>
      </c>
    </row>
    <row r="834" spans="1:27">
      <c r="A834" s="6">
        <v>833</v>
      </c>
      <c r="B834" s="6" t="s">
        <v>346</v>
      </c>
      <c r="C834" s="7">
        <v>46144</v>
      </c>
      <c r="D834" s="6" t="s">
        <v>226</v>
      </c>
      <c r="E834" s="6" t="s">
        <v>2712</v>
      </c>
      <c r="F834" s="6" t="s">
        <v>267</v>
      </c>
      <c r="G834" s="6">
        <v>2</v>
      </c>
      <c r="H834" s="11" t="s">
        <v>3010</v>
      </c>
      <c r="I834" s="6">
        <v>9885017410</v>
      </c>
      <c r="J834" s="10" t="s">
        <v>3011</v>
      </c>
      <c r="K834" s="10" t="s">
        <v>3011</v>
      </c>
      <c r="L834" s="6">
        <v>570</v>
      </c>
      <c r="M834" s="6">
        <v>570</v>
      </c>
      <c r="N834" s="7" t="s">
        <v>239</v>
      </c>
      <c r="O834" s="6" t="s">
        <v>239</v>
      </c>
      <c r="P834" s="6" t="s">
        <v>239</v>
      </c>
      <c r="Q834" s="6" t="s">
        <v>236</v>
      </c>
      <c r="R834" s="6"/>
      <c r="S834" s="6">
        <f t="shared" si="12"/>
        <v>570</v>
      </c>
      <c r="T834" s="6"/>
      <c r="U834" s="6"/>
      <c r="V834" s="6"/>
      <c r="W834" s="6" t="s">
        <v>236</v>
      </c>
      <c r="X834" s="6" t="s">
        <v>236</v>
      </c>
      <c r="Y834" s="6" t="s">
        <v>236</v>
      </c>
      <c r="Z834" s="6" t="s">
        <v>236</v>
      </c>
      <c r="AA834" s="6" t="s">
        <v>236</v>
      </c>
    </row>
    <row r="835" spans="1:27">
      <c r="A835" s="6">
        <v>834</v>
      </c>
      <c r="B835" s="6" t="s">
        <v>346</v>
      </c>
      <c r="C835" s="7">
        <v>46144</v>
      </c>
      <c r="D835" s="6" t="s">
        <v>226</v>
      </c>
      <c r="E835" s="6" t="s">
        <v>2712</v>
      </c>
      <c r="F835" s="6" t="s">
        <v>267</v>
      </c>
      <c r="G835" s="6">
        <v>2</v>
      </c>
      <c r="H835" s="11" t="s">
        <v>3012</v>
      </c>
      <c r="I835" s="6">
        <v>9052932556</v>
      </c>
      <c r="J835" s="10" t="s">
        <v>3013</v>
      </c>
      <c r="K835" s="10" t="s">
        <v>3013</v>
      </c>
      <c r="L835" s="6">
        <v>280</v>
      </c>
      <c r="M835" s="6">
        <v>280</v>
      </c>
      <c r="N835" s="7" t="s">
        <v>239</v>
      </c>
      <c r="O835" s="6" t="s">
        <v>239</v>
      </c>
      <c r="P835" s="6" t="s">
        <v>239</v>
      </c>
      <c r="Q835" s="6" t="s">
        <v>236</v>
      </c>
      <c r="R835" s="6"/>
      <c r="S835" s="6">
        <f t="shared" si="12"/>
        <v>280</v>
      </c>
      <c r="T835" s="6"/>
      <c r="U835" s="6"/>
      <c r="V835" s="6"/>
      <c r="W835" s="6" t="s">
        <v>236</v>
      </c>
      <c r="X835" s="6" t="s">
        <v>236</v>
      </c>
      <c r="Y835" s="6" t="s">
        <v>236</v>
      </c>
      <c r="Z835" s="6" t="s">
        <v>236</v>
      </c>
      <c r="AA835" s="6" t="s">
        <v>236</v>
      </c>
    </row>
    <row r="836" spans="1:27">
      <c r="A836" s="6">
        <v>835</v>
      </c>
      <c r="B836" s="6" t="s">
        <v>346</v>
      </c>
      <c r="C836" s="7">
        <v>46144</v>
      </c>
      <c r="D836" s="6" t="s">
        <v>226</v>
      </c>
      <c r="E836" s="6" t="s">
        <v>2712</v>
      </c>
      <c r="F836" s="6" t="s">
        <v>267</v>
      </c>
      <c r="G836" s="6">
        <v>2</v>
      </c>
      <c r="H836" s="11" t="s">
        <v>3014</v>
      </c>
      <c r="I836" s="6">
        <v>8838576767</v>
      </c>
      <c r="J836" s="10" t="s">
        <v>3015</v>
      </c>
      <c r="K836" s="10" t="s">
        <v>3015</v>
      </c>
      <c r="L836" s="6">
        <v>110</v>
      </c>
      <c r="M836" s="6">
        <v>110</v>
      </c>
      <c r="N836" s="7" t="s">
        <v>239</v>
      </c>
      <c r="O836" s="6" t="s">
        <v>239</v>
      </c>
      <c r="P836" s="6" t="s">
        <v>239</v>
      </c>
      <c r="Q836" s="6" t="s">
        <v>236</v>
      </c>
      <c r="R836" s="6"/>
      <c r="S836" s="6">
        <f t="shared" si="12"/>
        <v>110</v>
      </c>
      <c r="T836" s="6"/>
      <c r="U836" s="6"/>
      <c r="V836" s="6"/>
      <c r="W836" s="6" t="s">
        <v>236</v>
      </c>
      <c r="X836" s="6" t="s">
        <v>236</v>
      </c>
      <c r="Y836" s="6" t="s">
        <v>236</v>
      </c>
      <c r="Z836" s="6" t="s">
        <v>236</v>
      </c>
      <c r="AA836" s="6" t="s">
        <v>236</v>
      </c>
    </row>
    <row r="837" spans="1:27">
      <c r="A837" s="6">
        <v>836</v>
      </c>
      <c r="B837" s="6" t="s">
        <v>346</v>
      </c>
      <c r="C837" s="7">
        <v>46144</v>
      </c>
      <c r="D837" s="6" t="s">
        <v>226</v>
      </c>
      <c r="E837" s="6" t="s">
        <v>2712</v>
      </c>
      <c r="F837" s="6" t="s">
        <v>267</v>
      </c>
      <c r="G837" s="6">
        <v>2</v>
      </c>
      <c r="H837" s="11" t="s">
        <v>3016</v>
      </c>
      <c r="I837" s="11">
        <v>8943444654</v>
      </c>
      <c r="J837" s="10" t="s">
        <v>3017</v>
      </c>
      <c r="K837" s="10" t="s">
        <v>3017</v>
      </c>
      <c r="L837" s="6">
        <v>460</v>
      </c>
      <c r="M837" s="6">
        <v>460</v>
      </c>
      <c r="N837" s="7" t="s">
        <v>239</v>
      </c>
      <c r="O837" s="6" t="s">
        <v>239</v>
      </c>
      <c r="P837" s="6" t="s">
        <v>239</v>
      </c>
      <c r="Q837" s="6" t="s">
        <v>236</v>
      </c>
      <c r="R837" s="6"/>
      <c r="S837" s="6">
        <f t="shared" si="12"/>
        <v>460</v>
      </c>
      <c r="T837" s="6"/>
      <c r="U837" s="6"/>
      <c r="V837" s="6"/>
      <c r="W837" s="6" t="s">
        <v>236</v>
      </c>
      <c r="X837" s="6" t="s">
        <v>236</v>
      </c>
      <c r="Y837" s="6" t="s">
        <v>236</v>
      </c>
      <c r="Z837" s="6" t="s">
        <v>236</v>
      </c>
      <c r="AA837" s="6" t="s">
        <v>236</v>
      </c>
    </row>
    <row r="838" spans="1:27">
      <c r="A838" s="6">
        <v>837</v>
      </c>
      <c r="B838" s="6" t="s">
        <v>3018</v>
      </c>
      <c r="C838" s="7">
        <v>46144</v>
      </c>
      <c r="D838" s="6" t="s">
        <v>226</v>
      </c>
      <c r="E838" s="6" t="s">
        <v>2712</v>
      </c>
      <c r="F838" s="6" t="s">
        <v>364</v>
      </c>
      <c r="G838" s="6">
        <v>2</v>
      </c>
      <c r="H838" s="8" t="s">
        <v>3019</v>
      </c>
      <c r="I838" s="8" t="s">
        <v>3020</v>
      </c>
      <c r="J838" s="8" t="s">
        <v>3021</v>
      </c>
      <c r="K838" s="8" t="s">
        <v>3021</v>
      </c>
      <c r="L838" s="8">
        <v>14510</v>
      </c>
      <c r="M838" s="8">
        <v>14510</v>
      </c>
      <c r="N838" s="7">
        <v>46115</v>
      </c>
      <c r="O838" s="8" t="s">
        <v>2189</v>
      </c>
      <c r="P838" s="6" t="s">
        <v>52</v>
      </c>
      <c r="Q838" s="6" t="s">
        <v>665</v>
      </c>
      <c r="R838" s="6">
        <v>14510</v>
      </c>
      <c r="S838" s="6">
        <f t="shared" si="12"/>
        <v>0</v>
      </c>
      <c r="T838" s="7">
        <v>46115</v>
      </c>
      <c r="U838" s="6" t="s">
        <v>3022</v>
      </c>
      <c r="V838" s="6" t="s">
        <v>54</v>
      </c>
      <c r="W838" s="6" t="s">
        <v>1398</v>
      </c>
      <c r="X838" s="6" t="s">
        <v>2189</v>
      </c>
      <c r="Y838" s="8" t="s">
        <v>3023</v>
      </c>
      <c r="Z838" s="6" t="s">
        <v>3024</v>
      </c>
      <c r="AA838" s="6" t="s">
        <v>373</v>
      </c>
    </row>
    <row r="839" spans="1:27">
      <c r="A839" s="6">
        <v>838</v>
      </c>
      <c r="B839" s="6" t="s">
        <v>3018</v>
      </c>
      <c r="C839" s="7">
        <v>46144</v>
      </c>
      <c r="D839" s="6" t="s">
        <v>226</v>
      </c>
      <c r="E839" s="6" t="s">
        <v>2712</v>
      </c>
      <c r="F839" s="6" t="s">
        <v>364</v>
      </c>
      <c r="G839" s="6">
        <v>2</v>
      </c>
      <c r="H839" s="8" t="s">
        <v>3025</v>
      </c>
      <c r="I839" s="8" t="s">
        <v>3026</v>
      </c>
      <c r="J839" s="8" t="s">
        <v>3027</v>
      </c>
      <c r="K839" s="8" t="s">
        <v>3027</v>
      </c>
      <c r="L839" s="8">
        <v>11810</v>
      </c>
      <c r="M839" s="8">
        <v>11810</v>
      </c>
      <c r="N839" s="7"/>
      <c r="O839" s="8" t="s">
        <v>1740</v>
      </c>
      <c r="P839" s="6" t="s">
        <v>52</v>
      </c>
      <c r="Q839" s="6" t="s">
        <v>665</v>
      </c>
      <c r="R839" s="6"/>
      <c r="S839" s="6">
        <f t="shared" si="12"/>
        <v>11810</v>
      </c>
      <c r="T839" s="6"/>
      <c r="U839" s="6"/>
      <c r="V839" s="6"/>
      <c r="W839" s="6" t="s">
        <v>1398</v>
      </c>
      <c r="X839" s="8" t="s">
        <v>1740</v>
      </c>
      <c r="Y839" s="8" t="s">
        <v>3028</v>
      </c>
      <c r="Z839" s="6" t="s">
        <v>669</v>
      </c>
      <c r="AA839" s="6" t="s">
        <v>373</v>
      </c>
    </row>
    <row r="840" spans="1:27" ht="18.75">
      <c r="A840" s="6">
        <v>839</v>
      </c>
      <c r="B840" s="6"/>
      <c r="C840" s="7">
        <v>46144</v>
      </c>
      <c r="D840" s="6" t="s">
        <v>226</v>
      </c>
      <c r="E840" s="6" t="s">
        <v>2712</v>
      </c>
      <c r="F840" s="6" t="s">
        <v>364</v>
      </c>
      <c r="G840" s="6">
        <v>2</v>
      </c>
      <c r="H840" s="37" t="s">
        <v>3029</v>
      </c>
      <c r="I840" s="37" t="s">
        <v>3030</v>
      </c>
      <c r="J840" s="37" t="s">
        <v>3031</v>
      </c>
      <c r="K840" s="37" t="s">
        <v>3031</v>
      </c>
      <c r="L840" s="37">
        <v>27790</v>
      </c>
      <c r="M840" s="37">
        <v>28000</v>
      </c>
      <c r="N840" s="7"/>
      <c r="O840" s="37" t="s">
        <v>369</v>
      </c>
      <c r="P840" s="6" t="s">
        <v>52</v>
      </c>
      <c r="Q840" s="6" t="s">
        <v>665</v>
      </c>
      <c r="R840" s="6">
        <f>18000+10000</f>
        <v>28000</v>
      </c>
      <c r="S840" s="6">
        <f t="shared" si="12"/>
        <v>0</v>
      </c>
      <c r="T840" s="7">
        <v>46160</v>
      </c>
      <c r="U840" s="6" t="s">
        <v>3032</v>
      </c>
      <c r="V840" s="6" t="s">
        <v>54</v>
      </c>
      <c r="W840" s="6" t="s">
        <v>369</v>
      </c>
      <c r="X840" s="6" t="s">
        <v>369</v>
      </c>
      <c r="Y840" s="37" t="s">
        <v>3033</v>
      </c>
      <c r="Z840" s="8" t="s">
        <v>373</v>
      </c>
      <c r="AA840" s="6" t="s">
        <v>373</v>
      </c>
    </row>
    <row r="841" spans="1:27">
      <c r="A841" s="6">
        <v>840</v>
      </c>
      <c r="B841" s="6"/>
      <c r="C841" s="7">
        <v>46144</v>
      </c>
      <c r="D841" s="6" t="s">
        <v>226</v>
      </c>
      <c r="E841" s="6" t="s">
        <v>2712</v>
      </c>
      <c r="F841" s="6" t="s">
        <v>336</v>
      </c>
      <c r="G841" s="6">
        <v>2</v>
      </c>
      <c r="H841" s="6" t="s">
        <v>3034</v>
      </c>
      <c r="I841" s="6" t="s">
        <v>3035</v>
      </c>
      <c r="J841" s="6" t="s">
        <v>3036</v>
      </c>
      <c r="K841" s="6" t="s">
        <v>3036</v>
      </c>
      <c r="L841" s="14">
        <v>17460</v>
      </c>
      <c r="M841" s="16">
        <v>7460</v>
      </c>
      <c r="N841" s="7">
        <v>46151</v>
      </c>
      <c r="O841" s="6" t="s">
        <v>698</v>
      </c>
      <c r="P841" s="6" t="s">
        <v>52</v>
      </c>
      <c r="Q841" s="6" t="s">
        <v>3037</v>
      </c>
      <c r="R841" s="6">
        <v>7400</v>
      </c>
      <c r="S841" s="6">
        <f t="shared" si="12"/>
        <v>60</v>
      </c>
      <c r="T841" s="7">
        <v>46148</v>
      </c>
      <c r="U841" s="6" t="s">
        <v>3038</v>
      </c>
      <c r="V841" s="6" t="s">
        <v>54</v>
      </c>
      <c r="W841" s="6" t="s">
        <v>342</v>
      </c>
      <c r="X841" s="6" t="s">
        <v>3039</v>
      </c>
      <c r="Y841" s="6" t="s">
        <v>3040</v>
      </c>
      <c r="Z841" s="6" t="s">
        <v>3041</v>
      </c>
      <c r="AA841" s="6" t="s">
        <v>235</v>
      </c>
    </row>
    <row r="842" spans="1:27">
      <c r="A842" s="6">
        <v>841</v>
      </c>
      <c r="B842" s="6"/>
      <c r="C842" s="7">
        <v>46144</v>
      </c>
      <c r="D842" s="6" t="s">
        <v>226</v>
      </c>
      <c r="E842" s="6" t="s">
        <v>2712</v>
      </c>
      <c r="F842" s="6" t="s">
        <v>294</v>
      </c>
      <c r="G842" s="6">
        <v>2</v>
      </c>
      <c r="H842" s="12" t="s">
        <v>295</v>
      </c>
      <c r="I842" s="12" t="s">
        <v>296</v>
      </c>
      <c r="J842" s="12" t="s">
        <v>297</v>
      </c>
      <c r="K842" s="12" t="s">
        <v>297</v>
      </c>
      <c r="L842" s="13">
        <v>26347</v>
      </c>
      <c r="M842" s="13">
        <v>26350</v>
      </c>
      <c r="N842" s="7"/>
      <c r="O842" s="6" t="s">
        <v>298</v>
      </c>
      <c r="P842" s="6" t="s">
        <v>52</v>
      </c>
      <c r="Q842" s="6" t="s">
        <v>298</v>
      </c>
      <c r="R842" s="6"/>
      <c r="S842" s="6">
        <f t="shared" si="12"/>
        <v>26350</v>
      </c>
      <c r="T842" s="7"/>
      <c r="U842" s="6"/>
      <c r="V842" s="6"/>
      <c r="W842" s="6" t="s">
        <v>298</v>
      </c>
      <c r="X842" s="12" t="s">
        <v>300</v>
      </c>
      <c r="Y842" s="12" t="s">
        <v>3042</v>
      </c>
      <c r="Z842" s="6" t="s">
        <v>302</v>
      </c>
      <c r="AA842" s="6" t="s">
        <v>235</v>
      </c>
    </row>
    <row r="843" spans="1:27">
      <c r="A843" s="6">
        <v>842</v>
      </c>
      <c r="B843" s="6"/>
      <c r="C843" s="6" t="s">
        <v>3043</v>
      </c>
      <c r="D843" s="6" t="s">
        <v>28</v>
      </c>
      <c r="E843" s="6" t="s">
        <v>2712</v>
      </c>
      <c r="F843" s="6" t="s">
        <v>30</v>
      </c>
      <c r="G843" s="6">
        <v>14</v>
      </c>
      <c r="H843" s="6" t="s">
        <v>3044</v>
      </c>
      <c r="I843" s="6" t="s">
        <v>3045</v>
      </c>
      <c r="J843" s="6" t="s">
        <v>3046</v>
      </c>
      <c r="K843" s="6" t="s">
        <v>3047</v>
      </c>
      <c r="L843" s="6">
        <v>19348.18</v>
      </c>
      <c r="M843" s="6">
        <v>19348.18</v>
      </c>
      <c r="N843" s="7" t="s">
        <v>35</v>
      </c>
      <c r="O843" s="6" t="s">
        <v>35</v>
      </c>
      <c r="P843" s="6" t="s">
        <v>35</v>
      </c>
      <c r="Q843" s="6" t="s">
        <v>36</v>
      </c>
      <c r="R843" s="6"/>
      <c r="S843" s="6">
        <f t="shared" si="12"/>
        <v>19348.18</v>
      </c>
      <c r="T843" s="6"/>
      <c r="U843" s="6"/>
      <c r="V843" s="6"/>
      <c r="W843" s="6" t="s">
        <v>62</v>
      </c>
      <c r="X843" s="6" t="s">
        <v>698</v>
      </c>
      <c r="Y843" s="6" t="s">
        <v>3048</v>
      </c>
      <c r="Z843" s="6" t="s">
        <v>235</v>
      </c>
      <c r="AA843" s="6" t="s">
        <v>40</v>
      </c>
    </row>
    <row r="844" spans="1:27">
      <c r="A844" s="6">
        <v>843</v>
      </c>
      <c r="B844" s="6"/>
      <c r="C844" s="6" t="s">
        <v>3043</v>
      </c>
      <c r="D844" s="6" t="s">
        <v>28</v>
      </c>
      <c r="E844" s="6" t="s">
        <v>2712</v>
      </c>
      <c r="F844" s="6" t="s">
        <v>30</v>
      </c>
      <c r="G844" s="6">
        <v>14</v>
      </c>
      <c r="H844" s="6" t="s">
        <v>3049</v>
      </c>
      <c r="I844" s="6" t="s">
        <v>3050</v>
      </c>
      <c r="J844" s="6" t="s">
        <v>3051</v>
      </c>
      <c r="K844" s="6"/>
      <c r="L844" s="6">
        <v>12991.45</v>
      </c>
      <c r="M844" s="6">
        <v>12991.45</v>
      </c>
      <c r="N844" s="7" t="s">
        <v>35</v>
      </c>
      <c r="O844" s="6" t="s">
        <v>35</v>
      </c>
      <c r="P844" s="6" t="s">
        <v>35</v>
      </c>
      <c r="Q844" s="6" t="s">
        <v>36</v>
      </c>
      <c r="R844" s="6"/>
      <c r="S844" s="6">
        <f t="shared" si="12"/>
        <v>12991.45</v>
      </c>
      <c r="T844" s="6"/>
      <c r="U844" s="6"/>
      <c r="V844" s="6"/>
      <c r="W844" s="6" t="s">
        <v>3052</v>
      </c>
      <c r="X844" s="6" t="s">
        <v>698</v>
      </c>
      <c r="Y844" s="6" t="s">
        <v>3053</v>
      </c>
      <c r="Z844" s="6" t="s">
        <v>235</v>
      </c>
      <c r="AA844" s="6" t="s">
        <v>40</v>
      </c>
    </row>
    <row r="845" spans="1:27">
      <c r="A845" s="6">
        <v>844</v>
      </c>
      <c r="B845" s="6"/>
      <c r="C845" s="6" t="s">
        <v>3043</v>
      </c>
      <c r="D845" s="6" t="s">
        <v>28</v>
      </c>
      <c r="E845" s="6" t="s">
        <v>2712</v>
      </c>
      <c r="F845" s="6" t="s">
        <v>30</v>
      </c>
      <c r="G845" s="6">
        <v>14</v>
      </c>
      <c r="H845" s="6" t="s">
        <v>3054</v>
      </c>
      <c r="I845" s="6" t="s">
        <v>3055</v>
      </c>
      <c r="J845" s="6" t="s">
        <v>3056</v>
      </c>
      <c r="K845" s="6" t="s">
        <v>3057</v>
      </c>
      <c r="L845" s="6">
        <v>13347.16</v>
      </c>
      <c r="M845" s="6">
        <v>13347.16</v>
      </c>
      <c r="N845" s="7" t="s">
        <v>35</v>
      </c>
      <c r="O845" s="6" t="s">
        <v>35</v>
      </c>
      <c r="P845" s="6" t="s">
        <v>35</v>
      </c>
      <c r="Q845" s="6" t="s">
        <v>36</v>
      </c>
      <c r="R845" s="6"/>
      <c r="S845" s="6">
        <f t="shared" si="12"/>
        <v>13347.16</v>
      </c>
      <c r="T845" s="6"/>
      <c r="U845" s="6"/>
      <c r="V845" s="6"/>
      <c r="W845" s="6" t="s">
        <v>3058</v>
      </c>
      <c r="X845" s="6"/>
      <c r="Y845" s="6" t="s">
        <v>3059</v>
      </c>
      <c r="Z845" s="6" t="s">
        <v>1577</v>
      </c>
      <c r="AA845" s="6" t="s">
        <v>40</v>
      </c>
    </row>
    <row r="846" spans="1:27">
      <c r="A846" s="6">
        <v>845</v>
      </c>
      <c r="B846" s="6"/>
      <c r="C846" s="6" t="s">
        <v>3043</v>
      </c>
      <c r="D846" s="6" t="s">
        <v>28</v>
      </c>
      <c r="E846" s="6" t="s">
        <v>2712</v>
      </c>
      <c r="F846" s="6" t="s">
        <v>30</v>
      </c>
      <c r="G846" s="6">
        <v>14</v>
      </c>
      <c r="H846" s="6" t="s">
        <v>3060</v>
      </c>
      <c r="I846" s="6" t="s">
        <v>3061</v>
      </c>
      <c r="J846" s="6" t="s">
        <v>3062</v>
      </c>
      <c r="K846" s="6" t="s">
        <v>3063</v>
      </c>
      <c r="L846" s="6">
        <v>13353.1</v>
      </c>
      <c r="M846" s="6">
        <v>13353.1</v>
      </c>
      <c r="N846" s="7" t="s">
        <v>35</v>
      </c>
      <c r="O846" s="6" t="s">
        <v>35</v>
      </c>
      <c r="P846" s="6" t="s">
        <v>35</v>
      </c>
      <c r="Q846" s="6" t="s">
        <v>36</v>
      </c>
      <c r="R846" s="6"/>
      <c r="S846" s="6">
        <f t="shared" si="12"/>
        <v>13353.1</v>
      </c>
      <c r="T846" s="6"/>
      <c r="U846" s="6"/>
      <c r="V846" s="6"/>
      <c r="W846" s="6" t="s">
        <v>3064</v>
      </c>
      <c r="X846" s="6"/>
      <c r="Y846" s="6" t="s">
        <v>3065</v>
      </c>
      <c r="Z846" s="6" t="s">
        <v>1577</v>
      </c>
      <c r="AA846" s="6" t="s">
        <v>40</v>
      </c>
    </row>
    <row r="847" spans="1:27">
      <c r="A847" s="6">
        <v>846</v>
      </c>
      <c r="B847" s="6"/>
      <c r="C847" s="6" t="s">
        <v>3043</v>
      </c>
      <c r="D847" s="6" t="s">
        <v>28</v>
      </c>
      <c r="E847" s="6" t="s">
        <v>2712</v>
      </c>
      <c r="F847" s="6" t="s">
        <v>30</v>
      </c>
      <c r="G847" s="6">
        <v>14</v>
      </c>
      <c r="H847" s="6" t="s">
        <v>1857</v>
      </c>
      <c r="I847" s="6" t="s">
        <v>1858</v>
      </c>
      <c r="J847" s="6" t="s">
        <v>1859</v>
      </c>
      <c r="K847" s="6" t="s">
        <v>1860</v>
      </c>
      <c r="L847" s="6">
        <v>11942.56</v>
      </c>
      <c r="M847" s="6">
        <v>11942.56</v>
      </c>
      <c r="N847" s="7" t="s">
        <v>35</v>
      </c>
      <c r="O847" s="6" t="s">
        <v>35</v>
      </c>
      <c r="P847" s="6" t="s">
        <v>35</v>
      </c>
      <c r="Q847" s="6" t="s">
        <v>36</v>
      </c>
      <c r="R847" s="6"/>
      <c r="S847" s="6">
        <f t="shared" si="12"/>
        <v>11942.56</v>
      </c>
      <c r="T847" s="6"/>
      <c r="U847" s="6"/>
      <c r="V847" s="6"/>
      <c r="W847" s="6" t="s">
        <v>3052</v>
      </c>
      <c r="X847" s="6" t="s">
        <v>1403</v>
      </c>
      <c r="Y847" s="6" t="s">
        <v>1861</v>
      </c>
      <c r="Z847" s="6" t="s">
        <v>1336</v>
      </c>
      <c r="AA847" s="6" t="s">
        <v>40</v>
      </c>
    </row>
    <row r="848" spans="1:27">
      <c r="A848" s="6">
        <v>847</v>
      </c>
      <c r="B848" s="6"/>
      <c r="C848" s="6" t="s">
        <v>3043</v>
      </c>
      <c r="D848" s="6" t="s">
        <v>28</v>
      </c>
      <c r="E848" s="6" t="s">
        <v>2712</v>
      </c>
      <c r="F848" s="6" t="s">
        <v>30</v>
      </c>
      <c r="G848" s="6">
        <v>14</v>
      </c>
      <c r="H848" s="6" t="s">
        <v>3066</v>
      </c>
      <c r="I848" s="6" t="s">
        <v>3067</v>
      </c>
      <c r="J848" s="6" t="s">
        <v>3068</v>
      </c>
      <c r="K848" s="6" t="s">
        <v>3069</v>
      </c>
      <c r="L848" s="6">
        <v>6662.8</v>
      </c>
      <c r="M848" s="6">
        <v>6662.8</v>
      </c>
      <c r="N848" s="7" t="s">
        <v>35</v>
      </c>
      <c r="O848" s="6" t="s">
        <v>35</v>
      </c>
      <c r="P848" s="6" t="s">
        <v>35</v>
      </c>
      <c r="Q848" s="6" t="s">
        <v>36</v>
      </c>
      <c r="R848" s="6"/>
      <c r="S848" s="6">
        <f t="shared" si="12"/>
        <v>6662.8</v>
      </c>
      <c r="T848" s="6"/>
      <c r="U848" s="6"/>
      <c r="V848" s="6"/>
      <c r="W848" s="6" t="s">
        <v>3058</v>
      </c>
      <c r="X848" s="6" t="s">
        <v>2733</v>
      </c>
      <c r="Y848" s="6" t="s">
        <v>3070</v>
      </c>
      <c r="Z848" s="6" t="s">
        <v>1500</v>
      </c>
      <c r="AA848" s="6" t="s">
        <v>40</v>
      </c>
    </row>
    <row r="849" spans="1:27">
      <c r="A849" s="6">
        <v>848</v>
      </c>
      <c r="B849" s="6"/>
      <c r="C849" s="6" t="s">
        <v>3043</v>
      </c>
      <c r="D849" s="6" t="s">
        <v>28</v>
      </c>
      <c r="E849" s="6" t="s">
        <v>2712</v>
      </c>
      <c r="F849" s="6" t="s">
        <v>30</v>
      </c>
      <c r="G849" s="6">
        <v>14</v>
      </c>
      <c r="H849" s="6" t="s">
        <v>477</v>
      </c>
      <c r="I849" s="6" t="s">
        <v>478</v>
      </c>
      <c r="J849" s="6" t="s">
        <v>479</v>
      </c>
      <c r="K849" s="6"/>
      <c r="L849" s="6">
        <v>6398.45</v>
      </c>
      <c r="M849" s="6">
        <v>6398.45</v>
      </c>
      <c r="N849" s="7" t="s">
        <v>35</v>
      </c>
      <c r="O849" s="6" t="s">
        <v>35</v>
      </c>
      <c r="P849" s="6" t="s">
        <v>35</v>
      </c>
      <c r="Q849" s="6" t="s">
        <v>36</v>
      </c>
      <c r="R849" s="6"/>
      <c r="S849" s="6">
        <f t="shared" si="12"/>
        <v>6398.45</v>
      </c>
      <c r="T849" s="6"/>
      <c r="U849" s="6"/>
      <c r="V849" s="6"/>
      <c r="W849" s="6" t="s">
        <v>3058</v>
      </c>
      <c r="X849" s="6" t="s">
        <v>1403</v>
      </c>
      <c r="Y849" s="6" t="s">
        <v>1907</v>
      </c>
      <c r="Z849" s="6" t="s">
        <v>1336</v>
      </c>
      <c r="AA849" s="6" t="s">
        <v>40</v>
      </c>
    </row>
    <row r="850" spans="1:27">
      <c r="A850" s="6">
        <v>849</v>
      </c>
      <c r="B850" s="6"/>
      <c r="C850" s="6" t="s">
        <v>3043</v>
      </c>
      <c r="D850" s="6" t="s">
        <v>28</v>
      </c>
      <c r="E850" s="6" t="s">
        <v>2712</v>
      </c>
      <c r="F850" s="6" t="s">
        <v>30</v>
      </c>
      <c r="G850" s="6">
        <v>14</v>
      </c>
      <c r="H850" s="6" t="s">
        <v>3071</v>
      </c>
      <c r="I850" s="6" t="s">
        <v>3072</v>
      </c>
      <c r="J850" s="6" t="s">
        <v>3073</v>
      </c>
      <c r="K850" s="6" t="s">
        <v>3074</v>
      </c>
      <c r="L850" s="6">
        <v>7351.27</v>
      </c>
      <c r="M850" s="6">
        <v>7351.27</v>
      </c>
      <c r="N850" s="7" t="s">
        <v>35</v>
      </c>
      <c r="O850" s="6" t="s">
        <v>35</v>
      </c>
      <c r="P850" s="6" t="s">
        <v>35</v>
      </c>
      <c r="Q850" s="6" t="s">
        <v>36</v>
      </c>
      <c r="R850" s="6"/>
      <c r="S850" s="6">
        <f t="shared" si="12"/>
        <v>7351.27</v>
      </c>
      <c r="T850" s="6"/>
      <c r="U850" s="6"/>
      <c r="V850" s="6"/>
      <c r="W850" s="6" t="s">
        <v>3058</v>
      </c>
      <c r="X850" s="6" t="s">
        <v>1403</v>
      </c>
      <c r="Y850" s="6" t="s">
        <v>3075</v>
      </c>
      <c r="Z850" s="6" t="s">
        <v>1336</v>
      </c>
      <c r="AA850" s="6" t="s">
        <v>40</v>
      </c>
    </row>
    <row r="851" spans="1:27">
      <c r="A851" s="6">
        <v>850</v>
      </c>
      <c r="B851" s="6"/>
      <c r="C851" s="6" t="s">
        <v>3043</v>
      </c>
      <c r="D851" s="6" t="s">
        <v>28</v>
      </c>
      <c r="E851" s="6" t="s">
        <v>2712</v>
      </c>
      <c r="F851" s="6" t="s">
        <v>30</v>
      </c>
      <c r="G851" s="6">
        <v>14</v>
      </c>
      <c r="H851" s="6" t="s">
        <v>3076</v>
      </c>
      <c r="I851" s="6" t="s">
        <v>3077</v>
      </c>
      <c r="J851" s="6" t="s">
        <v>3078</v>
      </c>
      <c r="K851" s="6" t="s">
        <v>3079</v>
      </c>
      <c r="L851" s="6">
        <v>7858.66</v>
      </c>
      <c r="M851" s="6">
        <v>7858.66</v>
      </c>
      <c r="N851" s="7" t="s">
        <v>35</v>
      </c>
      <c r="O851" s="6" t="s">
        <v>35</v>
      </c>
      <c r="P851" s="6" t="s">
        <v>35</v>
      </c>
      <c r="Q851" s="6" t="s">
        <v>36</v>
      </c>
      <c r="R851" s="6"/>
      <c r="S851" s="6">
        <f t="shared" si="12"/>
        <v>7858.66</v>
      </c>
      <c r="T851" s="6"/>
      <c r="U851" s="6"/>
      <c r="V851" s="6"/>
      <c r="W851" s="6" t="s">
        <v>3064</v>
      </c>
      <c r="X851" s="6" t="s">
        <v>1403</v>
      </c>
      <c r="Y851" s="6" t="s">
        <v>3080</v>
      </c>
      <c r="Z851" s="6" t="s">
        <v>1336</v>
      </c>
      <c r="AA851" s="6" t="s">
        <v>40</v>
      </c>
    </row>
    <row r="852" spans="1:27">
      <c r="A852" s="6">
        <v>851</v>
      </c>
      <c r="B852" s="6"/>
      <c r="C852" s="6" t="s">
        <v>3043</v>
      </c>
      <c r="D852" s="6" t="s">
        <v>28</v>
      </c>
      <c r="E852" s="6" t="s">
        <v>2712</v>
      </c>
      <c r="F852" s="6" t="s">
        <v>30</v>
      </c>
      <c r="G852" s="6">
        <v>14</v>
      </c>
      <c r="H852" s="6" t="s">
        <v>3081</v>
      </c>
      <c r="I852" s="6" t="s">
        <v>3082</v>
      </c>
      <c r="J852" s="6" t="s">
        <v>3083</v>
      </c>
      <c r="K852" s="6" t="s">
        <v>3084</v>
      </c>
      <c r="L852" s="6">
        <v>4902.3500000000004</v>
      </c>
      <c r="M852" s="6">
        <v>4902.3500000000004</v>
      </c>
      <c r="N852" s="7" t="s">
        <v>35</v>
      </c>
      <c r="O852" s="6" t="s">
        <v>35</v>
      </c>
      <c r="P852" s="6" t="s">
        <v>35</v>
      </c>
      <c r="Q852" s="6" t="s">
        <v>36</v>
      </c>
      <c r="R852" s="6"/>
      <c r="S852" s="6">
        <f t="shared" si="12"/>
        <v>4902.3500000000004</v>
      </c>
      <c r="T852" s="6"/>
      <c r="U852" s="6"/>
      <c r="V852" s="6"/>
      <c r="W852" s="6" t="s">
        <v>45</v>
      </c>
      <c r="X852" s="6"/>
      <c r="Y852" s="6" t="s">
        <v>3085</v>
      </c>
      <c r="Z852" s="6" t="s">
        <v>1555</v>
      </c>
      <c r="AA852" s="6" t="s">
        <v>40</v>
      </c>
    </row>
    <row r="853" spans="1:27">
      <c r="A853" s="6">
        <v>852</v>
      </c>
      <c r="B853" s="6"/>
      <c r="C853" s="6" t="s">
        <v>3043</v>
      </c>
      <c r="D853" s="6" t="s">
        <v>28</v>
      </c>
      <c r="E853" s="6" t="s">
        <v>2712</v>
      </c>
      <c r="F853" s="6" t="s">
        <v>30</v>
      </c>
      <c r="G853" s="6">
        <v>14</v>
      </c>
      <c r="H853" s="6" t="s">
        <v>3086</v>
      </c>
      <c r="I853" s="6" t="s">
        <v>3087</v>
      </c>
      <c r="J853" s="6" t="s">
        <v>3088</v>
      </c>
      <c r="K853" s="6" t="s">
        <v>3089</v>
      </c>
      <c r="L853" s="6">
        <v>3517.39</v>
      </c>
      <c r="M853" s="6">
        <v>3517.39</v>
      </c>
      <c r="N853" s="7" t="s">
        <v>35</v>
      </c>
      <c r="O853" s="6" t="s">
        <v>35</v>
      </c>
      <c r="P853" s="6" t="s">
        <v>35</v>
      </c>
      <c r="Q853" s="6" t="s">
        <v>36</v>
      </c>
      <c r="R853" s="6"/>
      <c r="S853" s="6">
        <f t="shared" ref="S853:S916" si="13">M853-R853</f>
        <v>3517.39</v>
      </c>
      <c r="T853" s="6"/>
      <c r="U853" s="6"/>
      <c r="V853" s="6"/>
      <c r="W853" s="6" t="s">
        <v>3058</v>
      </c>
      <c r="X853" s="6"/>
      <c r="Y853" s="6" t="s">
        <v>3090</v>
      </c>
      <c r="Z853" s="6" t="s">
        <v>1577</v>
      </c>
      <c r="AA853" s="6" t="s">
        <v>40</v>
      </c>
    </row>
    <row r="854" spans="1:27">
      <c r="A854" s="6">
        <v>853</v>
      </c>
      <c r="B854" s="6"/>
      <c r="C854" s="6" t="s">
        <v>3043</v>
      </c>
      <c r="D854" s="6" t="s">
        <v>28</v>
      </c>
      <c r="E854" s="6" t="s">
        <v>2712</v>
      </c>
      <c r="F854" s="6" t="s">
        <v>30</v>
      </c>
      <c r="G854" s="6">
        <v>14</v>
      </c>
      <c r="H854" s="6" t="s">
        <v>3091</v>
      </c>
      <c r="I854" s="6" t="s">
        <v>3092</v>
      </c>
      <c r="J854" s="6" t="s">
        <v>3093</v>
      </c>
      <c r="K854" s="6" t="s">
        <v>3094</v>
      </c>
      <c r="L854" s="6">
        <v>3231.16</v>
      </c>
      <c r="M854" s="6">
        <v>3231.16</v>
      </c>
      <c r="N854" s="7" t="s">
        <v>35</v>
      </c>
      <c r="O854" s="6" t="s">
        <v>35</v>
      </c>
      <c r="P854" s="6" t="s">
        <v>35</v>
      </c>
      <c r="Q854" s="6" t="s">
        <v>36</v>
      </c>
      <c r="R854" s="6"/>
      <c r="S854" s="6">
        <f t="shared" si="13"/>
        <v>3231.16</v>
      </c>
      <c r="T854" s="6"/>
      <c r="U854" s="6"/>
      <c r="V854" s="6"/>
      <c r="W854" s="6" t="s">
        <v>62</v>
      </c>
      <c r="X854" s="6"/>
      <c r="Y854" s="6" t="s">
        <v>3095</v>
      </c>
      <c r="Z854" s="6" t="s">
        <v>1682</v>
      </c>
      <c r="AA854" s="6" t="s">
        <v>40</v>
      </c>
    </row>
    <row r="855" spans="1:27">
      <c r="A855" s="6">
        <v>854</v>
      </c>
      <c r="B855" s="6"/>
      <c r="C855" s="6" t="s">
        <v>3043</v>
      </c>
      <c r="D855" s="6" t="s">
        <v>28</v>
      </c>
      <c r="E855" s="6" t="s">
        <v>2712</v>
      </c>
      <c r="F855" s="6" t="s">
        <v>30</v>
      </c>
      <c r="G855" s="6">
        <v>14</v>
      </c>
      <c r="H855" s="6" t="s">
        <v>3096</v>
      </c>
      <c r="I855" s="6" t="s">
        <v>3097</v>
      </c>
      <c r="J855" s="6" t="s">
        <v>3098</v>
      </c>
      <c r="K855" s="6" t="s">
        <v>3099</v>
      </c>
      <c r="L855" s="6">
        <v>4493.6099999999997</v>
      </c>
      <c r="M855" s="6">
        <v>4493.6099999999997</v>
      </c>
      <c r="N855" s="7" t="s">
        <v>35</v>
      </c>
      <c r="O855" s="6" t="s">
        <v>35</v>
      </c>
      <c r="P855" s="6" t="s">
        <v>35</v>
      </c>
      <c r="Q855" s="6" t="s">
        <v>36</v>
      </c>
      <c r="R855" s="6"/>
      <c r="S855" s="6">
        <f t="shared" si="13"/>
        <v>4493.6099999999997</v>
      </c>
      <c r="T855" s="6"/>
      <c r="U855" s="6"/>
      <c r="V855" s="6"/>
      <c r="W855" s="6" t="s">
        <v>45</v>
      </c>
      <c r="X855" s="6" t="s">
        <v>1403</v>
      </c>
      <c r="Y855" s="6" t="s">
        <v>3100</v>
      </c>
      <c r="Z855" s="6" t="s">
        <v>1336</v>
      </c>
      <c r="AA855" s="6" t="s">
        <v>40</v>
      </c>
    </row>
    <row r="856" spans="1:27">
      <c r="A856" s="6">
        <v>855</v>
      </c>
      <c r="B856" s="6"/>
      <c r="C856" s="6" t="s">
        <v>3043</v>
      </c>
      <c r="D856" s="6" t="s">
        <v>28</v>
      </c>
      <c r="E856" s="6" t="s">
        <v>2712</v>
      </c>
      <c r="F856" s="6" t="s">
        <v>30</v>
      </c>
      <c r="G856" s="6">
        <v>14</v>
      </c>
      <c r="H856" s="6" t="s">
        <v>3101</v>
      </c>
      <c r="I856" s="6" t="s">
        <v>3102</v>
      </c>
      <c r="J856" s="6" t="s">
        <v>3103</v>
      </c>
      <c r="K856" s="6" t="s">
        <v>1850</v>
      </c>
      <c r="L856" s="6">
        <v>2542.73</v>
      </c>
      <c r="M856" s="6">
        <v>2542.73</v>
      </c>
      <c r="N856" s="7" t="s">
        <v>35</v>
      </c>
      <c r="O856" s="6" t="s">
        <v>35</v>
      </c>
      <c r="P856" s="6" t="s">
        <v>35</v>
      </c>
      <c r="Q856" s="6" t="s">
        <v>36</v>
      </c>
      <c r="R856" s="6"/>
      <c r="S856" s="6">
        <f t="shared" si="13"/>
        <v>2542.73</v>
      </c>
      <c r="T856" s="6"/>
      <c r="U856" s="6"/>
      <c r="V856" s="6"/>
      <c r="W856" s="6" t="s">
        <v>62</v>
      </c>
      <c r="X856" s="6"/>
      <c r="Y856" s="6" t="s">
        <v>3104</v>
      </c>
      <c r="Z856" s="6" t="s">
        <v>1577</v>
      </c>
      <c r="AA856" s="6" t="s">
        <v>40</v>
      </c>
    </row>
    <row r="857" spans="1:27">
      <c r="A857" s="6">
        <v>856</v>
      </c>
      <c r="B857" s="6"/>
      <c r="C857" s="6" t="s">
        <v>3043</v>
      </c>
      <c r="D857" s="6" t="s">
        <v>28</v>
      </c>
      <c r="E857" s="6" t="s">
        <v>2712</v>
      </c>
      <c r="F857" s="6" t="s">
        <v>30</v>
      </c>
      <c r="G857" s="6">
        <v>14</v>
      </c>
      <c r="H857" s="6" t="s">
        <v>3105</v>
      </c>
      <c r="I857" s="6" t="s">
        <v>3106</v>
      </c>
      <c r="J857" s="6" t="s">
        <v>3107</v>
      </c>
      <c r="K857" s="6" t="s">
        <v>3108</v>
      </c>
      <c r="L857" s="6">
        <v>2198.66</v>
      </c>
      <c r="M857" s="6">
        <v>2198.66</v>
      </c>
      <c r="N857" s="7" t="s">
        <v>35</v>
      </c>
      <c r="O857" s="6" t="s">
        <v>35</v>
      </c>
      <c r="P857" s="6" t="s">
        <v>35</v>
      </c>
      <c r="Q857" s="6" t="s">
        <v>36</v>
      </c>
      <c r="R857" s="6"/>
      <c r="S857" s="6">
        <f t="shared" si="13"/>
        <v>2198.66</v>
      </c>
      <c r="T857" s="6"/>
      <c r="U857" s="6"/>
      <c r="V857" s="6"/>
      <c r="W857" s="6" t="s">
        <v>45</v>
      </c>
      <c r="X857" s="6"/>
      <c r="Y857" s="6" t="s">
        <v>3109</v>
      </c>
      <c r="Z857" s="6" t="s">
        <v>1539</v>
      </c>
      <c r="AA857" s="6" t="s">
        <v>40</v>
      </c>
    </row>
    <row r="858" spans="1:27">
      <c r="A858" s="6">
        <v>857</v>
      </c>
      <c r="B858" s="6"/>
      <c r="C858" s="6" t="s">
        <v>3043</v>
      </c>
      <c r="D858" s="6" t="s">
        <v>28</v>
      </c>
      <c r="E858" s="6" t="s">
        <v>2712</v>
      </c>
      <c r="F858" s="6" t="s">
        <v>30</v>
      </c>
      <c r="G858" s="6">
        <v>14</v>
      </c>
      <c r="H858" s="6" t="s">
        <v>3110</v>
      </c>
      <c r="I858" s="6" t="s">
        <v>3111</v>
      </c>
      <c r="J858" s="6" t="s">
        <v>3112</v>
      </c>
      <c r="K858" s="6" t="s">
        <v>3113</v>
      </c>
      <c r="L858" s="6">
        <v>2350.79</v>
      </c>
      <c r="M858" s="6">
        <v>2350.79</v>
      </c>
      <c r="N858" s="7" t="s">
        <v>35</v>
      </c>
      <c r="O858" s="6" t="s">
        <v>35</v>
      </c>
      <c r="P858" s="6" t="s">
        <v>35</v>
      </c>
      <c r="Q858" s="6" t="s">
        <v>36</v>
      </c>
      <c r="R858" s="6"/>
      <c r="S858" s="6">
        <f t="shared" si="13"/>
        <v>2350.79</v>
      </c>
      <c r="T858" s="6"/>
      <c r="U858" s="6"/>
      <c r="V858" s="6"/>
      <c r="W858" s="6" t="s">
        <v>62</v>
      </c>
      <c r="X858" s="6"/>
      <c r="Y858" s="6" t="s">
        <v>3114</v>
      </c>
      <c r="Z858" s="6" t="s">
        <v>1867</v>
      </c>
      <c r="AA858" s="6" t="s">
        <v>40</v>
      </c>
    </row>
    <row r="859" spans="1:27">
      <c r="A859" s="6">
        <v>858</v>
      </c>
      <c r="B859" s="6"/>
      <c r="C859" s="6" t="s">
        <v>3043</v>
      </c>
      <c r="D859" s="6" t="s">
        <v>28</v>
      </c>
      <c r="E859" s="6" t="s">
        <v>2712</v>
      </c>
      <c r="F859" s="6" t="s">
        <v>30</v>
      </c>
      <c r="G859" s="6">
        <v>14</v>
      </c>
      <c r="H859" s="6" t="s">
        <v>3115</v>
      </c>
      <c r="I859" s="6" t="s">
        <v>3116</v>
      </c>
      <c r="J859" s="6" t="s">
        <v>3117</v>
      </c>
      <c r="K859" s="6" t="s">
        <v>3118</v>
      </c>
      <c r="L859" s="6">
        <v>2470.3200000000002</v>
      </c>
      <c r="M859" s="6">
        <v>2470.3200000000002</v>
      </c>
      <c r="N859" s="7" t="s">
        <v>35</v>
      </c>
      <c r="O859" s="6" t="s">
        <v>35</v>
      </c>
      <c r="P859" s="6" t="s">
        <v>35</v>
      </c>
      <c r="Q859" s="6" t="s">
        <v>36</v>
      </c>
      <c r="R859" s="6"/>
      <c r="S859" s="6">
        <f t="shared" si="13"/>
        <v>2470.3200000000002</v>
      </c>
      <c r="T859" s="6"/>
      <c r="U859" s="6"/>
      <c r="V859" s="6"/>
      <c r="W859" s="6" t="s">
        <v>62</v>
      </c>
      <c r="X859" s="6"/>
      <c r="Y859" s="6" t="s">
        <v>3119</v>
      </c>
      <c r="Z859" s="6" t="s">
        <v>1577</v>
      </c>
      <c r="AA859" s="6" t="s">
        <v>40</v>
      </c>
    </row>
    <row r="860" spans="1:27">
      <c r="A860" s="6">
        <v>859</v>
      </c>
      <c r="B860" s="6"/>
      <c r="C860" s="6" t="s">
        <v>3043</v>
      </c>
      <c r="D860" s="6" t="s">
        <v>28</v>
      </c>
      <c r="E860" s="6" t="s">
        <v>2712</v>
      </c>
      <c r="F860" s="6" t="s">
        <v>30</v>
      </c>
      <c r="G860" s="6">
        <v>14</v>
      </c>
      <c r="H860" s="6" t="s">
        <v>3120</v>
      </c>
      <c r="I860" s="6" t="s">
        <v>3121</v>
      </c>
      <c r="J860" s="6" t="s">
        <v>3122</v>
      </c>
      <c r="K860" s="6" t="s">
        <v>3123</v>
      </c>
      <c r="L860" s="6">
        <v>2563.37</v>
      </c>
      <c r="M860" s="6">
        <v>2563.37</v>
      </c>
      <c r="N860" s="7" t="s">
        <v>35</v>
      </c>
      <c r="O860" s="6" t="s">
        <v>35</v>
      </c>
      <c r="P860" s="6" t="s">
        <v>35</v>
      </c>
      <c r="Q860" s="6" t="s">
        <v>36</v>
      </c>
      <c r="R860" s="6"/>
      <c r="S860" s="6">
        <f t="shared" si="13"/>
        <v>2563.37</v>
      </c>
      <c r="T860" s="6"/>
      <c r="U860" s="6"/>
      <c r="V860" s="6"/>
      <c r="W860" s="6" t="s">
        <v>3064</v>
      </c>
      <c r="X860" s="6" t="s">
        <v>698</v>
      </c>
      <c r="Y860" s="6" t="s">
        <v>3124</v>
      </c>
      <c r="Z860" s="6" t="s">
        <v>390</v>
      </c>
      <c r="AA860" s="6" t="s">
        <v>40</v>
      </c>
    </row>
    <row r="861" spans="1:27" ht="18.75">
      <c r="A861" s="6">
        <v>860</v>
      </c>
      <c r="B861" s="6"/>
      <c r="C861" s="6" t="s">
        <v>3043</v>
      </c>
      <c r="D861" s="6" t="s">
        <v>28</v>
      </c>
      <c r="E861" s="6" t="s">
        <v>2712</v>
      </c>
      <c r="F861" s="6" t="s">
        <v>30</v>
      </c>
      <c r="G861" s="6">
        <v>14</v>
      </c>
      <c r="H861" s="6" t="s">
        <v>3125</v>
      </c>
      <c r="I861" s="6" t="s">
        <v>3126</v>
      </c>
      <c r="J861" s="38" t="s">
        <v>3127</v>
      </c>
      <c r="K861" s="6" t="s">
        <v>3128</v>
      </c>
      <c r="L861" s="6">
        <v>2381.23</v>
      </c>
      <c r="M861" s="6">
        <v>2382</v>
      </c>
      <c r="N861" s="7" t="s">
        <v>35</v>
      </c>
      <c r="O861" s="6" t="s">
        <v>35</v>
      </c>
      <c r="P861" s="6" t="s">
        <v>35</v>
      </c>
      <c r="Q861" s="6" t="s">
        <v>36</v>
      </c>
      <c r="R861" s="6">
        <v>1906</v>
      </c>
      <c r="S861" s="6">
        <f t="shared" si="13"/>
        <v>476</v>
      </c>
      <c r="T861" s="6"/>
      <c r="U861" s="6" t="s">
        <v>3129</v>
      </c>
      <c r="V861" s="6" t="s">
        <v>54</v>
      </c>
      <c r="W861" s="6" t="s">
        <v>3064</v>
      </c>
      <c r="X861" s="6" t="s">
        <v>698</v>
      </c>
      <c r="Y861" s="6" t="s">
        <v>3130</v>
      </c>
      <c r="Z861" s="5" t="s">
        <v>878</v>
      </c>
      <c r="AA861" s="5" t="s">
        <v>40</v>
      </c>
    </row>
    <row r="862" spans="1:27">
      <c r="A862" s="6">
        <v>861</v>
      </c>
      <c r="B862" s="6"/>
      <c r="C862" s="6" t="s">
        <v>3043</v>
      </c>
      <c r="D862" s="6" t="s">
        <v>28</v>
      </c>
      <c r="E862" s="6" t="s">
        <v>2712</v>
      </c>
      <c r="F862" s="6" t="s">
        <v>30</v>
      </c>
      <c r="G862" s="6">
        <v>14</v>
      </c>
      <c r="H862" s="6" t="s">
        <v>3131</v>
      </c>
      <c r="I862" s="6" t="s">
        <v>3132</v>
      </c>
      <c r="J862" s="6" t="s">
        <v>3133</v>
      </c>
      <c r="K862" s="6" t="s">
        <v>3134</v>
      </c>
      <c r="L862" s="6">
        <v>1961.05</v>
      </c>
      <c r="M862" s="6">
        <v>1961.05</v>
      </c>
      <c r="N862" s="7" t="s">
        <v>35</v>
      </c>
      <c r="O862" s="6" t="s">
        <v>35</v>
      </c>
      <c r="P862" s="6" t="s">
        <v>35</v>
      </c>
      <c r="Q862" s="6" t="s">
        <v>36</v>
      </c>
      <c r="R862" s="6"/>
      <c r="S862" s="6">
        <f t="shared" si="13"/>
        <v>1961.05</v>
      </c>
      <c r="T862" s="6"/>
      <c r="U862" s="6"/>
      <c r="V862" s="6"/>
      <c r="W862" s="6" t="s">
        <v>62</v>
      </c>
      <c r="X862" s="6"/>
      <c r="Y862" s="6" t="s">
        <v>3135</v>
      </c>
      <c r="Z862" s="6" t="s">
        <v>234</v>
      </c>
      <c r="AA862" s="6" t="s">
        <v>40</v>
      </c>
    </row>
    <row r="863" spans="1:27">
      <c r="A863" s="6">
        <v>862</v>
      </c>
      <c r="B863" s="6"/>
      <c r="C863" s="6" t="s">
        <v>3043</v>
      </c>
      <c r="D863" s="6" t="s">
        <v>28</v>
      </c>
      <c r="E863" s="6" t="s">
        <v>2712</v>
      </c>
      <c r="F863" s="6" t="s">
        <v>30</v>
      </c>
      <c r="G863" s="6">
        <v>14</v>
      </c>
      <c r="H863" s="6" t="s">
        <v>1968</v>
      </c>
      <c r="I863" s="6" t="s">
        <v>1969</v>
      </c>
      <c r="J863" s="6" t="s">
        <v>1970</v>
      </c>
      <c r="K863" s="6" t="s">
        <v>1971</v>
      </c>
      <c r="L863" s="6">
        <v>2065.85</v>
      </c>
      <c r="M863" s="6">
        <v>2065.85</v>
      </c>
      <c r="N863" s="7" t="s">
        <v>35</v>
      </c>
      <c r="O863" s="6" t="s">
        <v>35</v>
      </c>
      <c r="P863" s="6" t="s">
        <v>35</v>
      </c>
      <c r="Q863" s="6" t="s">
        <v>36</v>
      </c>
      <c r="R863" s="6"/>
      <c r="S863" s="6">
        <f t="shared" si="13"/>
        <v>2065.85</v>
      </c>
      <c r="T863" s="6"/>
      <c r="U863" s="6"/>
      <c r="V863" s="6"/>
      <c r="W863" s="6" t="s">
        <v>3052</v>
      </c>
      <c r="X863" s="6"/>
      <c r="Y863" s="6" t="s">
        <v>1972</v>
      </c>
      <c r="Z863" s="6" t="s">
        <v>1973</v>
      </c>
      <c r="AA863" s="6" t="s">
        <v>40</v>
      </c>
    </row>
    <row r="864" spans="1:27">
      <c r="A864" s="6">
        <v>863</v>
      </c>
      <c r="B864" s="6"/>
      <c r="C864" s="6" t="s">
        <v>3043</v>
      </c>
      <c r="D864" s="6" t="s">
        <v>28</v>
      </c>
      <c r="E864" s="6" t="s">
        <v>2712</v>
      </c>
      <c r="F864" s="6" t="s">
        <v>30</v>
      </c>
      <c r="G864" s="6">
        <v>14</v>
      </c>
      <c r="H864" s="6" t="s">
        <v>3136</v>
      </c>
      <c r="I864" s="6" t="s">
        <v>3137</v>
      </c>
      <c r="J864" s="6" t="s">
        <v>3138</v>
      </c>
      <c r="K864" s="6" t="s">
        <v>3139</v>
      </c>
      <c r="L864" s="6">
        <v>1091.67</v>
      </c>
      <c r="M864" s="6">
        <v>1091.67</v>
      </c>
      <c r="N864" s="7" t="s">
        <v>35</v>
      </c>
      <c r="O864" s="6" t="s">
        <v>35</v>
      </c>
      <c r="P864" s="6" t="s">
        <v>35</v>
      </c>
      <c r="Q864" s="6" t="s">
        <v>36</v>
      </c>
      <c r="R864" s="6"/>
      <c r="S864" s="6">
        <f t="shared" si="13"/>
        <v>1091.67</v>
      </c>
      <c r="T864" s="6"/>
      <c r="U864" s="6"/>
      <c r="V864" s="6"/>
      <c r="W864" s="6" t="s">
        <v>3052</v>
      </c>
      <c r="X864" s="6" t="s">
        <v>2733</v>
      </c>
      <c r="Y864" s="6" t="s">
        <v>3140</v>
      </c>
      <c r="Z864" s="6" t="s">
        <v>1500</v>
      </c>
      <c r="AA864" s="6" t="s">
        <v>40</v>
      </c>
    </row>
    <row r="865" spans="1:27">
      <c r="A865" s="6">
        <v>864</v>
      </c>
      <c r="B865" s="6"/>
      <c r="C865" s="6" t="s">
        <v>3043</v>
      </c>
      <c r="D865" s="6" t="s">
        <v>28</v>
      </c>
      <c r="E865" s="6" t="s">
        <v>2712</v>
      </c>
      <c r="F865" s="6" t="s">
        <v>30</v>
      </c>
      <c r="G865" s="6">
        <v>14</v>
      </c>
      <c r="H865" s="6" t="s">
        <v>1824</v>
      </c>
      <c r="I865" s="6" t="s">
        <v>1825</v>
      </c>
      <c r="J865" s="6" t="s">
        <v>3141</v>
      </c>
      <c r="K865" s="6" t="s">
        <v>3142</v>
      </c>
      <c r="L865" s="6">
        <v>1249.8</v>
      </c>
      <c r="M865" s="6">
        <v>1249.8</v>
      </c>
      <c r="N865" s="7" t="s">
        <v>35</v>
      </c>
      <c r="O865" s="6" t="s">
        <v>35</v>
      </c>
      <c r="P865" s="6" t="s">
        <v>35</v>
      </c>
      <c r="Q865" s="6" t="s">
        <v>36</v>
      </c>
      <c r="R865" s="6"/>
      <c r="S865" s="6">
        <f t="shared" si="13"/>
        <v>1249.8</v>
      </c>
      <c r="T865" s="6"/>
      <c r="U865" s="6"/>
      <c r="V865" s="6"/>
      <c r="W865" s="6" t="s">
        <v>3064</v>
      </c>
      <c r="X865" s="6"/>
      <c r="Y865" s="6" t="s">
        <v>1828</v>
      </c>
      <c r="Z865" s="6" t="s">
        <v>1539</v>
      </c>
      <c r="AA865" s="6" t="s">
        <v>40</v>
      </c>
    </row>
    <row r="866" spans="1:27">
      <c r="A866" s="6">
        <v>865</v>
      </c>
      <c r="B866" s="6"/>
      <c r="C866" s="6" t="s">
        <v>3043</v>
      </c>
      <c r="D866" s="6" t="s">
        <v>28</v>
      </c>
      <c r="E866" s="6" t="s">
        <v>2712</v>
      </c>
      <c r="F866" s="6" t="s">
        <v>30</v>
      </c>
      <c r="G866" s="6">
        <v>14</v>
      </c>
      <c r="H866" s="6" t="s">
        <v>3143</v>
      </c>
      <c r="I866" s="6" t="s">
        <v>3144</v>
      </c>
      <c r="J866" s="6" t="s">
        <v>3145</v>
      </c>
      <c r="K866" s="6" t="s">
        <v>3146</v>
      </c>
      <c r="L866" s="6">
        <v>1798.07</v>
      </c>
      <c r="M866" s="6">
        <v>1798.07</v>
      </c>
      <c r="N866" s="7" t="s">
        <v>35</v>
      </c>
      <c r="O866" s="6" t="s">
        <v>35</v>
      </c>
      <c r="P866" s="6" t="s">
        <v>35</v>
      </c>
      <c r="Q866" s="6" t="s">
        <v>36</v>
      </c>
      <c r="R866" s="6"/>
      <c r="S866" s="6">
        <f t="shared" si="13"/>
        <v>1798.07</v>
      </c>
      <c r="T866" s="6"/>
      <c r="U866" s="6"/>
      <c r="V866" s="6"/>
      <c r="W866" s="6" t="s">
        <v>45</v>
      </c>
      <c r="X866" s="6" t="s">
        <v>1403</v>
      </c>
      <c r="Y866" s="6" t="s">
        <v>3147</v>
      </c>
      <c r="Z866" s="6" t="s">
        <v>1336</v>
      </c>
      <c r="AA866" s="6" t="s">
        <v>40</v>
      </c>
    </row>
    <row r="867" spans="1:27">
      <c r="A867" s="6">
        <v>866</v>
      </c>
      <c r="B867" s="6"/>
      <c r="C867" s="6" t="s">
        <v>3043</v>
      </c>
      <c r="D867" s="6" t="s">
        <v>28</v>
      </c>
      <c r="E867" s="6" t="s">
        <v>2712</v>
      </c>
      <c r="F867" s="6" t="s">
        <v>30</v>
      </c>
      <c r="G867" s="6">
        <v>14</v>
      </c>
      <c r="H867" s="6" t="s">
        <v>3148</v>
      </c>
      <c r="I867" s="6" t="s">
        <v>3149</v>
      </c>
      <c r="J867" s="6" t="s">
        <v>3150</v>
      </c>
      <c r="K867" s="6"/>
      <c r="L867" s="6">
        <v>3462.6</v>
      </c>
      <c r="M867" s="6">
        <v>3462.6</v>
      </c>
      <c r="N867" s="7" t="s">
        <v>35</v>
      </c>
      <c r="O867" s="6" t="s">
        <v>35</v>
      </c>
      <c r="P867" s="6" t="s">
        <v>35</v>
      </c>
      <c r="Q867" s="6" t="s">
        <v>36</v>
      </c>
      <c r="R867" s="6"/>
      <c r="S867" s="6">
        <f t="shared" si="13"/>
        <v>3462.6</v>
      </c>
      <c r="T867" s="6"/>
      <c r="U867" s="6"/>
      <c r="V867" s="6"/>
      <c r="W867" s="6" t="s">
        <v>3052</v>
      </c>
      <c r="X867" s="6"/>
      <c r="Y867" s="6" t="s">
        <v>3151</v>
      </c>
      <c r="Z867" s="6" t="s">
        <v>1577</v>
      </c>
      <c r="AA867" s="6" t="s">
        <v>40</v>
      </c>
    </row>
    <row r="868" spans="1:27">
      <c r="A868" s="6">
        <v>867</v>
      </c>
      <c r="B868" s="6"/>
      <c r="C868" s="6" t="s">
        <v>3043</v>
      </c>
      <c r="D868" s="6" t="s">
        <v>28</v>
      </c>
      <c r="E868" s="6" t="s">
        <v>2712</v>
      </c>
      <c r="F868" s="6" t="s">
        <v>30</v>
      </c>
      <c r="G868" s="6">
        <v>14</v>
      </c>
      <c r="H868" s="6" t="s">
        <v>440</v>
      </c>
      <c r="I868" s="6" t="s">
        <v>441</v>
      </c>
      <c r="J868" s="6" t="s">
        <v>442</v>
      </c>
      <c r="K868" s="6" t="s">
        <v>443</v>
      </c>
      <c r="L868" s="6">
        <v>1554.42</v>
      </c>
      <c r="M868" s="6">
        <v>1554.42</v>
      </c>
      <c r="N868" s="7" t="s">
        <v>35</v>
      </c>
      <c r="O868" s="6" t="s">
        <v>35</v>
      </c>
      <c r="P868" s="6" t="s">
        <v>35</v>
      </c>
      <c r="Q868" s="6" t="s">
        <v>36</v>
      </c>
      <c r="R868" s="6"/>
      <c r="S868" s="6">
        <f t="shared" si="13"/>
        <v>1554.42</v>
      </c>
      <c r="T868" s="6"/>
      <c r="U868" s="6"/>
      <c r="V868" s="6"/>
      <c r="W868" s="6" t="s">
        <v>62</v>
      </c>
      <c r="X868" s="6"/>
      <c r="Y868" s="6" t="s">
        <v>1990</v>
      </c>
      <c r="Z868" s="6" t="s">
        <v>1577</v>
      </c>
      <c r="AA868" s="6" t="s">
        <v>40</v>
      </c>
    </row>
    <row r="869" spans="1:27">
      <c r="A869" s="6">
        <v>868</v>
      </c>
      <c r="B869" s="6"/>
      <c r="C869" s="6" t="s">
        <v>3043</v>
      </c>
      <c r="D869" s="6" t="s">
        <v>28</v>
      </c>
      <c r="E869" s="6" t="s">
        <v>2712</v>
      </c>
      <c r="F869" s="6" t="s">
        <v>30</v>
      </c>
      <c r="G869" s="6">
        <v>14</v>
      </c>
      <c r="H869" s="6" t="s">
        <v>3152</v>
      </c>
      <c r="I869" s="6" t="s">
        <v>3153</v>
      </c>
      <c r="J869" s="6" t="s">
        <v>3154</v>
      </c>
      <c r="K869" s="6" t="s">
        <v>3155</v>
      </c>
      <c r="L869" s="6">
        <v>2569.62</v>
      </c>
      <c r="M869" s="6">
        <v>2569.62</v>
      </c>
      <c r="N869" s="7" t="s">
        <v>35</v>
      </c>
      <c r="O869" s="6" t="s">
        <v>35</v>
      </c>
      <c r="P869" s="6" t="s">
        <v>35</v>
      </c>
      <c r="Q869" s="6" t="s">
        <v>36</v>
      </c>
      <c r="R869" s="6"/>
      <c r="S869" s="6">
        <f t="shared" si="13"/>
        <v>2569.62</v>
      </c>
      <c r="T869" s="6"/>
      <c r="U869" s="6"/>
      <c r="V869" s="6"/>
      <c r="W869" s="6" t="s">
        <v>3052</v>
      </c>
      <c r="X869" s="6" t="s">
        <v>698</v>
      </c>
      <c r="Y869" s="6" t="s">
        <v>3156</v>
      </c>
      <c r="Z869" s="6" t="s">
        <v>235</v>
      </c>
      <c r="AA869" s="6" t="s">
        <v>40</v>
      </c>
    </row>
    <row r="870" spans="1:27">
      <c r="A870" s="6">
        <v>869</v>
      </c>
      <c r="B870" s="6"/>
      <c r="C870" s="6" t="s">
        <v>3043</v>
      </c>
      <c r="D870" s="6" t="s">
        <v>28</v>
      </c>
      <c r="E870" s="6" t="s">
        <v>2712</v>
      </c>
      <c r="F870" s="6" t="s">
        <v>30</v>
      </c>
      <c r="G870" s="6">
        <v>14</v>
      </c>
      <c r="H870" s="6" t="s">
        <v>3157</v>
      </c>
      <c r="I870" s="6" t="s">
        <v>3158</v>
      </c>
      <c r="J870" s="6" t="s">
        <v>3159</v>
      </c>
      <c r="K870" s="6" t="s">
        <v>3160</v>
      </c>
      <c r="L870" s="6">
        <v>798.93</v>
      </c>
      <c r="M870" s="6">
        <v>798.93</v>
      </c>
      <c r="N870" s="7" t="s">
        <v>35</v>
      </c>
      <c r="O870" s="6" t="s">
        <v>35</v>
      </c>
      <c r="P870" s="6" t="s">
        <v>35</v>
      </c>
      <c r="Q870" s="6" t="s">
        <v>36</v>
      </c>
      <c r="R870" s="6"/>
      <c r="S870" s="6">
        <f t="shared" si="13"/>
        <v>798.93</v>
      </c>
      <c r="T870" s="6"/>
      <c r="U870" s="6"/>
      <c r="V870" s="6"/>
      <c r="W870" s="6" t="s">
        <v>3064</v>
      </c>
      <c r="X870" s="6"/>
      <c r="Y870" s="6" t="s">
        <v>3161</v>
      </c>
      <c r="Z870" s="6" t="s">
        <v>1208</v>
      </c>
      <c r="AA870" s="6" t="s">
        <v>40</v>
      </c>
    </row>
    <row r="871" spans="1:27">
      <c r="A871" s="6">
        <v>870</v>
      </c>
      <c r="B871" s="6" t="s">
        <v>298</v>
      </c>
      <c r="C871" s="6" t="s">
        <v>3162</v>
      </c>
      <c r="D871" s="6" t="s">
        <v>226</v>
      </c>
      <c r="E871" s="6" t="s">
        <v>2712</v>
      </c>
      <c r="F871" s="6" t="s">
        <v>336</v>
      </c>
      <c r="G871" s="6">
        <v>5</v>
      </c>
      <c r="H871" s="6" t="s">
        <v>2065</v>
      </c>
      <c r="I871" s="6" t="s">
        <v>2066</v>
      </c>
      <c r="J871" s="6" t="s">
        <v>381</v>
      </c>
      <c r="K871" s="6" t="s">
        <v>381</v>
      </c>
      <c r="L871" s="14">
        <v>10239</v>
      </c>
      <c r="M871" s="16">
        <v>10240</v>
      </c>
      <c r="N871" s="7">
        <v>46148</v>
      </c>
      <c r="O871" s="6" t="s">
        <v>370</v>
      </c>
      <c r="P871" s="6" t="s">
        <v>52</v>
      </c>
      <c r="Q871" s="6" t="s">
        <v>3037</v>
      </c>
      <c r="R871" s="6"/>
      <c r="S871" s="6">
        <f t="shared" si="13"/>
        <v>10240</v>
      </c>
      <c r="T871" s="6"/>
      <c r="U871" s="6"/>
      <c r="V871" s="6"/>
      <c r="W871" s="6" t="s">
        <v>342</v>
      </c>
      <c r="X871" s="6" t="s">
        <v>370</v>
      </c>
      <c r="Y871" s="6" t="s">
        <v>383</v>
      </c>
      <c r="Z871" s="6" t="s">
        <v>71</v>
      </c>
      <c r="AA871" s="6" t="s">
        <v>235</v>
      </c>
    </row>
    <row r="872" spans="1:27">
      <c r="A872" s="6">
        <v>871</v>
      </c>
      <c r="B872" s="6" t="s">
        <v>298</v>
      </c>
      <c r="C872" s="6" t="s">
        <v>3162</v>
      </c>
      <c r="D872" s="6" t="s">
        <v>226</v>
      </c>
      <c r="E872" s="6" t="s">
        <v>2712</v>
      </c>
      <c r="F872" s="6" t="s">
        <v>336</v>
      </c>
      <c r="G872" s="6">
        <v>5</v>
      </c>
      <c r="H872" s="6" t="s">
        <v>2074</v>
      </c>
      <c r="I872" s="6" t="s">
        <v>2075</v>
      </c>
      <c r="J872" s="6" t="s">
        <v>2076</v>
      </c>
      <c r="K872" s="6" t="s">
        <v>2076</v>
      </c>
      <c r="L872" s="6">
        <v>3631</v>
      </c>
      <c r="M872" s="6">
        <v>3631</v>
      </c>
      <c r="N872" s="7">
        <v>46148</v>
      </c>
      <c r="O872" s="6" t="s">
        <v>342</v>
      </c>
      <c r="P872" s="6" t="s">
        <v>52</v>
      </c>
      <c r="Q872" s="6" t="s">
        <v>3037</v>
      </c>
      <c r="R872" s="6"/>
      <c r="S872" s="6">
        <f t="shared" si="13"/>
        <v>3631</v>
      </c>
      <c r="T872" s="6"/>
      <c r="U872" s="6"/>
      <c r="V872" s="6"/>
      <c r="W872" s="6" t="s">
        <v>342</v>
      </c>
      <c r="X872" s="6" t="s">
        <v>698</v>
      </c>
      <c r="Y872" s="6" t="s">
        <v>3163</v>
      </c>
      <c r="Z872" s="6" t="s">
        <v>2079</v>
      </c>
      <c r="AA872" s="6" t="s">
        <v>235</v>
      </c>
    </row>
    <row r="873" spans="1:27">
      <c r="A873" s="6">
        <v>872</v>
      </c>
      <c r="B873" s="6" t="s">
        <v>3164</v>
      </c>
      <c r="C873" s="6" t="s">
        <v>3162</v>
      </c>
      <c r="D873" s="6" t="s">
        <v>226</v>
      </c>
      <c r="E873" s="6" t="s">
        <v>2712</v>
      </c>
      <c r="F873" s="6" t="s">
        <v>336</v>
      </c>
      <c r="G873" s="6">
        <v>5</v>
      </c>
      <c r="H873" s="6" t="s">
        <v>3165</v>
      </c>
      <c r="I873" s="6">
        <v>9154478110</v>
      </c>
      <c r="J873" s="10" t="s">
        <v>3166</v>
      </c>
      <c r="K873" s="10" t="s">
        <v>3166</v>
      </c>
      <c r="L873" s="6">
        <v>11691</v>
      </c>
      <c r="M873" s="6">
        <v>11691</v>
      </c>
      <c r="N873" s="7"/>
      <c r="O873" s="6" t="s">
        <v>370</v>
      </c>
      <c r="P873" s="6" t="s">
        <v>239</v>
      </c>
      <c r="Q873" s="6" t="s">
        <v>3037</v>
      </c>
      <c r="R873" s="6"/>
      <c r="S873" s="6">
        <f t="shared" si="13"/>
        <v>11691</v>
      </c>
      <c r="T873" s="6"/>
      <c r="U873" s="6"/>
      <c r="V873" s="6"/>
      <c r="W873" s="6" t="s">
        <v>3167</v>
      </c>
      <c r="X873" s="6" t="s">
        <v>370</v>
      </c>
      <c r="Y873" s="39" t="s">
        <v>3168</v>
      </c>
      <c r="Z873" s="6" t="s">
        <v>71</v>
      </c>
      <c r="AA873" s="6" t="s">
        <v>235</v>
      </c>
    </row>
    <row r="874" spans="1:27">
      <c r="A874" s="6">
        <v>873</v>
      </c>
      <c r="B874" s="6" t="s">
        <v>3164</v>
      </c>
      <c r="C874" s="6" t="s">
        <v>3162</v>
      </c>
      <c r="D874" s="6" t="s">
        <v>226</v>
      </c>
      <c r="E874" s="6" t="s">
        <v>2712</v>
      </c>
      <c r="F874" s="6" t="s">
        <v>336</v>
      </c>
      <c r="G874" s="6">
        <v>5</v>
      </c>
      <c r="H874" s="6" t="s">
        <v>3169</v>
      </c>
      <c r="I874" s="6">
        <v>9966355755</v>
      </c>
      <c r="J874" s="10" t="s">
        <v>3170</v>
      </c>
      <c r="K874" s="10" t="s">
        <v>3170</v>
      </c>
      <c r="L874" s="6">
        <v>9900</v>
      </c>
      <c r="M874" s="6">
        <v>9900</v>
      </c>
      <c r="N874" s="7">
        <v>46169</v>
      </c>
      <c r="O874" s="6" t="s">
        <v>698</v>
      </c>
      <c r="P874" s="6" t="s">
        <v>52</v>
      </c>
      <c r="Q874" s="6" t="s">
        <v>3037</v>
      </c>
      <c r="R874" s="6">
        <v>9900</v>
      </c>
      <c r="S874" s="6">
        <f t="shared" si="13"/>
        <v>0</v>
      </c>
      <c r="T874" s="7">
        <v>46169</v>
      </c>
      <c r="U874" s="6" t="s">
        <v>3171</v>
      </c>
      <c r="V874" s="6" t="s">
        <v>54</v>
      </c>
      <c r="W874" s="6" t="s">
        <v>3167</v>
      </c>
      <c r="X874" s="6" t="s">
        <v>698</v>
      </c>
      <c r="Y874" s="6" t="s">
        <v>3172</v>
      </c>
      <c r="Z874" s="6" t="s">
        <v>71</v>
      </c>
      <c r="AA874" s="6" t="s">
        <v>235</v>
      </c>
    </row>
    <row r="875" spans="1:27">
      <c r="A875" s="6">
        <v>874</v>
      </c>
      <c r="B875" s="6" t="s">
        <v>3173</v>
      </c>
      <c r="C875" s="6" t="s">
        <v>3162</v>
      </c>
      <c r="D875" s="6" t="s">
        <v>226</v>
      </c>
      <c r="E875" s="6" t="s">
        <v>2712</v>
      </c>
      <c r="F875" s="6" t="s">
        <v>336</v>
      </c>
      <c r="G875" s="6">
        <v>5</v>
      </c>
      <c r="H875" s="6" t="s">
        <v>3174</v>
      </c>
      <c r="I875" s="6">
        <v>9390790300</v>
      </c>
      <c r="J875" s="10" t="s">
        <v>2071</v>
      </c>
      <c r="K875" s="10" t="s">
        <v>2071</v>
      </c>
      <c r="L875" s="6">
        <v>12350</v>
      </c>
      <c r="M875" s="6">
        <v>12350</v>
      </c>
      <c r="N875" s="7"/>
      <c r="O875" s="6" t="s">
        <v>3175</v>
      </c>
      <c r="P875" s="6" t="s">
        <v>52</v>
      </c>
      <c r="Q875" s="6" t="s">
        <v>3037</v>
      </c>
      <c r="R875" s="6"/>
      <c r="S875" s="6">
        <f t="shared" si="13"/>
        <v>12350</v>
      </c>
      <c r="T875" s="6"/>
      <c r="U875" s="6"/>
      <c r="V875" s="6"/>
      <c r="W875" s="6" t="s">
        <v>3167</v>
      </c>
      <c r="X875" s="6" t="s">
        <v>3175</v>
      </c>
      <c r="Y875" s="6" t="s">
        <v>3176</v>
      </c>
      <c r="Z875" s="6" t="s">
        <v>3177</v>
      </c>
      <c r="AA875" s="6" t="s">
        <v>235</v>
      </c>
    </row>
    <row r="876" spans="1:27">
      <c r="A876" s="6">
        <v>875</v>
      </c>
      <c r="B876" s="6" t="s">
        <v>346</v>
      </c>
      <c r="C876" s="6" t="s">
        <v>3162</v>
      </c>
      <c r="D876" s="6" t="s">
        <v>226</v>
      </c>
      <c r="E876" s="6" t="s">
        <v>2712</v>
      </c>
      <c r="F876" s="6" t="s">
        <v>364</v>
      </c>
      <c r="G876" s="6">
        <v>5</v>
      </c>
      <c r="H876" s="8" t="s">
        <v>3178</v>
      </c>
      <c r="I876" s="8" t="s">
        <v>3179</v>
      </c>
      <c r="J876" s="8" t="s">
        <v>3180</v>
      </c>
      <c r="K876" s="8" t="s">
        <v>3180</v>
      </c>
      <c r="L876" s="8">
        <v>49140</v>
      </c>
      <c r="M876" s="8">
        <v>23900</v>
      </c>
      <c r="N876" s="7">
        <v>46153</v>
      </c>
      <c r="O876" s="8" t="s">
        <v>666</v>
      </c>
      <c r="P876" s="6" t="s">
        <v>52</v>
      </c>
      <c r="Q876" s="6" t="s">
        <v>665</v>
      </c>
      <c r="R876" s="6">
        <v>23900</v>
      </c>
      <c r="S876" s="6">
        <f t="shared" si="13"/>
        <v>0</v>
      </c>
      <c r="T876" s="7">
        <v>46175</v>
      </c>
      <c r="U876" s="6" t="s">
        <v>3181</v>
      </c>
      <c r="V876" s="6" t="s">
        <v>54</v>
      </c>
      <c r="W876" s="8" t="s">
        <v>666</v>
      </c>
      <c r="X876" s="8" t="s">
        <v>377</v>
      </c>
      <c r="Y876" s="8" t="s">
        <v>3182</v>
      </c>
      <c r="Z876" s="6" t="s">
        <v>1336</v>
      </c>
      <c r="AA876" s="6" t="s">
        <v>373</v>
      </c>
    </row>
    <row r="877" spans="1:27">
      <c r="A877" s="6">
        <v>876</v>
      </c>
      <c r="B877" s="6" t="s">
        <v>346</v>
      </c>
      <c r="C877" s="6" t="s">
        <v>3162</v>
      </c>
      <c r="D877" s="6" t="s">
        <v>226</v>
      </c>
      <c r="E877" s="6" t="s">
        <v>2712</v>
      </c>
      <c r="F877" s="6" t="s">
        <v>364</v>
      </c>
      <c r="G877" s="6">
        <v>5</v>
      </c>
      <c r="H877" s="8" t="s">
        <v>3183</v>
      </c>
      <c r="I877" s="8" t="s">
        <v>3184</v>
      </c>
      <c r="J877" s="8" t="s">
        <v>3185</v>
      </c>
      <c r="K877" s="8" t="s">
        <v>3185</v>
      </c>
      <c r="L877" s="8">
        <v>37410</v>
      </c>
      <c r="M877" s="8">
        <v>22500</v>
      </c>
      <c r="N877" s="7">
        <v>46154</v>
      </c>
      <c r="O877" s="8" t="s">
        <v>3186</v>
      </c>
      <c r="P877" s="6" t="s">
        <v>52</v>
      </c>
      <c r="Q877" s="6" t="s">
        <v>665</v>
      </c>
      <c r="R877" s="6">
        <v>20500</v>
      </c>
      <c r="S877" s="6">
        <f t="shared" si="13"/>
        <v>2000</v>
      </c>
      <c r="T877" s="7">
        <v>46175</v>
      </c>
      <c r="U877" s="6" t="s">
        <v>3187</v>
      </c>
      <c r="V877" s="6"/>
      <c r="W877" s="8" t="s">
        <v>666</v>
      </c>
      <c r="X877" s="8" t="s">
        <v>369</v>
      </c>
      <c r="Y877" s="8" t="s">
        <v>3188</v>
      </c>
      <c r="Z877" s="6" t="s">
        <v>3189</v>
      </c>
      <c r="AA877" s="6" t="s">
        <v>373</v>
      </c>
    </row>
    <row r="878" spans="1:27">
      <c r="A878" s="6">
        <v>877</v>
      </c>
      <c r="B878" s="6" t="s">
        <v>346</v>
      </c>
      <c r="C878" s="6" t="s">
        <v>3162</v>
      </c>
      <c r="D878" s="6" t="s">
        <v>226</v>
      </c>
      <c r="E878" s="6" t="s">
        <v>2712</v>
      </c>
      <c r="F878" s="6" t="s">
        <v>3190</v>
      </c>
      <c r="G878" s="6">
        <v>5</v>
      </c>
      <c r="H878" s="6" t="s">
        <v>2080</v>
      </c>
      <c r="I878" s="6" t="s">
        <v>2081</v>
      </c>
      <c r="J878" s="6" t="s">
        <v>2082</v>
      </c>
      <c r="K878" s="6" t="s">
        <v>2082</v>
      </c>
      <c r="L878" s="6">
        <v>49760</v>
      </c>
      <c r="M878" s="6">
        <v>29770</v>
      </c>
      <c r="N878" s="7"/>
      <c r="O878" s="6" t="s">
        <v>1089</v>
      </c>
      <c r="P878" s="6" t="s">
        <v>52</v>
      </c>
      <c r="Q878" s="6" t="s">
        <v>1089</v>
      </c>
      <c r="R878" s="6">
        <f>10000+19770</f>
        <v>29770</v>
      </c>
      <c r="S878" s="6">
        <f t="shared" si="13"/>
        <v>0</v>
      </c>
      <c r="T878" s="7">
        <v>46157</v>
      </c>
      <c r="U878" s="6" t="s">
        <v>3191</v>
      </c>
      <c r="V878" s="6" t="s">
        <v>54</v>
      </c>
      <c r="W878" s="6" t="s">
        <v>1089</v>
      </c>
      <c r="X878" s="6" t="s">
        <v>2083</v>
      </c>
      <c r="Y878" s="6" t="s">
        <v>3192</v>
      </c>
      <c r="Z878" s="6" t="s">
        <v>1801</v>
      </c>
      <c r="AA878" s="6" t="s">
        <v>2086</v>
      </c>
    </row>
    <row r="879" spans="1:27">
      <c r="A879" s="6">
        <v>878</v>
      </c>
      <c r="B879" s="6" t="s">
        <v>346</v>
      </c>
      <c r="C879" s="6" t="s">
        <v>3162</v>
      </c>
      <c r="D879" s="6" t="s">
        <v>226</v>
      </c>
      <c r="E879" s="6" t="s">
        <v>2712</v>
      </c>
      <c r="F879" s="6" t="s">
        <v>3190</v>
      </c>
      <c r="G879" s="6">
        <v>5</v>
      </c>
      <c r="H879" s="6" t="s">
        <v>3193</v>
      </c>
      <c r="I879" s="6" t="s">
        <v>3194</v>
      </c>
      <c r="J879" s="6" t="s">
        <v>3195</v>
      </c>
      <c r="K879" s="6" t="s">
        <v>3195</v>
      </c>
      <c r="L879" s="6">
        <v>35709</v>
      </c>
      <c r="M879" s="6">
        <v>10710</v>
      </c>
      <c r="N879" s="7">
        <v>46156</v>
      </c>
      <c r="O879" s="6" t="s">
        <v>1089</v>
      </c>
      <c r="P879" s="6" t="s">
        <v>52</v>
      </c>
      <c r="Q879" s="6" t="s">
        <v>1089</v>
      </c>
      <c r="R879" s="6">
        <v>10000</v>
      </c>
      <c r="S879" s="6">
        <f t="shared" si="13"/>
        <v>710</v>
      </c>
      <c r="T879" s="7">
        <v>46156</v>
      </c>
      <c r="U879" s="6" t="s">
        <v>3196</v>
      </c>
      <c r="V879" s="6"/>
      <c r="W879" s="6" t="s">
        <v>1089</v>
      </c>
      <c r="X879" s="6" t="s">
        <v>1028</v>
      </c>
      <c r="Y879" s="6" t="s">
        <v>3197</v>
      </c>
      <c r="Z879" s="6" t="s">
        <v>57</v>
      </c>
      <c r="AA879" s="6" t="s">
        <v>2086</v>
      </c>
    </row>
    <row r="880" spans="1:27">
      <c r="A880" s="6">
        <v>879</v>
      </c>
      <c r="B880" s="6" t="s">
        <v>346</v>
      </c>
      <c r="C880" s="6" t="s">
        <v>3162</v>
      </c>
      <c r="D880" s="6" t="s">
        <v>226</v>
      </c>
      <c r="E880" s="6" t="s">
        <v>2712</v>
      </c>
      <c r="F880" s="6" t="s">
        <v>746</v>
      </c>
      <c r="G880" s="6">
        <v>5</v>
      </c>
      <c r="H880" s="11" t="s">
        <v>3198</v>
      </c>
      <c r="I880" s="11">
        <v>9515076696</v>
      </c>
      <c r="J880" s="10" t="s">
        <v>3199</v>
      </c>
      <c r="K880" s="10" t="s">
        <v>3199</v>
      </c>
      <c r="L880" s="11">
        <v>2661</v>
      </c>
      <c r="M880" s="11">
        <v>2661</v>
      </c>
      <c r="N880" s="7" t="s">
        <v>239</v>
      </c>
      <c r="O880" s="6" t="s">
        <v>239</v>
      </c>
      <c r="P880" s="6" t="s">
        <v>239</v>
      </c>
      <c r="Q880" s="6" t="s">
        <v>236</v>
      </c>
      <c r="R880" s="6"/>
      <c r="S880" s="6">
        <f t="shared" si="13"/>
        <v>2661</v>
      </c>
      <c r="T880" s="6"/>
      <c r="U880" s="6"/>
      <c r="V880" s="6"/>
      <c r="W880" s="6" t="s">
        <v>236</v>
      </c>
      <c r="X880" s="6" t="s">
        <v>236</v>
      </c>
      <c r="Y880" s="6" t="s">
        <v>236</v>
      </c>
      <c r="Z880" s="6" t="s">
        <v>236</v>
      </c>
      <c r="AA880" s="6" t="s">
        <v>236</v>
      </c>
    </row>
    <row r="881" spans="1:27">
      <c r="A881" s="6">
        <v>880</v>
      </c>
      <c r="B881" s="6" t="s">
        <v>346</v>
      </c>
      <c r="C881" s="6" t="s">
        <v>3162</v>
      </c>
      <c r="D881" s="6" t="s">
        <v>226</v>
      </c>
      <c r="E881" s="6" t="s">
        <v>2712</v>
      </c>
      <c r="F881" s="6" t="s">
        <v>746</v>
      </c>
      <c r="G881" s="6">
        <v>5</v>
      </c>
      <c r="H881" s="11" t="s">
        <v>3200</v>
      </c>
      <c r="I881" s="11">
        <v>8197263356</v>
      </c>
      <c r="J881" s="10" t="s">
        <v>3201</v>
      </c>
      <c r="K881" s="10" t="s">
        <v>3201</v>
      </c>
      <c r="L881" s="11">
        <v>4410</v>
      </c>
      <c r="M881" s="11">
        <v>4410</v>
      </c>
      <c r="N881" s="7" t="s">
        <v>239</v>
      </c>
      <c r="O881" s="6" t="s">
        <v>239</v>
      </c>
      <c r="P881" s="6" t="s">
        <v>239</v>
      </c>
      <c r="Q881" s="6" t="s">
        <v>236</v>
      </c>
      <c r="R881" s="6"/>
      <c r="S881" s="6">
        <f t="shared" si="13"/>
        <v>4410</v>
      </c>
      <c r="T881" s="6"/>
      <c r="U881" s="6"/>
      <c r="V881" s="6"/>
      <c r="W881" s="6" t="s">
        <v>236</v>
      </c>
      <c r="X881" s="6" t="s">
        <v>236</v>
      </c>
      <c r="Y881" s="6" t="s">
        <v>236</v>
      </c>
      <c r="Z881" s="6" t="s">
        <v>236</v>
      </c>
      <c r="AA881" s="6" t="s">
        <v>236</v>
      </c>
    </row>
    <row r="882" spans="1:27">
      <c r="A882" s="6">
        <v>881</v>
      </c>
      <c r="B882" s="6" t="s">
        <v>346</v>
      </c>
      <c r="C882" s="6" t="s">
        <v>3162</v>
      </c>
      <c r="D882" s="6" t="s">
        <v>226</v>
      </c>
      <c r="E882" s="6" t="s">
        <v>2712</v>
      </c>
      <c r="F882" s="6" t="s">
        <v>746</v>
      </c>
      <c r="G882" s="6">
        <v>5</v>
      </c>
      <c r="H882" s="11" t="s">
        <v>3202</v>
      </c>
      <c r="I882" s="11">
        <v>9603293786</v>
      </c>
      <c r="J882" s="10" t="s">
        <v>3203</v>
      </c>
      <c r="K882" s="10" t="s">
        <v>3203</v>
      </c>
      <c r="L882" s="6">
        <v>8080</v>
      </c>
      <c r="M882" s="6">
        <v>8080</v>
      </c>
      <c r="N882" s="7" t="s">
        <v>239</v>
      </c>
      <c r="O882" s="6" t="s">
        <v>239</v>
      </c>
      <c r="P882" s="6" t="s">
        <v>239</v>
      </c>
      <c r="Q882" s="6" t="s">
        <v>236</v>
      </c>
      <c r="R882" s="6"/>
      <c r="S882" s="6">
        <f t="shared" si="13"/>
        <v>8080</v>
      </c>
      <c r="T882" s="6"/>
      <c r="U882" s="6"/>
      <c r="V882" s="6"/>
      <c r="W882" s="6" t="s">
        <v>236</v>
      </c>
      <c r="X882" s="6" t="s">
        <v>236</v>
      </c>
      <c r="Y882" s="6" t="s">
        <v>236</v>
      </c>
      <c r="Z882" s="6" t="s">
        <v>236</v>
      </c>
      <c r="AA882" s="6" t="s">
        <v>236</v>
      </c>
    </row>
    <row r="883" spans="1:27">
      <c r="A883" s="6">
        <v>882</v>
      </c>
      <c r="B883" s="6" t="s">
        <v>3164</v>
      </c>
      <c r="C883" s="6" t="s">
        <v>3162</v>
      </c>
      <c r="D883" s="6" t="s">
        <v>226</v>
      </c>
      <c r="E883" s="6" t="s">
        <v>2712</v>
      </c>
      <c r="F883" s="6" t="s">
        <v>240</v>
      </c>
      <c r="G883" s="6">
        <v>5</v>
      </c>
      <c r="H883" s="11" t="s">
        <v>3204</v>
      </c>
      <c r="I883" s="11">
        <v>9014447131</v>
      </c>
      <c r="J883" s="10" t="s">
        <v>3205</v>
      </c>
      <c r="K883" s="10" t="s">
        <v>3205</v>
      </c>
      <c r="L883" s="11">
        <v>6290</v>
      </c>
      <c r="M883" s="11">
        <v>6290</v>
      </c>
      <c r="N883" s="7" t="s">
        <v>239</v>
      </c>
      <c r="O883" s="6" t="s">
        <v>239</v>
      </c>
      <c r="P883" s="6" t="s">
        <v>239</v>
      </c>
      <c r="Q883" s="6" t="s">
        <v>236</v>
      </c>
      <c r="R883" s="6"/>
      <c r="S883" s="6">
        <f t="shared" si="13"/>
        <v>6290</v>
      </c>
      <c r="T883" s="6"/>
      <c r="U883" s="6"/>
      <c r="V883" s="6"/>
      <c r="W883" s="6" t="s">
        <v>236</v>
      </c>
      <c r="X883" s="6" t="s">
        <v>236</v>
      </c>
      <c r="Y883" s="6" t="s">
        <v>236</v>
      </c>
      <c r="Z883" s="6" t="s">
        <v>236</v>
      </c>
      <c r="AA883" s="6" t="s">
        <v>236</v>
      </c>
    </row>
    <row r="884" spans="1:27">
      <c r="A884" s="6">
        <v>883</v>
      </c>
      <c r="B884" s="6" t="s">
        <v>3164</v>
      </c>
      <c r="C884" s="6" t="s">
        <v>3162</v>
      </c>
      <c r="D884" s="6" t="s">
        <v>226</v>
      </c>
      <c r="E884" s="6" t="s">
        <v>2712</v>
      </c>
      <c r="F884" s="6" t="s">
        <v>240</v>
      </c>
      <c r="G884" s="6">
        <v>5</v>
      </c>
      <c r="H884" s="11" t="s">
        <v>3206</v>
      </c>
      <c r="I884" s="11">
        <v>9994770500</v>
      </c>
      <c r="J884" s="36" t="s">
        <v>3207</v>
      </c>
      <c r="K884" s="36" t="s">
        <v>3207</v>
      </c>
      <c r="L884" s="11">
        <v>3790</v>
      </c>
      <c r="M884" s="11">
        <v>3790</v>
      </c>
      <c r="N884" s="7" t="s">
        <v>239</v>
      </c>
      <c r="O884" s="6" t="s">
        <v>239</v>
      </c>
      <c r="P884" s="6" t="s">
        <v>239</v>
      </c>
      <c r="Q884" s="6" t="s">
        <v>236</v>
      </c>
      <c r="R884" s="6"/>
      <c r="S884" s="6">
        <f t="shared" si="13"/>
        <v>3790</v>
      </c>
      <c r="T884" s="6"/>
      <c r="U884" s="6"/>
      <c r="V884" s="6"/>
      <c r="W884" s="6" t="s">
        <v>236</v>
      </c>
      <c r="X884" s="6" t="s">
        <v>236</v>
      </c>
      <c r="Y884" s="6" t="s">
        <v>236</v>
      </c>
      <c r="Z884" s="6" t="s">
        <v>236</v>
      </c>
      <c r="AA884" s="6" t="s">
        <v>236</v>
      </c>
    </row>
    <row r="885" spans="1:27">
      <c r="A885" s="6">
        <v>884</v>
      </c>
      <c r="B885" s="6" t="s">
        <v>3164</v>
      </c>
      <c r="C885" s="6" t="s">
        <v>3162</v>
      </c>
      <c r="D885" s="6" t="s">
        <v>226</v>
      </c>
      <c r="E885" s="6" t="s">
        <v>2712</v>
      </c>
      <c r="F885" s="6" t="s">
        <v>240</v>
      </c>
      <c r="G885" s="6">
        <v>5</v>
      </c>
      <c r="H885" s="11" t="s">
        <v>3208</v>
      </c>
      <c r="I885" s="11">
        <v>9843319362</v>
      </c>
      <c r="J885" s="10" t="s">
        <v>3209</v>
      </c>
      <c r="K885" s="10" t="s">
        <v>3209</v>
      </c>
      <c r="L885" s="11">
        <v>910</v>
      </c>
      <c r="M885" s="11">
        <v>910</v>
      </c>
      <c r="N885" s="7" t="s">
        <v>239</v>
      </c>
      <c r="O885" s="6" t="s">
        <v>239</v>
      </c>
      <c r="P885" s="6" t="s">
        <v>239</v>
      </c>
      <c r="Q885" s="6" t="s">
        <v>236</v>
      </c>
      <c r="R885" s="6"/>
      <c r="S885" s="6">
        <f t="shared" si="13"/>
        <v>910</v>
      </c>
      <c r="T885" s="6"/>
      <c r="U885" s="6"/>
      <c r="V885" s="6"/>
      <c r="W885" s="6" t="s">
        <v>236</v>
      </c>
      <c r="X885" s="6" t="s">
        <v>236</v>
      </c>
      <c r="Y885" s="6" t="s">
        <v>236</v>
      </c>
      <c r="Z885" s="6" t="s">
        <v>236</v>
      </c>
      <c r="AA885" s="6" t="s">
        <v>236</v>
      </c>
    </row>
    <row r="886" spans="1:27">
      <c r="A886" s="6">
        <v>885</v>
      </c>
      <c r="B886" s="6" t="s">
        <v>3164</v>
      </c>
      <c r="C886" s="6" t="s">
        <v>3162</v>
      </c>
      <c r="D886" s="6" t="s">
        <v>226</v>
      </c>
      <c r="E886" s="6" t="s">
        <v>2712</v>
      </c>
      <c r="F886" s="6" t="s">
        <v>240</v>
      </c>
      <c r="G886" s="6">
        <v>5</v>
      </c>
      <c r="H886" s="11" t="s">
        <v>3210</v>
      </c>
      <c r="I886" s="11">
        <v>9655955777</v>
      </c>
      <c r="J886" s="10" t="s">
        <v>3211</v>
      </c>
      <c r="K886" s="10" t="s">
        <v>3211</v>
      </c>
      <c r="L886" s="6">
        <v>720</v>
      </c>
      <c r="M886" s="6">
        <v>720</v>
      </c>
      <c r="N886" s="7" t="s">
        <v>239</v>
      </c>
      <c r="O886" s="6" t="s">
        <v>239</v>
      </c>
      <c r="P886" s="6" t="s">
        <v>239</v>
      </c>
      <c r="Q886" s="6" t="s">
        <v>236</v>
      </c>
      <c r="R886" s="6"/>
      <c r="S886" s="6">
        <f t="shared" si="13"/>
        <v>720</v>
      </c>
      <c r="T886" s="6"/>
      <c r="U886" s="6"/>
      <c r="V886" s="6"/>
      <c r="W886" s="6" t="s">
        <v>236</v>
      </c>
      <c r="X886" s="6" t="s">
        <v>236</v>
      </c>
      <c r="Y886" s="6" t="s">
        <v>236</v>
      </c>
      <c r="Z886" s="6" t="s">
        <v>236</v>
      </c>
      <c r="AA886" s="6" t="s">
        <v>236</v>
      </c>
    </row>
    <row r="887" spans="1:27">
      <c r="A887" s="6">
        <v>886</v>
      </c>
      <c r="B887" s="40" t="s">
        <v>346</v>
      </c>
      <c r="C887" s="6" t="s">
        <v>3212</v>
      </c>
      <c r="D887" s="6" t="s">
        <v>226</v>
      </c>
      <c r="E887" s="6" t="s">
        <v>2712</v>
      </c>
      <c r="F887" s="6" t="s">
        <v>240</v>
      </c>
      <c r="G887" s="41">
        <v>8</v>
      </c>
      <c r="H887" s="42" t="s">
        <v>3213</v>
      </c>
      <c r="I887" s="42">
        <v>7997771483</v>
      </c>
      <c r="J887" s="43" t="s">
        <v>3214</v>
      </c>
      <c r="K887" s="43" t="s">
        <v>3214</v>
      </c>
      <c r="L887" s="42">
        <v>2440</v>
      </c>
      <c r="M887" s="42">
        <v>2440</v>
      </c>
      <c r="N887" s="7" t="s">
        <v>239</v>
      </c>
      <c r="O887" s="6" t="s">
        <v>239</v>
      </c>
      <c r="P887" s="6" t="s">
        <v>239</v>
      </c>
      <c r="Q887" s="6" t="s">
        <v>236</v>
      </c>
      <c r="R887" s="41"/>
      <c r="S887" s="6">
        <f t="shared" si="13"/>
        <v>2440</v>
      </c>
      <c r="T887" s="40"/>
      <c r="U887" s="40"/>
      <c r="V887" s="40"/>
      <c r="W887" s="6" t="s">
        <v>236</v>
      </c>
      <c r="X887" s="6" t="s">
        <v>236</v>
      </c>
      <c r="Y887" s="6" t="s">
        <v>236</v>
      </c>
      <c r="Z887" s="6" t="s">
        <v>236</v>
      </c>
      <c r="AA887" s="6" t="s">
        <v>236</v>
      </c>
    </row>
    <row r="888" spans="1:27">
      <c r="A888" s="6">
        <v>887</v>
      </c>
      <c r="B888" s="40" t="s">
        <v>346</v>
      </c>
      <c r="C888" s="6" t="s">
        <v>3212</v>
      </c>
      <c r="D888" s="6" t="s">
        <v>226</v>
      </c>
      <c r="E888" s="6" t="s">
        <v>2712</v>
      </c>
      <c r="F888" s="6" t="s">
        <v>240</v>
      </c>
      <c r="G888" s="41">
        <v>8</v>
      </c>
      <c r="H888" s="42" t="s">
        <v>3215</v>
      </c>
      <c r="I888" s="42">
        <v>8790839739</v>
      </c>
      <c r="J888" s="43" t="s">
        <v>3216</v>
      </c>
      <c r="K888" s="43" t="s">
        <v>3216</v>
      </c>
      <c r="L888" s="41">
        <v>1310</v>
      </c>
      <c r="M888" s="41">
        <v>1310</v>
      </c>
      <c r="N888" s="7" t="s">
        <v>239</v>
      </c>
      <c r="O888" s="6" t="s">
        <v>239</v>
      </c>
      <c r="P888" s="6" t="s">
        <v>239</v>
      </c>
      <c r="Q888" s="6" t="s">
        <v>236</v>
      </c>
      <c r="R888" s="41"/>
      <c r="S888" s="6">
        <f t="shared" si="13"/>
        <v>1310</v>
      </c>
      <c r="T888" s="40"/>
      <c r="U888" s="40"/>
      <c r="V888" s="40"/>
      <c r="W888" s="6" t="s">
        <v>236</v>
      </c>
      <c r="X888" s="6" t="s">
        <v>236</v>
      </c>
      <c r="Y888" s="6" t="s">
        <v>236</v>
      </c>
      <c r="Z888" s="6" t="s">
        <v>236</v>
      </c>
      <c r="AA888" s="6" t="s">
        <v>236</v>
      </c>
    </row>
    <row r="889" spans="1:27">
      <c r="A889" s="6">
        <v>888</v>
      </c>
      <c r="B889" s="40" t="s">
        <v>346</v>
      </c>
      <c r="C889" s="6" t="s">
        <v>3212</v>
      </c>
      <c r="D889" s="6" t="s">
        <v>226</v>
      </c>
      <c r="E889" s="6" t="s">
        <v>2712</v>
      </c>
      <c r="F889" s="6" t="s">
        <v>240</v>
      </c>
      <c r="G889" s="41">
        <v>8</v>
      </c>
      <c r="H889" s="42" t="s">
        <v>3217</v>
      </c>
      <c r="I889" s="42">
        <v>7842260324</v>
      </c>
      <c r="J889" s="43" t="s">
        <v>3218</v>
      </c>
      <c r="K889" s="43" t="s">
        <v>3218</v>
      </c>
      <c r="L889" s="41">
        <v>500</v>
      </c>
      <c r="M889" s="41">
        <v>500</v>
      </c>
      <c r="N889" s="7" t="s">
        <v>239</v>
      </c>
      <c r="O889" s="6" t="s">
        <v>239</v>
      </c>
      <c r="P889" s="6" t="s">
        <v>239</v>
      </c>
      <c r="Q889" s="6" t="s">
        <v>236</v>
      </c>
      <c r="R889" s="41"/>
      <c r="S889" s="6">
        <f t="shared" si="13"/>
        <v>500</v>
      </c>
      <c r="T889" s="40"/>
      <c r="U889" s="40"/>
      <c r="V889" s="40"/>
      <c r="W889" s="6" t="s">
        <v>236</v>
      </c>
      <c r="X889" s="6" t="s">
        <v>236</v>
      </c>
      <c r="Y889" s="6" t="s">
        <v>236</v>
      </c>
      <c r="Z889" s="6" t="s">
        <v>236</v>
      </c>
      <c r="AA889" s="6" t="s">
        <v>236</v>
      </c>
    </row>
    <row r="890" spans="1:27">
      <c r="A890" s="6">
        <v>889</v>
      </c>
      <c r="B890" s="40" t="s">
        <v>346</v>
      </c>
      <c r="C890" s="6" t="s">
        <v>3212</v>
      </c>
      <c r="D890" s="6" t="s">
        <v>226</v>
      </c>
      <c r="E890" s="6" t="s">
        <v>2712</v>
      </c>
      <c r="F890" s="6" t="s">
        <v>240</v>
      </c>
      <c r="G890" s="41">
        <v>8</v>
      </c>
      <c r="H890" s="42" t="s">
        <v>3219</v>
      </c>
      <c r="I890" s="42">
        <v>9497604600</v>
      </c>
      <c r="J890" s="43" t="s">
        <v>3220</v>
      </c>
      <c r="K890" s="43" t="s">
        <v>3220</v>
      </c>
      <c r="L890" s="41">
        <v>1610</v>
      </c>
      <c r="M890" s="41">
        <v>1610</v>
      </c>
      <c r="N890" s="7" t="s">
        <v>239</v>
      </c>
      <c r="O890" s="6" t="s">
        <v>239</v>
      </c>
      <c r="P890" s="6" t="s">
        <v>239</v>
      </c>
      <c r="Q890" s="6" t="s">
        <v>236</v>
      </c>
      <c r="R890" s="41"/>
      <c r="S890" s="6">
        <f t="shared" si="13"/>
        <v>1610</v>
      </c>
      <c r="T890" s="40"/>
      <c r="U890" s="40"/>
      <c r="V890" s="40"/>
      <c r="W890" s="6" t="s">
        <v>236</v>
      </c>
      <c r="X890" s="6" t="s">
        <v>236</v>
      </c>
      <c r="Y890" s="6" t="s">
        <v>236</v>
      </c>
      <c r="Z890" s="6" t="s">
        <v>236</v>
      </c>
      <c r="AA890" s="6" t="s">
        <v>236</v>
      </c>
    </row>
    <row r="891" spans="1:27">
      <c r="A891" s="6">
        <v>890</v>
      </c>
      <c r="B891" s="40" t="s">
        <v>346</v>
      </c>
      <c r="C891" s="6" t="s">
        <v>3212</v>
      </c>
      <c r="D891" s="6" t="s">
        <v>226</v>
      </c>
      <c r="E891" s="6" t="s">
        <v>2712</v>
      </c>
      <c r="F891" s="6" t="s">
        <v>240</v>
      </c>
      <c r="G891" s="41">
        <v>8</v>
      </c>
      <c r="H891" s="42" t="s">
        <v>3221</v>
      </c>
      <c r="I891" s="42">
        <v>9710789674</v>
      </c>
      <c r="J891" s="43" t="s">
        <v>3222</v>
      </c>
      <c r="K891" s="43" t="s">
        <v>3222</v>
      </c>
      <c r="L891" s="41">
        <v>450</v>
      </c>
      <c r="M891" s="41">
        <v>450</v>
      </c>
      <c r="N891" s="7" t="s">
        <v>239</v>
      </c>
      <c r="O891" s="6" t="s">
        <v>239</v>
      </c>
      <c r="P891" s="6" t="s">
        <v>239</v>
      </c>
      <c r="Q891" s="6" t="s">
        <v>236</v>
      </c>
      <c r="R891" s="41"/>
      <c r="S891" s="6">
        <f t="shared" si="13"/>
        <v>450</v>
      </c>
      <c r="T891" s="40"/>
      <c r="U891" s="40"/>
      <c r="V891" s="40"/>
      <c r="W891" s="6" t="s">
        <v>236</v>
      </c>
      <c r="X891" s="6" t="s">
        <v>236</v>
      </c>
      <c r="Y891" s="6" t="s">
        <v>236</v>
      </c>
      <c r="Z891" s="6" t="s">
        <v>236</v>
      </c>
      <c r="AA891" s="6" t="s">
        <v>236</v>
      </c>
    </row>
    <row r="892" spans="1:27">
      <c r="A892" s="6">
        <v>891</v>
      </c>
      <c r="B892" s="40" t="s">
        <v>346</v>
      </c>
      <c r="C892" s="6" t="s">
        <v>3212</v>
      </c>
      <c r="D892" s="6" t="s">
        <v>226</v>
      </c>
      <c r="E892" s="6" t="s">
        <v>2712</v>
      </c>
      <c r="F892" s="6" t="s">
        <v>240</v>
      </c>
      <c r="G892" s="41">
        <v>8</v>
      </c>
      <c r="H892" s="42" t="s">
        <v>3223</v>
      </c>
      <c r="I892" s="42">
        <v>9901522457</v>
      </c>
      <c r="J892" s="43" t="s">
        <v>3224</v>
      </c>
      <c r="K892" s="43" t="s">
        <v>3224</v>
      </c>
      <c r="L892" s="41">
        <v>1570</v>
      </c>
      <c r="M892" s="41">
        <v>1570</v>
      </c>
      <c r="N892" s="7" t="s">
        <v>239</v>
      </c>
      <c r="O892" s="6" t="s">
        <v>239</v>
      </c>
      <c r="P892" s="6" t="s">
        <v>239</v>
      </c>
      <c r="Q892" s="6" t="s">
        <v>236</v>
      </c>
      <c r="R892" s="41"/>
      <c r="S892" s="6">
        <f t="shared" si="13"/>
        <v>1570</v>
      </c>
      <c r="T892" s="40"/>
      <c r="U892" s="40"/>
      <c r="V892" s="40"/>
      <c r="W892" s="6" t="s">
        <v>236</v>
      </c>
      <c r="X892" s="6" t="s">
        <v>236</v>
      </c>
      <c r="Y892" s="6" t="s">
        <v>236</v>
      </c>
      <c r="Z892" s="6" t="s">
        <v>236</v>
      </c>
      <c r="AA892" s="6" t="s">
        <v>236</v>
      </c>
    </row>
    <row r="893" spans="1:27">
      <c r="A893" s="6">
        <v>892</v>
      </c>
      <c r="B893" s="40" t="s">
        <v>346</v>
      </c>
      <c r="C893" s="6" t="s">
        <v>3212</v>
      </c>
      <c r="D893" s="6" t="s">
        <v>226</v>
      </c>
      <c r="E893" s="6" t="s">
        <v>2712</v>
      </c>
      <c r="F893" s="6" t="s">
        <v>240</v>
      </c>
      <c r="G893" s="41">
        <v>8</v>
      </c>
      <c r="H893" s="42" t="s">
        <v>3225</v>
      </c>
      <c r="I893" s="42">
        <v>7569479611</v>
      </c>
      <c r="J893" s="43" t="s">
        <v>3226</v>
      </c>
      <c r="K893" s="43" t="s">
        <v>3226</v>
      </c>
      <c r="L893" s="41">
        <v>1210</v>
      </c>
      <c r="M893" s="41">
        <v>1210</v>
      </c>
      <c r="N893" s="7" t="s">
        <v>239</v>
      </c>
      <c r="O893" s="6" t="s">
        <v>239</v>
      </c>
      <c r="P893" s="6" t="s">
        <v>239</v>
      </c>
      <c r="Q893" s="6" t="s">
        <v>236</v>
      </c>
      <c r="R893" s="41"/>
      <c r="S893" s="6">
        <f t="shared" si="13"/>
        <v>1210</v>
      </c>
      <c r="T893" s="40"/>
      <c r="U893" s="40"/>
      <c r="V893" s="40"/>
      <c r="W893" s="6" t="s">
        <v>236</v>
      </c>
      <c r="X893" s="6" t="s">
        <v>236</v>
      </c>
      <c r="Y893" s="6" t="s">
        <v>236</v>
      </c>
      <c r="Z893" s="6" t="s">
        <v>236</v>
      </c>
      <c r="AA893" s="6" t="s">
        <v>236</v>
      </c>
    </row>
    <row r="894" spans="1:27">
      <c r="A894" s="6">
        <v>893</v>
      </c>
      <c r="B894" s="40" t="s">
        <v>346</v>
      </c>
      <c r="C894" s="6" t="s">
        <v>3212</v>
      </c>
      <c r="D894" s="6" t="s">
        <v>226</v>
      </c>
      <c r="E894" s="6" t="s">
        <v>2712</v>
      </c>
      <c r="F894" s="6" t="s">
        <v>240</v>
      </c>
      <c r="G894" s="41">
        <v>8</v>
      </c>
      <c r="H894" s="42" t="s">
        <v>3227</v>
      </c>
      <c r="I894" s="42">
        <v>9738429634</v>
      </c>
      <c r="J894" s="43" t="s">
        <v>3228</v>
      </c>
      <c r="K894" s="43" t="s">
        <v>3228</v>
      </c>
      <c r="L894" s="41">
        <v>840</v>
      </c>
      <c r="M894" s="41">
        <v>840</v>
      </c>
      <c r="N894" s="7" t="s">
        <v>239</v>
      </c>
      <c r="O894" s="6" t="s">
        <v>239</v>
      </c>
      <c r="P894" s="6" t="s">
        <v>239</v>
      </c>
      <c r="Q894" s="6" t="s">
        <v>236</v>
      </c>
      <c r="R894" s="41"/>
      <c r="S894" s="6">
        <f t="shared" si="13"/>
        <v>840</v>
      </c>
      <c r="T894" s="40"/>
      <c r="U894" s="40"/>
      <c r="V894" s="40"/>
      <c r="W894" s="6" t="s">
        <v>236</v>
      </c>
      <c r="X894" s="6" t="s">
        <v>236</v>
      </c>
      <c r="Y894" s="6" t="s">
        <v>236</v>
      </c>
      <c r="Z894" s="6" t="s">
        <v>236</v>
      </c>
      <c r="AA894" s="6" t="s">
        <v>236</v>
      </c>
    </row>
    <row r="895" spans="1:27">
      <c r="A895" s="6">
        <v>894</v>
      </c>
      <c r="B895" s="40" t="s">
        <v>346</v>
      </c>
      <c r="C895" s="6" t="s">
        <v>3212</v>
      </c>
      <c r="D895" s="6" t="s">
        <v>226</v>
      </c>
      <c r="E895" s="6" t="s">
        <v>2712</v>
      </c>
      <c r="F895" s="6" t="s">
        <v>240</v>
      </c>
      <c r="G895" s="41">
        <v>8</v>
      </c>
      <c r="H895" s="42" t="s">
        <v>3229</v>
      </c>
      <c r="I895" s="42">
        <v>9840888424</v>
      </c>
      <c r="J895" s="43" t="s">
        <v>3230</v>
      </c>
      <c r="K895" s="43" t="s">
        <v>3230</v>
      </c>
      <c r="L895" s="41">
        <v>440</v>
      </c>
      <c r="M895" s="41">
        <v>440</v>
      </c>
      <c r="N895" s="7" t="s">
        <v>239</v>
      </c>
      <c r="O895" s="6" t="s">
        <v>239</v>
      </c>
      <c r="P895" s="6" t="s">
        <v>239</v>
      </c>
      <c r="Q895" s="6" t="s">
        <v>236</v>
      </c>
      <c r="R895" s="41"/>
      <c r="S895" s="6">
        <f t="shared" si="13"/>
        <v>440</v>
      </c>
      <c r="T895" s="40"/>
      <c r="U895" s="40"/>
      <c r="V895" s="40"/>
      <c r="W895" s="6" t="s">
        <v>236</v>
      </c>
      <c r="X895" s="6" t="s">
        <v>236</v>
      </c>
      <c r="Y895" s="6" t="s">
        <v>236</v>
      </c>
      <c r="Z895" s="6" t="s">
        <v>236</v>
      </c>
      <c r="AA895" s="6" t="s">
        <v>236</v>
      </c>
    </row>
    <row r="896" spans="1:27" ht="18.75">
      <c r="A896" s="6">
        <v>895</v>
      </c>
      <c r="B896" s="40" t="s">
        <v>346</v>
      </c>
      <c r="C896" s="6" t="s">
        <v>3212</v>
      </c>
      <c r="D896" s="6" t="s">
        <v>226</v>
      </c>
      <c r="E896" s="6" t="s">
        <v>2712</v>
      </c>
      <c r="F896" s="40" t="s">
        <v>336</v>
      </c>
      <c r="G896" s="41">
        <v>8</v>
      </c>
      <c r="H896" s="44" t="s">
        <v>3231</v>
      </c>
      <c r="I896" s="44" t="s">
        <v>3232</v>
      </c>
      <c r="J896" s="44" t="s">
        <v>3233</v>
      </c>
      <c r="K896" s="44" t="s">
        <v>3233</v>
      </c>
      <c r="L896" s="45">
        <v>1160</v>
      </c>
      <c r="M896" s="46">
        <v>1160</v>
      </c>
      <c r="N896" s="7">
        <v>46127</v>
      </c>
      <c r="O896" s="6" t="s">
        <v>342</v>
      </c>
      <c r="P896" s="6" t="s">
        <v>52</v>
      </c>
      <c r="Q896" s="6" t="s">
        <v>3037</v>
      </c>
      <c r="R896" s="41"/>
      <c r="S896" s="6">
        <f t="shared" si="13"/>
        <v>1160</v>
      </c>
      <c r="T896" s="40"/>
      <c r="U896" s="40"/>
      <c r="V896" s="40"/>
      <c r="W896" s="40" t="s">
        <v>342</v>
      </c>
      <c r="X896" s="40" t="s">
        <v>343</v>
      </c>
      <c r="Y896" s="44" t="s">
        <v>3234</v>
      </c>
      <c r="Z896" s="40" t="s">
        <v>3235</v>
      </c>
      <c r="AA896" s="40" t="s">
        <v>235</v>
      </c>
    </row>
    <row r="897" spans="1:27" ht="18.75">
      <c r="A897" s="6">
        <v>896</v>
      </c>
      <c r="B897" s="40"/>
      <c r="C897" s="47">
        <v>46147</v>
      </c>
      <c r="D897" s="40" t="s">
        <v>28</v>
      </c>
      <c r="E897" s="6" t="s">
        <v>2712</v>
      </c>
      <c r="F897" s="6" t="s">
        <v>30</v>
      </c>
      <c r="G897" s="44">
        <v>15</v>
      </c>
      <c r="H897" s="38" t="s">
        <v>1831</v>
      </c>
      <c r="I897" s="38" t="s">
        <v>1832</v>
      </c>
      <c r="J897" s="38" t="s">
        <v>1833</v>
      </c>
      <c r="K897" s="38" t="s">
        <v>1834</v>
      </c>
      <c r="L897" s="38">
        <v>17877.580000000002</v>
      </c>
      <c r="M897" s="48">
        <v>17878</v>
      </c>
      <c r="N897" s="7" t="s">
        <v>35</v>
      </c>
      <c r="O897" s="6" t="s">
        <v>35</v>
      </c>
      <c r="P897" s="6" t="s">
        <v>35</v>
      </c>
      <c r="Q897" s="6" t="s">
        <v>36</v>
      </c>
      <c r="R897" s="41"/>
      <c r="S897" s="6">
        <f t="shared" si="13"/>
        <v>17878</v>
      </c>
      <c r="T897" s="40"/>
      <c r="U897" s="40"/>
      <c r="V897" s="40"/>
      <c r="W897" s="49" t="s">
        <v>82</v>
      </c>
      <c r="X897" s="49"/>
      <c r="Y897" s="49" t="s">
        <v>1835</v>
      </c>
      <c r="Z897" s="38" t="s">
        <v>1483</v>
      </c>
      <c r="AA897" s="41" t="s">
        <v>40</v>
      </c>
    </row>
    <row r="898" spans="1:27" ht="18.75">
      <c r="A898" s="6">
        <v>897</v>
      </c>
      <c r="B898" s="40"/>
      <c r="C898" s="47">
        <v>46147</v>
      </c>
      <c r="D898" s="40" t="s">
        <v>28</v>
      </c>
      <c r="E898" s="6" t="s">
        <v>2712</v>
      </c>
      <c r="F898" s="6" t="s">
        <v>30</v>
      </c>
      <c r="G898" s="44">
        <v>15</v>
      </c>
      <c r="H898" s="38" t="s">
        <v>3236</v>
      </c>
      <c r="I898" s="38" t="s">
        <v>3237</v>
      </c>
      <c r="J898" s="38" t="s">
        <v>3238</v>
      </c>
      <c r="K898" s="38"/>
      <c r="L898" s="38">
        <v>9599.36</v>
      </c>
      <c r="M898" s="48">
        <v>9600</v>
      </c>
      <c r="N898" s="7" t="s">
        <v>35</v>
      </c>
      <c r="O898" s="6" t="s">
        <v>35</v>
      </c>
      <c r="P898" s="6" t="s">
        <v>35</v>
      </c>
      <c r="Q898" s="6" t="s">
        <v>36</v>
      </c>
      <c r="R898" s="41"/>
      <c r="S898" s="6">
        <f t="shared" si="13"/>
        <v>9600</v>
      </c>
      <c r="T898" s="40"/>
      <c r="U898" s="40"/>
      <c r="V898" s="40"/>
      <c r="W898" s="49" t="s">
        <v>37</v>
      </c>
      <c r="X898" s="49"/>
      <c r="Y898" s="49" t="s">
        <v>3239</v>
      </c>
      <c r="Z898" s="38" t="s">
        <v>1682</v>
      </c>
      <c r="AA898" s="41" t="s">
        <v>40</v>
      </c>
    </row>
    <row r="899" spans="1:27" ht="18.75">
      <c r="A899" s="6">
        <v>898</v>
      </c>
      <c r="B899" s="40"/>
      <c r="C899" s="47">
        <v>46147</v>
      </c>
      <c r="D899" s="40" t="s">
        <v>28</v>
      </c>
      <c r="E899" s="6" t="s">
        <v>2712</v>
      </c>
      <c r="F899" s="6" t="s">
        <v>30</v>
      </c>
      <c r="G899" s="44">
        <v>15</v>
      </c>
      <c r="H899" s="38" t="s">
        <v>481</v>
      </c>
      <c r="I899" s="38" t="s">
        <v>482</v>
      </c>
      <c r="J899" s="38" t="s">
        <v>483</v>
      </c>
      <c r="K899" s="38" t="s">
        <v>484</v>
      </c>
      <c r="L899" s="38">
        <v>9211.49</v>
      </c>
      <c r="M899" s="48">
        <v>9212</v>
      </c>
      <c r="N899" s="7" t="s">
        <v>35</v>
      </c>
      <c r="O899" s="6" t="s">
        <v>35</v>
      </c>
      <c r="P899" s="6" t="s">
        <v>35</v>
      </c>
      <c r="Q899" s="6" t="s">
        <v>36</v>
      </c>
      <c r="R899" s="41"/>
      <c r="S899" s="6">
        <f t="shared" si="13"/>
        <v>9212</v>
      </c>
      <c r="T899" s="40"/>
      <c r="U899" s="40"/>
      <c r="V899" s="40"/>
      <c r="W899" s="49" t="s">
        <v>117</v>
      </c>
      <c r="X899" s="49" t="s">
        <v>1403</v>
      </c>
      <c r="Y899" s="49" t="s">
        <v>3240</v>
      </c>
      <c r="Z899" s="38" t="s">
        <v>1336</v>
      </c>
      <c r="AA899" s="41" t="s">
        <v>40</v>
      </c>
    </row>
    <row r="900" spans="1:27" ht="18.75">
      <c r="A900" s="6">
        <v>899</v>
      </c>
      <c r="B900" s="40"/>
      <c r="C900" s="47">
        <v>46147</v>
      </c>
      <c r="D900" s="40" t="s">
        <v>28</v>
      </c>
      <c r="E900" s="6" t="s">
        <v>2712</v>
      </c>
      <c r="F900" s="6" t="s">
        <v>30</v>
      </c>
      <c r="G900" s="44">
        <v>15</v>
      </c>
      <c r="H900" s="38" t="s">
        <v>491</v>
      </c>
      <c r="I900" s="38" t="s">
        <v>492</v>
      </c>
      <c r="J900" s="38" t="s">
        <v>493</v>
      </c>
      <c r="K900" s="38" t="s">
        <v>494</v>
      </c>
      <c r="L900" s="38">
        <v>6774.33</v>
      </c>
      <c r="M900" s="48">
        <v>6775</v>
      </c>
      <c r="N900" s="7" t="s">
        <v>35</v>
      </c>
      <c r="O900" s="6" t="s">
        <v>35</v>
      </c>
      <c r="P900" s="6" t="s">
        <v>35</v>
      </c>
      <c r="Q900" s="6" t="s">
        <v>36</v>
      </c>
      <c r="R900" s="41"/>
      <c r="S900" s="6">
        <f t="shared" si="13"/>
        <v>6775</v>
      </c>
      <c r="T900" s="40"/>
      <c r="U900" s="40"/>
      <c r="V900" s="40"/>
      <c r="W900" s="49" t="s">
        <v>2720</v>
      </c>
      <c r="X900" s="49" t="s">
        <v>1403</v>
      </c>
      <c r="Y900" s="49" t="s">
        <v>1917</v>
      </c>
      <c r="Z900" s="38" t="s">
        <v>1336</v>
      </c>
      <c r="AA900" s="41" t="s">
        <v>40</v>
      </c>
    </row>
    <row r="901" spans="1:27" ht="18.75">
      <c r="A901" s="6">
        <v>900</v>
      </c>
      <c r="B901" s="40"/>
      <c r="C901" s="47">
        <v>46147</v>
      </c>
      <c r="D901" s="40" t="s">
        <v>28</v>
      </c>
      <c r="E901" s="6" t="s">
        <v>2712</v>
      </c>
      <c r="F901" s="6" t="s">
        <v>30</v>
      </c>
      <c r="G901" s="44">
        <v>15</v>
      </c>
      <c r="H901" s="38" t="s">
        <v>583</v>
      </c>
      <c r="I901" s="38" t="s">
        <v>584</v>
      </c>
      <c r="J901" s="38" t="s">
        <v>585</v>
      </c>
      <c r="K901" s="38" t="s">
        <v>586</v>
      </c>
      <c r="L901" s="38">
        <v>7517.39</v>
      </c>
      <c r="M901" s="48">
        <v>7518</v>
      </c>
      <c r="N901" s="7" t="s">
        <v>35</v>
      </c>
      <c r="O901" s="6" t="s">
        <v>35</v>
      </c>
      <c r="P901" s="6" t="s">
        <v>35</v>
      </c>
      <c r="Q901" s="6" t="s">
        <v>36</v>
      </c>
      <c r="R901" s="41"/>
      <c r="S901" s="6">
        <f t="shared" si="13"/>
        <v>7518</v>
      </c>
      <c r="T901" s="40"/>
      <c r="U901" s="40"/>
      <c r="V901" s="40"/>
      <c r="W901" s="49" t="s">
        <v>2720</v>
      </c>
      <c r="X901" s="49" t="s">
        <v>2733</v>
      </c>
      <c r="Y901" s="49" t="s">
        <v>1924</v>
      </c>
      <c r="Z901" s="38" t="s">
        <v>1500</v>
      </c>
      <c r="AA901" s="41" t="s">
        <v>40</v>
      </c>
    </row>
    <row r="902" spans="1:27" ht="18.75">
      <c r="A902" s="6">
        <v>901</v>
      </c>
      <c r="B902" s="40"/>
      <c r="C902" s="47">
        <v>46149</v>
      </c>
      <c r="D902" s="40" t="s">
        <v>28</v>
      </c>
      <c r="E902" s="6" t="s">
        <v>2712</v>
      </c>
      <c r="F902" s="6" t="s">
        <v>30</v>
      </c>
      <c r="G902" s="44">
        <v>17</v>
      </c>
      <c r="H902" s="38" t="s">
        <v>3241</v>
      </c>
      <c r="I902" s="38" t="s">
        <v>3242</v>
      </c>
      <c r="J902" s="38" t="s">
        <v>3243</v>
      </c>
      <c r="K902" s="38" t="s">
        <v>3244</v>
      </c>
      <c r="L902" s="38">
        <v>5232.49</v>
      </c>
      <c r="M902" s="48">
        <v>5233</v>
      </c>
      <c r="N902" s="7" t="s">
        <v>35</v>
      </c>
      <c r="O902" s="6" t="s">
        <v>35</v>
      </c>
      <c r="P902" s="6" t="s">
        <v>35</v>
      </c>
      <c r="Q902" s="6" t="s">
        <v>36</v>
      </c>
      <c r="R902" s="41"/>
      <c r="S902" s="6">
        <f t="shared" si="13"/>
        <v>5233</v>
      </c>
      <c r="T902" s="40"/>
      <c r="U902" s="40"/>
      <c r="V902" s="40"/>
      <c r="W902" s="49" t="s">
        <v>55</v>
      </c>
      <c r="X902" s="49" t="s">
        <v>1403</v>
      </c>
      <c r="Y902" s="49" t="s">
        <v>3245</v>
      </c>
      <c r="Z902" s="38" t="s">
        <v>1336</v>
      </c>
      <c r="AA902" s="41" t="s">
        <v>40</v>
      </c>
    </row>
    <row r="903" spans="1:27" ht="18.75">
      <c r="A903" s="6">
        <v>902</v>
      </c>
      <c r="B903" s="40"/>
      <c r="C903" s="47">
        <v>46149</v>
      </c>
      <c r="D903" s="40" t="s">
        <v>28</v>
      </c>
      <c r="E903" s="6" t="s">
        <v>2712</v>
      </c>
      <c r="F903" s="6" t="s">
        <v>30</v>
      </c>
      <c r="G903" s="44">
        <v>17</v>
      </c>
      <c r="H903" s="38" t="s">
        <v>2095</v>
      </c>
      <c r="I903" s="38" t="s">
        <v>3246</v>
      </c>
      <c r="J903" s="38" t="s">
        <v>2096</v>
      </c>
      <c r="K903" s="38"/>
      <c r="L903" s="38">
        <v>6737.92</v>
      </c>
      <c r="M903" s="48">
        <v>6738</v>
      </c>
      <c r="N903" s="7" t="s">
        <v>35</v>
      </c>
      <c r="O903" s="6" t="s">
        <v>35</v>
      </c>
      <c r="P903" s="6" t="s">
        <v>35</v>
      </c>
      <c r="Q903" s="6" t="s">
        <v>36</v>
      </c>
      <c r="R903" s="41"/>
      <c r="S903" s="6">
        <f t="shared" si="13"/>
        <v>6738</v>
      </c>
      <c r="T903" s="40"/>
      <c r="U903" s="40"/>
      <c r="V903" s="40"/>
      <c r="W903" s="49" t="s">
        <v>410</v>
      </c>
      <c r="X903" s="49" t="s">
        <v>1403</v>
      </c>
      <c r="Y903" s="49" t="s">
        <v>2098</v>
      </c>
      <c r="Z903" s="38" t="s">
        <v>1336</v>
      </c>
      <c r="AA903" s="41" t="s">
        <v>40</v>
      </c>
    </row>
    <row r="904" spans="1:27" ht="18.75">
      <c r="A904" s="6">
        <v>903</v>
      </c>
      <c r="B904" s="40"/>
      <c r="C904" s="47">
        <v>46147</v>
      </c>
      <c r="D904" s="40" t="s">
        <v>28</v>
      </c>
      <c r="E904" s="6" t="s">
        <v>2712</v>
      </c>
      <c r="F904" s="6" t="s">
        <v>30</v>
      </c>
      <c r="G904" s="44">
        <v>15</v>
      </c>
      <c r="H904" s="38" t="s">
        <v>3247</v>
      </c>
      <c r="I904" s="38" t="s">
        <v>3248</v>
      </c>
      <c r="J904" s="38" t="s">
        <v>3249</v>
      </c>
      <c r="K904" s="38" t="s">
        <v>3250</v>
      </c>
      <c r="L904" s="38">
        <v>2717.2</v>
      </c>
      <c r="M904" s="48">
        <v>2718</v>
      </c>
      <c r="N904" s="7" t="s">
        <v>35</v>
      </c>
      <c r="O904" s="6" t="s">
        <v>35</v>
      </c>
      <c r="P904" s="6" t="s">
        <v>35</v>
      </c>
      <c r="Q904" s="6" t="s">
        <v>36</v>
      </c>
      <c r="R904" s="41"/>
      <c r="S904" s="6">
        <f t="shared" si="13"/>
        <v>2718</v>
      </c>
      <c r="T904" s="40"/>
      <c r="U904" s="40"/>
      <c r="V904" s="40"/>
      <c r="W904" s="49" t="s">
        <v>410</v>
      </c>
      <c r="X904" s="49" t="s">
        <v>2733</v>
      </c>
      <c r="Y904" s="49" t="s">
        <v>3251</v>
      </c>
      <c r="Z904" s="38" t="s">
        <v>1500</v>
      </c>
      <c r="AA904" s="41" t="s">
        <v>40</v>
      </c>
    </row>
    <row r="905" spans="1:27" ht="18.75">
      <c r="A905" s="6">
        <v>904</v>
      </c>
      <c r="B905" s="40"/>
      <c r="C905" s="47">
        <v>46147</v>
      </c>
      <c r="D905" s="40" t="s">
        <v>28</v>
      </c>
      <c r="E905" s="6" t="s">
        <v>2712</v>
      </c>
      <c r="F905" s="6" t="s">
        <v>30</v>
      </c>
      <c r="G905" s="44">
        <v>15</v>
      </c>
      <c r="H905" s="38" t="s">
        <v>3252</v>
      </c>
      <c r="I905" s="38" t="s">
        <v>3253</v>
      </c>
      <c r="J905" s="38" t="s">
        <v>3254</v>
      </c>
      <c r="K905" s="38"/>
      <c r="L905" s="38">
        <v>3436.5</v>
      </c>
      <c r="M905" s="48">
        <v>3437</v>
      </c>
      <c r="N905" s="7" t="s">
        <v>35</v>
      </c>
      <c r="O905" s="6" t="s">
        <v>35</v>
      </c>
      <c r="P905" s="6" t="s">
        <v>35</v>
      </c>
      <c r="Q905" s="6" t="s">
        <v>36</v>
      </c>
      <c r="R905" s="41"/>
      <c r="S905" s="6">
        <f t="shared" si="13"/>
        <v>3437</v>
      </c>
      <c r="T905" s="40"/>
      <c r="U905" s="40"/>
      <c r="V905" s="40"/>
      <c r="W905" s="49" t="s">
        <v>62</v>
      </c>
      <c r="X905" s="49" t="s">
        <v>1403</v>
      </c>
      <c r="Y905" s="49" t="s">
        <v>3255</v>
      </c>
      <c r="Z905" s="38" t="s">
        <v>1336</v>
      </c>
      <c r="AA905" s="41" t="s">
        <v>40</v>
      </c>
    </row>
    <row r="906" spans="1:27" ht="18.75">
      <c r="A906" s="6">
        <v>905</v>
      </c>
      <c r="B906" s="40"/>
      <c r="C906" s="47">
        <v>46147</v>
      </c>
      <c r="D906" s="40" t="s">
        <v>28</v>
      </c>
      <c r="E906" s="6" t="s">
        <v>2712</v>
      </c>
      <c r="F906" s="6" t="s">
        <v>30</v>
      </c>
      <c r="G906" s="44">
        <v>15</v>
      </c>
      <c r="H906" s="38" t="s">
        <v>3256</v>
      </c>
      <c r="I906" s="38" t="s">
        <v>3257</v>
      </c>
      <c r="J906" s="38" t="s">
        <v>3258</v>
      </c>
      <c r="K906" s="38"/>
      <c r="L906" s="38">
        <v>2147.4699999999998</v>
      </c>
      <c r="M906" s="48">
        <v>2148</v>
      </c>
      <c r="N906" s="7" t="s">
        <v>35</v>
      </c>
      <c r="O906" s="6" t="s">
        <v>35</v>
      </c>
      <c r="P906" s="6" t="s">
        <v>35</v>
      </c>
      <c r="Q906" s="6" t="s">
        <v>36</v>
      </c>
      <c r="R906" s="41"/>
      <c r="S906" s="6">
        <f t="shared" si="13"/>
        <v>2148</v>
      </c>
      <c r="T906" s="40"/>
      <c r="U906" s="40"/>
      <c r="V906" s="40"/>
      <c r="W906" s="49" t="s">
        <v>62</v>
      </c>
      <c r="X906" s="49" t="s">
        <v>2733</v>
      </c>
      <c r="Y906" s="49" t="s">
        <v>3259</v>
      </c>
      <c r="Z906" s="38" t="s">
        <v>1500</v>
      </c>
      <c r="AA906" s="41" t="s">
        <v>40</v>
      </c>
    </row>
    <row r="907" spans="1:27" ht="18.75">
      <c r="A907" s="6">
        <v>906</v>
      </c>
      <c r="B907" s="40"/>
      <c r="C907" s="47">
        <v>46147</v>
      </c>
      <c r="D907" s="40" t="s">
        <v>28</v>
      </c>
      <c r="E907" s="6" t="s">
        <v>2712</v>
      </c>
      <c r="F907" s="6" t="s">
        <v>30</v>
      </c>
      <c r="G907" s="44">
        <v>15</v>
      </c>
      <c r="H907" s="38" t="s">
        <v>3260</v>
      </c>
      <c r="I907" s="38" t="s">
        <v>3261</v>
      </c>
      <c r="J907" s="38" t="s">
        <v>3262</v>
      </c>
      <c r="K907" s="38"/>
      <c r="L907" s="38">
        <v>1507</v>
      </c>
      <c r="M907" s="48">
        <v>1507</v>
      </c>
      <c r="N907" s="7" t="s">
        <v>35</v>
      </c>
      <c r="O907" s="6" t="s">
        <v>35</v>
      </c>
      <c r="P907" s="6" t="s">
        <v>35</v>
      </c>
      <c r="Q907" s="6" t="s">
        <v>36</v>
      </c>
      <c r="R907" s="41"/>
      <c r="S907" s="6">
        <f t="shared" si="13"/>
        <v>1507</v>
      </c>
      <c r="T907" s="40"/>
      <c r="U907" s="40"/>
      <c r="V907" s="40"/>
      <c r="W907" s="49" t="s">
        <v>117</v>
      </c>
      <c r="X907" s="49"/>
      <c r="Y907" s="49" t="s">
        <v>3263</v>
      </c>
      <c r="Z907" s="38" t="s">
        <v>1646</v>
      </c>
      <c r="AA907" s="41" t="s">
        <v>40</v>
      </c>
    </row>
    <row r="908" spans="1:27" ht="18.75">
      <c r="A908" s="6">
        <v>907</v>
      </c>
      <c r="B908" s="40"/>
      <c r="C908" s="6" t="s">
        <v>3212</v>
      </c>
      <c r="D908" s="40" t="s">
        <v>28</v>
      </c>
      <c r="E908" s="6" t="s">
        <v>2712</v>
      </c>
      <c r="F908" s="6" t="s">
        <v>30</v>
      </c>
      <c r="G908" s="44">
        <v>18</v>
      </c>
      <c r="H908" s="50" t="s">
        <v>3264</v>
      </c>
      <c r="I908" s="50" t="s">
        <v>3265</v>
      </c>
      <c r="J908" s="50" t="s">
        <v>3266</v>
      </c>
      <c r="K908" s="50"/>
      <c r="L908" s="50">
        <v>4860.08</v>
      </c>
      <c r="M908" s="48">
        <v>4861</v>
      </c>
      <c r="N908" s="7" t="s">
        <v>35</v>
      </c>
      <c r="O908" s="6" t="s">
        <v>35</v>
      </c>
      <c r="P908" s="6" t="s">
        <v>35</v>
      </c>
      <c r="Q908" s="6" t="s">
        <v>36</v>
      </c>
      <c r="R908" s="41"/>
      <c r="S908" s="6">
        <f t="shared" si="13"/>
        <v>4861</v>
      </c>
      <c r="T908" s="40"/>
      <c r="U908" s="40"/>
      <c r="V908" s="40"/>
      <c r="W908" s="49" t="s">
        <v>37</v>
      </c>
      <c r="X908" s="49"/>
      <c r="Y908" s="51" t="s">
        <v>3267</v>
      </c>
      <c r="Z908" s="50" t="s">
        <v>1539</v>
      </c>
      <c r="AA908" s="41" t="s">
        <v>40</v>
      </c>
    </row>
    <row r="909" spans="1:27" ht="18.75">
      <c r="A909" s="6">
        <v>908</v>
      </c>
      <c r="B909" s="40"/>
      <c r="C909" s="47">
        <v>46152</v>
      </c>
      <c r="D909" s="40" t="s">
        <v>28</v>
      </c>
      <c r="E909" s="6" t="s">
        <v>2712</v>
      </c>
      <c r="F909" s="6" t="s">
        <v>30</v>
      </c>
      <c r="G909" s="44">
        <v>20</v>
      </c>
      <c r="H909" s="50" t="s">
        <v>3268</v>
      </c>
      <c r="I909" s="50" t="s">
        <v>3269</v>
      </c>
      <c r="J909" s="50" t="s">
        <v>3270</v>
      </c>
      <c r="K909" s="50" t="s">
        <v>3271</v>
      </c>
      <c r="L909" s="50">
        <v>4137.5</v>
      </c>
      <c r="M909" s="48">
        <v>4138</v>
      </c>
      <c r="N909" s="7" t="s">
        <v>35</v>
      </c>
      <c r="O909" s="6" t="s">
        <v>35</v>
      </c>
      <c r="P909" s="6" t="s">
        <v>35</v>
      </c>
      <c r="Q909" s="6" t="s">
        <v>36</v>
      </c>
      <c r="R909" s="41"/>
      <c r="S909" s="6">
        <f t="shared" si="13"/>
        <v>4138</v>
      </c>
      <c r="T909" s="40"/>
      <c r="U909" s="40"/>
      <c r="V909" s="40"/>
      <c r="W909" s="49" t="s">
        <v>69</v>
      </c>
      <c r="X909" s="49"/>
      <c r="Y909" s="51" t="s">
        <v>3272</v>
      </c>
      <c r="Z909" s="50" t="s">
        <v>1539</v>
      </c>
      <c r="AA909" s="41" t="s">
        <v>40</v>
      </c>
    </row>
    <row r="910" spans="1:27" ht="18.75">
      <c r="A910" s="6">
        <v>909</v>
      </c>
      <c r="B910" s="40"/>
      <c r="C910" s="47">
        <v>46152</v>
      </c>
      <c r="D910" s="40" t="s">
        <v>28</v>
      </c>
      <c r="E910" s="6" t="s">
        <v>2712</v>
      </c>
      <c r="F910" s="6" t="s">
        <v>30</v>
      </c>
      <c r="G910" s="44">
        <v>22</v>
      </c>
      <c r="H910" s="38" t="s">
        <v>3273</v>
      </c>
      <c r="I910" s="38" t="s">
        <v>3274</v>
      </c>
      <c r="J910" s="52" t="s">
        <v>3275</v>
      </c>
      <c r="K910" s="38" t="s">
        <v>3276</v>
      </c>
      <c r="L910" s="38">
        <v>4284.1899999999996</v>
      </c>
      <c r="M910" s="48">
        <v>4285</v>
      </c>
      <c r="N910" s="7" t="s">
        <v>35</v>
      </c>
      <c r="O910" s="6" t="s">
        <v>35</v>
      </c>
      <c r="P910" s="6" t="s">
        <v>35</v>
      </c>
      <c r="Q910" s="6" t="s">
        <v>36</v>
      </c>
      <c r="R910" s="41"/>
      <c r="S910" s="6">
        <f t="shared" si="13"/>
        <v>4285</v>
      </c>
      <c r="T910" s="40"/>
      <c r="U910" s="40"/>
      <c r="V910" s="40"/>
      <c r="W910" s="49" t="s">
        <v>117</v>
      </c>
      <c r="X910" s="49"/>
      <c r="Y910" s="49" t="s">
        <v>3277</v>
      </c>
      <c r="Z910" s="38" t="s">
        <v>172</v>
      </c>
      <c r="AA910" s="41" t="s">
        <v>40</v>
      </c>
    </row>
    <row r="911" spans="1:27" ht="18.75">
      <c r="A911" s="6">
        <v>910</v>
      </c>
      <c r="B911" s="40"/>
      <c r="C911" s="47">
        <v>46152</v>
      </c>
      <c r="D911" s="40" t="s">
        <v>28</v>
      </c>
      <c r="E911" s="6" t="s">
        <v>2712</v>
      </c>
      <c r="F911" s="6" t="s">
        <v>30</v>
      </c>
      <c r="G911" s="44">
        <v>22</v>
      </c>
      <c r="H911" s="38" t="s">
        <v>3278</v>
      </c>
      <c r="I911" s="38" t="s">
        <v>3279</v>
      </c>
      <c r="J911" s="52" t="s">
        <v>3280</v>
      </c>
      <c r="K911" s="38" t="s">
        <v>3281</v>
      </c>
      <c r="L911" s="38">
        <v>7771.14</v>
      </c>
      <c r="M911" s="48">
        <v>7772</v>
      </c>
      <c r="N911" s="7" t="s">
        <v>35</v>
      </c>
      <c r="O911" s="6" t="s">
        <v>35</v>
      </c>
      <c r="P911" s="6" t="s">
        <v>35</v>
      </c>
      <c r="Q911" s="6" t="s">
        <v>36</v>
      </c>
      <c r="R911" s="41"/>
      <c r="S911" s="6">
        <f t="shared" si="13"/>
        <v>7772</v>
      </c>
      <c r="T911" s="40"/>
      <c r="U911" s="40"/>
      <c r="V911" s="40"/>
      <c r="W911" s="49" t="s">
        <v>117</v>
      </c>
      <c r="X911" s="49"/>
      <c r="Y911" s="49" t="s">
        <v>3282</v>
      </c>
      <c r="Z911" s="38" t="s">
        <v>172</v>
      </c>
      <c r="AA911" s="41" t="s">
        <v>40</v>
      </c>
    </row>
    <row r="912" spans="1:27" ht="18.75">
      <c r="A912" s="6">
        <v>911</v>
      </c>
      <c r="B912" s="40"/>
      <c r="C912" s="47">
        <v>46152</v>
      </c>
      <c r="D912" s="40" t="s">
        <v>28</v>
      </c>
      <c r="E912" s="6" t="s">
        <v>2712</v>
      </c>
      <c r="F912" s="6" t="s">
        <v>30</v>
      </c>
      <c r="G912" s="44">
        <v>22</v>
      </c>
      <c r="H912" s="38" t="s">
        <v>3283</v>
      </c>
      <c r="I912" s="38" t="s">
        <v>3284</v>
      </c>
      <c r="J912" s="52" t="s">
        <v>3285</v>
      </c>
      <c r="K912" s="38" t="s">
        <v>3286</v>
      </c>
      <c r="L912" s="38">
        <v>15422.22</v>
      </c>
      <c r="M912" s="48">
        <v>15423</v>
      </c>
      <c r="N912" s="7" t="s">
        <v>35</v>
      </c>
      <c r="O912" s="6" t="s">
        <v>35</v>
      </c>
      <c r="P912" s="6" t="s">
        <v>35</v>
      </c>
      <c r="Q912" s="6" t="s">
        <v>36</v>
      </c>
      <c r="R912" s="41"/>
      <c r="S912" s="6">
        <f t="shared" si="13"/>
        <v>15423</v>
      </c>
      <c r="T912" s="40"/>
      <c r="U912" s="40"/>
      <c r="V912" s="40"/>
      <c r="W912" s="49" t="s">
        <v>117</v>
      </c>
      <c r="X912" s="49"/>
      <c r="Y912" s="49" t="s">
        <v>3287</v>
      </c>
      <c r="Z912" s="38" t="s">
        <v>160</v>
      </c>
      <c r="AA912" s="41" t="s">
        <v>40</v>
      </c>
    </row>
    <row r="913" spans="1:27">
      <c r="A913" s="6">
        <v>912</v>
      </c>
      <c r="B913" s="40" t="s">
        <v>346</v>
      </c>
      <c r="C913" s="47">
        <v>46153</v>
      </c>
      <c r="D913" s="40" t="s">
        <v>226</v>
      </c>
      <c r="E913" s="6" t="s">
        <v>2712</v>
      </c>
      <c r="F913" s="40" t="s">
        <v>746</v>
      </c>
      <c r="G913" s="41">
        <v>11</v>
      </c>
      <c r="H913" s="42" t="s">
        <v>3288</v>
      </c>
      <c r="I913" s="42">
        <v>9885000325</v>
      </c>
      <c r="J913" s="43" t="s">
        <v>3289</v>
      </c>
      <c r="K913" s="43" t="s">
        <v>3289</v>
      </c>
      <c r="L913" s="41">
        <v>4900</v>
      </c>
      <c r="M913" s="41">
        <v>4900</v>
      </c>
      <c r="N913" s="7" t="s">
        <v>239</v>
      </c>
      <c r="O913" s="6" t="s">
        <v>239</v>
      </c>
      <c r="P913" s="6" t="s">
        <v>239</v>
      </c>
      <c r="Q913" s="6" t="s">
        <v>236</v>
      </c>
      <c r="R913" s="41"/>
      <c r="S913" s="6">
        <f t="shared" si="13"/>
        <v>4900</v>
      </c>
      <c r="T913" s="40"/>
      <c r="U913" s="40"/>
      <c r="V913" s="40"/>
      <c r="W913" s="6" t="s">
        <v>236</v>
      </c>
      <c r="X913" s="6" t="s">
        <v>236</v>
      </c>
      <c r="Y913" s="6" t="s">
        <v>236</v>
      </c>
      <c r="Z913" s="6" t="s">
        <v>236</v>
      </c>
      <c r="AA913" s="6" t="s">
        <v>236</v>
      </c>
    </row>
    <row r="914" spans="1:27">
      <c r="A914" s="6">
        <v>913</v>
      </c>
      <c r="B914" s="40" t="s">
        <v>346</v>
      </c>
      <c r="C914" s="47">
        <v>46153</v>
      </c>
      <c r="D914" s="40" t="s">
        <v>226</v>
      </c>
      <c r="E914" s="6" t="s">
        <v>2712</v>
      </c>
      <c r="F914" s="40" t="s">
        <v>746</v>
      </c>
      <c r="G914" s="41">
        <v>11</v>
      </c>
      <c r="H914" s="42" t="s">
        <v>3290</v>
      </c>
      <c r="I914" s="42">
        <v>9347061051</v>
      </c>
      <c r="J914" s="43" t="s">
        <v>3291</v>
      </c>
      <c r="K914" s="43" t="s">
        <v>3291</v>
      </c>
      <c r="L914" s="41">
        <v>110</v>
      </c>
      <c r="M914" s="41">
        <v>110</v>
      </c>
      <c r="N914" s="7" t="s">
        <v>239</v>
      </c>
      <c r="O914" s="6" t="s">
        <v>239</v>
      </c>
      <c r="P914" s="6" t="s">
        <v>239</v>
      </c>
      <c r="Q914" s="6" t="s">
        <v>236</v>
      </c>
      <c r="R914" s="41"/>
      <c r="S914" s="6">
        <f t="shared" si="13"/>
        <v>110</v>
      </c>
      <c r="T914" s="40"/>
      <c r="U914" s="40"/>
      <c r="V914" s="40"/>
      <c r="W914" s="6" t="s">
        <v>236</v>
      </c>
      <c r="X914" s="6" t="s">
        <v>236</v>
      </c>
      <c r="Y914" s="6" t="s">
        <v>236</v>
      </c>
      <c r="Z914" s="6" t="s">
        <v>236</v>
      </c>
      <c r="AA914" s="6" t="s">
        <v>236</v>
      </c>
    </row>
    <row r="915" spans="1:27">
      <c r="A915" s="6">
        <v>914</v>
      </c>
      <c r="B915" s="40" t="s">
        <v>346</v>
      </c>
      <c r="C915" s="47">
        <v>46153</v>
      </c>
      <c r="D915" s="40" t="s">
        <v>226</v>
      </c>
      <c r="E915" s="6" t="s">
        <v>2712</v>
      </c>
      <c r="F915" s="40" t="s">
        <v>746</v>
      </c>
      <c r="G915" s="41">
        <v>11</v>
      </c>
      <c r="H915" s="42" t="s">
        <v>3292</v>
      </c>
      <c r="I915" s="42">
        <v>7416816220</v>
      </c>
      <c r="J915" s="43" t="s">
        <v>3293</v>
      </c>
      <c r="K915" s="43" t="s">
        <v>3293</v>
      </c>
      <c r="L915" s="41">
        <v>1100</v>
      </c>
      <c r="M915" s="41">
        <v>1100</v>
      </c>
      <c r="N915" s="7" t="s">
        <v>239</v>
      </c>
      <c r="O915" s="6" t="s">
        <v>239</v>
      </c>
      <c r="P915" s="6" t="s">
        <v>239</v>
      </c>
      <c r="Q915" s="6" t="s">
        <v>236</v>
      </c>
      <c r="R915" s="41"/>
      <c r="S915" s="6">
        <f t="shared" si="13"/>
        <v>1100</v>
      </c>
      <c r="T915" s="40"/>
      <c r="U915" s="40"/>
      <c r="V915" s="40"/>
      <c r="W915" s="6" t="s">
        <v>236</v>
      </c>
      <c r="X915" s="6" t="s">
        <v>236</v>
      </c>
      <c r="Y915" s="6" t="s">
        <v>236</v>
      </c>
      <c r="Z915" s="6" t="s">
        <v>236</v>
      </c>
      <c r="AA915" s="6" t="s">
        <v>236</v>
      </c>
    </row>
    <row r="916" spans="1:27">
      <c r="A916" s="6">
        <v>915</v>
      </c>
      <c r="B916" s="40" t="s">
        <v>346</v>
      </c>
      <c r="C916" s="47">
        <v>46153</v>
      </c>
      <c r="D916" s="40" t="s">
        <v>226</v>
      </c>
      <c r="E916" s="6" t="s">
        <v>2712</v>
      </c>
      <c r="F916" s="40" t="s">
        <v>746</v>
      </c>
      <c r="G916" s="41">
        <v>11</v>
      </c>
      <c r="H916" s="42" t="s">
        <v>3294</v>
      </c>
      <c r="I916" s="42">
        <v>8886375050</v>
      </c>
      <c r="J916" s="43" t="s">
        <v>3295</v>
      </c>
      <c r="K916" s="43" t="s">
        <v>3295</v>
      </c>
      <c r="L916" s="41">
        <v>1250</v>
      </c>
      <c r="M916" s="41">
        <v>1250</v>
      </c>
      <c r="N916" s="7" t="s">
        <v>239</v>
      </c>
      <c r="O916" s="6" t="s">
        <v>239</v>
      </c>
      <c r="P916" s="6" t="s">
        <v>239</v>
      </c>
      <c r="Q916" s="6" t="s">
        <v>236</v>
      </c>
      <c r="R916" s="41"/>
      <c r="S916" s="6">
        <f t="shared" si="13"/>
        <v>1250</v>
      </c>
      <c r="T916" s="40"/>
      <c r="U916" s="40"/>
      <c r="V916" s="40"/>
      <c r="W916" s="6" t="s">
        <v>236</v>
      </c>
      <c r="X916" s="6" t="s">
        <v>236</v>
      </c>
      <c r="Y916" s="6" t="s">
        <v>236</v>
      </c>
      <c r="Z916" s="6" t="s">
        <v>236</v>
      </c>
      <c r="AA916" s="6" t="s">
        <v>236</v>
      </c>
    </row>
    <row r="917" spans="1:27">
      <c r="A917" s="6">
        <v>916</v>
      </c>
      <c r="B917" s="40" t="s">
        <v>346</v>
      </c>
      <c r="C917" s="47">
        <v>46153</v>
      </c>
      <c r="D917" s="40" t="s">
        <v>226</v>
      </c>
      <c r="E917" s="6" t="s">
        <v>2712</v>
      </c>
      <c r="F917" s="40" t="s">
        <v>746</v>
      </c>
      <c r="G917" s="41">
        <v>11</v>
      </c>
      <c r="H917" s="42" t="s">
        <v>3296</v>
      </c>
      <c r="I917" s="42">
        <v>7780494181</v>
      </c>
      <c r="J917" s="43" t="s">
        <v>3297</v>
      </c>
      <c r="K917" s="43" t="s">
        <v>3297</v>
      </c>
      <c r="L917" s="41">
        <v>100</v>
      </c>
      <c r="M917" s="41">
        <v>100</v>
      </c>
      <c r="N917" s="7" t="s">
        <v>239</v>
      </c>
      <c r="O917" s="6" t="s">
        <v>239</v>
      </c>
      <c r="P917" s="6" t="s">
        <v>239</v>
      </c>
      <c r="Q917" s="6" t="s">
        <v>236</v>
      </c>
      <c r="R917" s="41"/>
      <c r="S917" s="6">
        <f t="shared" ref="S917:S981" si="14">M917-R917</f>
        <v>100</v>
      </c>
      <c r="T917" s="40"/>
      <c r="U917" s="40"/>
      <c r="V917" s="40"/>
      <c r="W917" s="6" t="s">
        <v>236</v>
      </c>
      <c r="X917" s="6" t="s">
        <v>236</v>
      </c>
      <c r="Y917" s="6" t="s">
        <v>236</v>
      </c>
      <c r="Z917" s="6" t="s">
        <v>236</v>
      </c>
      <c r="AA917" s="6" t="s">
        <v>236</v>
      </c>
    </row>
    <row r="918" spans="1:27">
      <c r="A918" s="6">
        <v>917</v>
      </c>
      <c r="B918" s="40" t="s">
        <v>346</v>
      </c>
      <c r="C918" s="47">
        <v>46153</v>
      </c>
      <c r="D918" s="40" t="s">
        <v>226</v>
      </c>
      <c r="E918" s="6" t="s">
        <v>2712</v>
      </c>
      <c r="F918" s="40" t="s">
        <v>746</v>
      </c>
      <c r="G918" s="41">
        <v>11</v>
      </c>
      <c r="H918" s="42" t="s">
        <v>3298</v>
      </c>
      <c r="I918" s="42">
        <v>9710318599</v>
      </c>
      <c r="J918" s="43" t="s">
        <v>3299</v>
      </c>
      <c r="K918" s="43" t="s">
        <v>3299</v>
      </c>
      <c r="L918" s="41">
        <v>50</v>
      </c>
      <c r="M918" s="41">
        <v>50</v>
      </c>
      <c r="N918" s="7" t="s">
        <v>239</v>
      </c>
      <c r="O918" s="6" t="s">
        <v>239</v>
      </c>
      <c r="P918" s="6" t="s">
        <v>239</v>
      </c>
      <c r="Q918" s="6" t="s">
        <v>236</v>
      </c>
      <c r="R918" s="41"/>
      <c r="S918" s="6">
        <f t="shared" si="14"/>
        <v>50</v>
      </c>
      <c r="T918" s="40"/>
      <c r="U918" s="40"/>
      <c r="V918" s="40"/>
      <c r="W918" s="6" t="s">
        <v>236</v>
      </c>
      <c r="X918" s="6" t="s">
        <v>236</v>
      </c>
      <c r="Y918" s="6" t="s">
        <v>236</v>
      </c>
      <c r="Z918" s="6" t="s">
        <v>236</v>
      </c>
      <c r="AA918" s="6" t="s">
        <v>236</v>
      </c>
    </row>
    <row r="919" spans="1:27">
      <c r="A919" s="6">
        <v>918</v>
      </c>
      <c r="B919" s="40" t="s">
        <v>346</v>
      </c>
      <c r="C919" s="47">
        <v>46153</v>
      </c>
      <c r="D919" s="40" t="s">
        <v>226</v>
      </c>
      <c r="E919" s="6" t="s">
        <v>2712</v>
      </c>
      <c r="F919" s="40" t="s">
        <v>746</v>
      </c>
      <c r="G919" s="41">
        <v>11</v>
      </c>
      <c r="H919" s="42" t="s">
        <v>3300</v>
      </c>
      <c r="I919" s="42">
        <v>9959878228</v>
      </c>
      <c r="J919" s="43" t="s">
        <v>3301</v>
      </c>
      <c r="K919" s="43" t="s">
        <v>3301</v>
      </c>
      <c r="L919" s="41">
        <v>50</v>
      </c>
      <c r="M919" s="41">
        <v>50</v>
      </c>
      <c r="N919" s="7" t="s">
        <v>239</v>
      </c>
      <c r="O919" s="6" t="s">
        <v>239</v>
      </c>
      <c r="P919" s="6" t="s">
        <v>239</v>
      </c>
      <c r="Q919" s="6" t="s">
        <v>236</v>
      </c>
      <c r="R919" s="41"/>
      <c r="S919" s="6">
        <f t="shared" si="14"/>
        <v>50</v>
      </c>
      <c r="T919" s="40"/>
      <c r="U919" s="40"/>
      <c r="V919" s="40"/>
      <c r="W919" s="6" t="s">
        <v>236</v>
      </c>
      <c r="X919" s="6" t="s">
        <v>236</v>
      </c>
      <c r="Y919" s="6" t="s">
        <v>236</v>
      </c>
      <c r="Z919" s="6" t="s">
        <v>236</v>
      </c>
      <c r="AA919" s="6" t="s">
        <v>236</v>
      </c>
    </row>
    <row r="920" spans="1:27">
      <c r="A920" s="6">
        <v>919</v>
      </c>
      <c r="B920" s="40" t="s">
        <v>346</v>
      </c>
      <c r="C920" s="47">
        <v>46153</v>
      </c>
      <c r="D920" s="40" t="s">
        <v>226</v>
      </c>
      <c r="E920" s="6" t="s">
        <v>2712</v>
      </c>
      <c r="F920" s="40" t="s">
        <v>746</v>
      </c>
      <c r="G920" s="41">
        <v>11</v>
      </c>
      <c r="H920" s="42" t="s">
        <v>3302</v>
      </c>
      <c r="I920" s="42">
        <v>9384611063</v>
      </c>
      <c r="J920" s="43" t="s">
        <v>3303</v>
      </c>
      <c r="K920" s="43" t="s">
        <v>3303</v>
      </c>
      <c r="L920" s="41">
        <v>330</v>
      </c>
      <c r="M920" s="41">
        <v>330</v>
      </c>
      <c r="N920" s="7" t="s">
        <v>239</v>
      </c>
      <c r="O920" s="6" t="s">
        <v>239</v>
      </c>
      <c r="P920" s="6" t="s">
        <v>239</v>
      </c>
      <c r="Q920" s="6" t="s">
        <v>236</v>
      </c>
      <c r="R920" s="41"/>
      <c r="S920" s="6">
        <f t="shared" si="14"/>
        <v>330</v>
      </c>
      <c r="T920" s="40"/>
      <c r="U920" s="40"/>
      <c r="V920" s="40"/>
      <c r="W920" s="6" t="s">
        <v>236</v>
      </c>
      <c r="X920" s="6" t="s">
        <v>236</v>
      </c>
      <c r="Y920" s="6" t="s">
        <v>236</v>
      </c>
      <c r="Z920" s="6" t="s">
        <v>236</v>
      </c>
      <c r="AA920" s="6" t="s">
        <v>236</v>
      </c>
    </row>
    <row r="921" spans="1:27">
      <c r="A921" s="6">
        <v>920</v>
      </c>
      <c r="B921" s="40" t="s">
        <v>346</v>
      </c>
      <c r="C921" s="47">
        <v>46153</v>
      </c>
      <c r="D921" s="40" t="s">
        <v>226</v>
      </c>
      <c r="E921" s="6" t="s">
        <v>2712</v>
      </c>
      <c r="F921" s="40" t="s">
        <v>746</v>
      </c>
      <c r="G921" s="41">
        <v>11</v>
      </c>
      <c r="H921" s="42" t="s">
        <v>3304</v>
      </c>
      <c r="I921" s="42">
        <v>7032898440</v>
      </c>
      <c r="J921" s="43" t="s">
        <v>3305</v>
      </c>
      <c r="K921" s="43" t="s">
        <v>3305</v>
      </c>
      <c r="L921" s="41">
        <v>2250</v>
      </c>
      <c r="M921" s="41">
        <v>2250</v>
      </c>
      <c r="N921" s="7" t="s">
        <v>239</v>
      </c>
      <c r="O921" s="6" t="s">
        <v>239</v>
      </c>
      <c r="P921" s="6" t="s">
        <v>239</v>
      </c>
      <c r="Q921" s="6" t="s">
        <v>236</v>
      </c>
      <c r="R921" s="41"/>
      <c r="S921" s="6">
        <f t="shared" si="14"/>
        <v>2250</v>
      </c>
      <c r="T921" s="40"/>
      <c r="U921" s="40"/>
      <c r="V921" s="40"/>
      <c r="W921" s="6" t="s">
        <v>236</v>
      </c>
      <c r="X921" s="6" t="s">
        <v>236</v>
      </c>
      <c r="Y921" s="6" t="s">
        <v>236</v>
      </c>
      <c r="Z921" s="6" t="s">
        <v>236</v>
      </c>
      <c r="AA921" s="6" t="s">
        <v>236</v>
      </c>
    </row>
    <row r="922" spans="1:27" ht="18.75">
      <c r="A922" s="6">
        <v>921</v>
      </c>
      <c r="B922" s="40" t="s">
        <v>346</v>
      </c>
      <c r="C922" s="47">
        <v>46153</v>
      </c>
      <c r="D922" s="40" t="s">
        <v>226</v>
      </c>
      <c r="E922" s="6" t="s">
        <v>2712</v>
      </c>
      <c r="F922" s="40" t="s">
        <v>364</v>
      </c>
      <c r="G922" s="41">
        <v>11</v>
      </c>
      <c r="H922" s="37" t="s">
        <v>3306</v>
      </c>
      <c r="I922" s="37" t="s">
        <v>3307</v>
      </c>
      <c r="J922" s="37" t="s">
        <v>3308</v>
      </c>
      <c r="K922" s="37" t="s">
        <v>3308</v>
      </c>
      <c r="L922" s="37">
        <v>8940</v>
      </c>
      <c r="M922" s="37">
        <v>8940</v>
      </c>
      <c r="N922" s="7" t="s">
        <v>239</v>
      </c>
      <c r="O922" s="40" t="s">
        <v>239</v>
      </c>
      <c r="P922" s="40" t="s">
        <v>239</v>
      </c>
      <c r="Q922" s="40" t="s">
        <v>665</v>
      </c>
      <c r="R922" s="41"/>
      <c r="S922" s="6">
        <f t="shared" si="14"/>
        <v>8940</v>
      </c>
      <c r="T922" s="40"/>
      <c r="U922" s="40"/>
      <c r="V922" s="40"/>
      <c r="W922" s="37" t="s">
        <v>1398</v>
      </c>
      <c r="X922" s="37" t="s">
        <v>860</v>
      </c>
      <c r="Y922" s="37" t="s">
        <v>3309</v>
      </c>
      <c r="Z922" s="40" t="s">
        <v>3310</v>
      </c>
      <c r="AA922" s="40" t="s">
        <v>373</v>
      </c>
    </row>
    <row r="923" spans="1:27" ht="18.75">
      <c r="A923" s="6">
        <v>922</v>
      </c>
      <c r="B923" s="40" t="s">
        <v>346</v>
      </c>
      <c r="C923" s="47">
        <v>46153</v>
      </c>
      <c r="D923" s="40" t="s">
        <v>226</v>
      </c>
      <c r="E923" s="6" t="s">
        <v>2712</v>
      </c>
      <c r="F923" s="40" t="s">
        <v>336</v>
      </c>
      <c r="G923" s="41">
        <v>11</v>
      </c>
      <c r="H923" s="53" t="s">
        <v>3311</v>
      </c>
      <c r="I923" s="53" t="s">
        <v>3312</v>
      </c>
      <c r="J923" s="54" t="s">
        <v>3313</v>
      </c>
      <c r="K923" s="54" t="s">
        <v>3313</v>
      </c>
      <c r="L923" s="55">
        <v>12540</v>
      </c>
      <c r="M923" s="55">
        <v>12540</v>
      </c>
      <c r="N923" s="7" t="s">
        <v>239</v>
      </c>
      <c r="O923" s="40" t="s">
        <v>239</v>
      </c>
      <c r="P923" s="40" t="s">
        <v>239</v>
      </c>
      <c r="Q923" s="40" t="s">
        <v>3037</v>
      </c>
      <c r="R923" s="41"/>
      <c r="S923" s="6">
        <f t="shared" si="14"/>
        <v>12540</v>
      </c>
      <c r="T923" s="40"/>
      <c r="U923" s="40"/>
      <c r="V923" s="40"/>
      <c r="W923" s="53" t="s">
        <v>342</v>
      </c>
      <c r="X923" s="53" t="s">
        <v>3314</v>
      </c>
      <c r="Y923" s="53" t="s">
        <v>3315</v>
      </c>
      <c r="Z923" s="40" t="s">
        <v>3316</v>
      </c>
      <c r="AA923" s="40" t="s">
        <v>235</v>
      </c>
    </row>
    <row r="924" spans="1:27" ht="18.75">
      <c r="A924" s="6">
        <v>923</v>
      </c>
      <c r="B924" s="40" t="s">
        <v>346</v>
      </c>
      <c r="C924" s="47">
        <v>46153</v>
      </c>
      <c r="D924" s="40" t="s">
        <v>226</v>
      </c>
      <c r="E924" s="6" t="s">
        <v>2712</v>
      </c>
      <c r="F924" s="40" t="s">
        <v>336</v>
      </c>
      <c r="G924" s="41">
        <v>11</v>
      </c>
      <c r="H924" s="53" t="s">
        <v>3317</v>
      </c>
      <c r="I924" s="53" t="s">
        <v>3318</v>
      </c>
      <c r="J924" s="54" t="s">
        <v>3319</v>
      </c>
      <c r="K924" s="54" t="s">
        <v>3319</v>
      </c>
      <c r="L924" s="55">
        <v>2770</v>
      </c>
      <c r="M924" s="55">
        <v>2770</v>
      </c>
      <c r="N924" s="7" t="s">
        <v>239</v>
      </c>
      <c r="O924" s="40" t="s">
        <v>239</v>
      </c>
      <c r="P924" s="40" t="s">
        <v>239</v>
      </c>
      <c r="Q924" s="40" t="s">
        <v>3037</v>
      </c>
      <c r="R924" s="41"/>
      <c r="S924" s="6">
        <f t="shared" si="14"/>
        <v>2770</v>
      </c>
      <c r="T924" s="40"/>
      <c r="U924" s="40"/>
      <c r="V924" s="40"/>
      <c r="W924" s="53" t="s">
        <v>342</v>
      </c>
      <c r="X924" s="53" t="s">
        <v>370</v>
      </c>
      <c r="Y924" s="53" t="s">
        <v>3320</v>
      </c>
      <c r="Z924" s="40" t="s">
        <v>211</v>
      </c>
      <c r="AA924" s="40" t="s">
        <v>235</v>
      </c>
    </row>
    <row r="925" spans="1:27">
      <c r="A925" s="6">
        <v>924</v>
      </c>
      <c r="B925" s="40" t="s">
        <v>346</v>
      </c>
      <c r="C925" s="47">
        <v>46154</v>
      </c>
      <c r="D925" s="40" t="s">
        <v>226</v>
      </c>
      <c r="E925" s="6" t="s">
        <v>2712</v>
      </c>
      <c r="F925" s="40" t="s">
        <v>746</v>
      </c>
      <c r="G925" s="41">
        <v>12</v>
      </c>
      <c r="H925" s="42" t="s">
        <v>3321</v>
      </c>
      <c r="I925" s="42">
        <v>8052520270</v>
      </c>
      <c r="J925" s="43" t="s">
        <v>3322</v>
      </c>
      <c r="K925" s="43" t="s">
        <v>3322</v>
      </c>
      <c r="L925" s="42">
        <v>2800</v>
      </c>
      <c r="M925" s="42">
        <v>2800</v>
      </c>
      <c r="N925" s="7" t="s">
        <v>239</v>
      </c>
      <c r="O925" s="6" t="s">
        <v>239</v>
      </c>
      <c r="P925" s="6" t="s">
        <v>239</v>
      </c>
      <c r="Q925" s="6" t="s">
        <v>236</v>
      </c>
      <c r="R925" s="41"/>
      <c r="S925" s="6">
        <f t="shared" si="14"/>
        <v>2800</v>
      </c>
      <c r="T925" s="40"/>
      <c r="U925" s="40"/>
      <c r="V925" s="40"/>
      <c r="W925" s="6" t="s">
        <v>236</v>
      </c>
      <c r="X925" s="6" t="s">
        <v>236</v>
      </c>
      <c r="Y925" s="6" t="s">
        <v>236</v>
      </c>
      <c r="Z925" s="6" t="s">
        <v>236</v>
      </c>
      <c r="AA925" s="6" t="s">
        <v>236</v>
      </c>
    </row>
    <row r="926" spans="1:27">
      <c r="A926" s="6">
        <v>925</v>
      </c>
      <c r="B926" s="40" t="s">
        <v>346</v>
      </c>
      <c r="C926" s="47">
        <v>46154</v>
      </c>
      <c r="D926" s="40" t="s">
        <v>226</v>
      </c>
      <c r="E926" s="6" t="s">
        <v>2712</v>
      </c>
      <c r="F926" s="40" t="s">
        <v>746</v>
      </c>
      <c r="G926" s="41">
        <v>12</v>
      </c>
      <c r="H926" s="42" t="s">
        <v>3323</v>
      </c>
      <c r="I926" s="42">
        <v>7358224425</v>
      </c>
      <c r="J926" s="43" t="s">
        <v>3324</v>
      </c>
      <c r="K926" s="43" t="s">
        <v>3324</v>
      </c>
      <c r="L926" s="42">
        <v>3900</v>
      </c>
      <c r="M926" s="42">
        <v>3900</v>
      </c>
      <c r="N926" s="7" t="s">
        <v>239</v>
      </c>
      <c r="O926" s="6" t="s">
        <v>239</v>
      </c>
      <c r="P926" s="6" t="s">
        <v>239</v>
      </c>
      <c r="Q926" s="6" t="s">
        <v>236</v>
      </c>
      <c r="R926" s="41"/>
      <c r="S926" s="6">
        <f t="shared" si="14"/>
        <v>3900</v>
      </c>
      <c r="T926" s="40"/>
      <c r="U926" s="40"/>
      <c r="V926" s="40"/>
      <c r="W926" s="6" t="s">
        <v>236</v>
      </c>
      <c r="X926" s="6" t="s">
        <v>236</v>
      </c>
      <c r="Y926" s="6" t="s">
        <v>236</v>
      </c>
      <c r="Z926" s="6" t="s">
        <v>236</v>
      </c>
      <c r="AA926" s="6" t="s">
        <v>236</v>
      </c>
    </row>
    <row r="927" spans="1:27">
      <c r="A927" s="6">
        <v>926</v>
      </c>
      <c r="B927" s="40" t="s">
        <v>346</v>
      </c>
      <c r="C927" s="47">
        <v>46154</v>
      </c>
      <c r="D927" s="40" t="s">
        <v>226</v>
      </c>
      <c r="E927" s="6" t="s">
        <v>2712</v>
      </c>
      <c r="F927" s="40" t="s">
        <v>746</v>
      </c>
      <c r="G927" s="41">
        <v>12</v>
      </c>
      <c r="H927" s="42" t="s">
        <v>3325</v>
      </c>
      <c r="I927" s="42">
        <v>9989993111</v>
      </c>
      <c r="J927" s="43" t="s">
        <v>3326</v>
      </c>
      <c r="K927" s="43" t="s">
        <v>3326</v>
      </c>
      <c r="L927" s="42">
        <v>3430</v>
      </c>
      <c r="M927" s="42">
        <v>3430</v>
      </c>
      <c r="N927" s="7" t="s">
        <v>239</v>
      </c>
      <c r="O927" s="6" t="s">
        <v>239</v>
      </c>
      <c r="P927" s="6" t="s">
        <v>239</v>
      </c>
      <c r="Q927" s="6" t="s">
        <v>236</v>
      </c>
      <c r="R927" s="41"/>
      <c r="S927" s="6">
        <f t="shared" si="14"/>
        <v>3430</v>
      </c>
      <c r="T927" s="40"/>
      <c r="U927" s="40"/>
      <c r="V927" s="40"/>
      <c r="W927" s="6" t="s">
        <v>236</v>
      </c>
      <c r="X927" s="6" t="s">
        <v>236</v>
      </c>
      <c r="Y927" s="6" t="s">
        <v>236</v>
      </c>
      <c r="Z927" s="6" t="s">
        <v>236</v>
      </c>
      <c r="AA927" s="6" t="s">
        <v>236</v>
      </c>
    </row>
    <row r="928" spans="1:27">
      <c r="A928" s="6">
        <v>927</v>
      </c>
      <c r="B928" s="40" t="s">
        <v>346</v>
      </c>
      <c r="C928" s="47">
        <v>46154</v>
      </c>
      <c r="D928" s="40" t="s">
        <v>226</v>
      </c>
      <c r="E928" s="6" t="s">
        <v>2712</v>
      </c>
      <c r="F928" s="40" t="s">
        <v>746</v>
      </c>
      <c r="G928" s="41">
        <v>12</v>
      </c>
      <c r="H928" s="42" t="s">
        <v>3327</v>
      </c>
      <c r="I928" s="42">
        <v>7097223575</v>
      </c>
      <c r="J928" s="43" t="s">
        <v>3328</v>
      </c>
      <c r="K928" s="43" t="s">
        <v>3328</v>
      </c>
      <c r="L928" s="42">
        <v>3635</v>
      </c>
      <c r="M928" s="42">
        <v>3635</v>
      </c>
      <c r="N928" s="7" t="s">
        <v>239</v>
      </c>
      <c r="O928" s="6" t="s">
        <v>239</v>
      </c>
      <c r="P928" s="6" t="s">
        <v>239</v>
      </c>
      <c r="Q928" s="6" t="s">
        <v>236</v>
      </c>
      <c r="R928" s="41"/>
      <c r="S928" s="6">
        <f t="shared" si="14"/>
        <v>3635</v>
      </c>
      <c r="T928" s="40"/>
      <c r="U928" s="40"/>
      <c r="V928" s="40"/>
      <c r="W928" s="6" t="s">
        <v>236</v>
      </c>
      <c r="X928" s="6" t="s">
        <v>236</v>
      </c>
      <c r="Y928" s="6" t="s">
        <v>236</v>
      </c>
      <c r="Z928" s="6" t="s">
        <v>236</v>
      </c>
      <c r="AA928" s="6" t="s">
        <v>236</v>
      </c>
    </row>
    <row r="929" spans="1:27">
      <c r="A929" s="6">
        <v>928</v>
      </c>
      <c r="B929" s="40" t="s">
        <v>346</v>
      </c>
      <c r="C929" s="47">
        <v>46154</v>
      </c>
      <c r="D929" s="40" t="s">
        <v>226</v>
      </c>
      <c r="E929" s="6" t="s">
        <v>2712</v>
      </c>
      <c r="F929" s="40" t="s">
        <v>746</v>
      </c>
      <c r="G929" s="41">
        <v>12</v>
      </c>
      <c r="H929" s="42" t="s">
        <v>3329</v>
      </c>
      <c r="I929" s="42">
        <v>9629645916</v>
      </c>
      <c r="J929" s="43" t="s">
        <v>3330</v>
      </c>
      <c r="K929" s="43" t="s">
        <v>3330</v>
      </c>
      <c r="L929" s="42">
        <v>2930</v>
      </c>
      <c r="M929" s="42">
        <v>2930</v>
      </c>
      <c r="N929" s="7" t="s">
        <v>239</v>
      </c>
      <c r="O929" s="6" t="s">
        <v>239</v>
      </c>
      <c r="P929" s="6" t="s">
        <v>239</v>
      </c>
      <c r="Q929" s="6" t="s">
        <v>236</v>
      </c>
      <c r="R929" s="41"/>
      <c r="S929" s="6">
        <f t="shared" si="14"/>
        <v>2930</v>
      </c>
      <c r="T929" s="40"/>
      <c r="U929" s="40"/>
      <c r="V929" s="40"/>
      <c r="W929" s="6" t="s">
        <v>236</v>
      </c>
      <c r="X929" s="6" t="s">
        <v>236</v>
      </c>
      <c r="Y929" s="6" t="s">
        <v>236</v>
      </c>
      <c r="Z929" s="6" t="s">
        <v>236</v>
      </c>
      <c r="AA929" s="6" t="s">
        <v>236</v>
      </c>
    </row>
    <row r="930" spans="1:27">
      <c r="A930" s="6">
        <v>929</v>
      </c>
      <c r="B930" s="40" t="s">
        <v>346</v>
      </c>
      <c r="C930" s="47">
        <v>46154</v>
      </c>
      <c r="D930" s="40" t="s">
        <v>226</v>
      </c>
      <c r="E930" s="6" t="s">
        <v>2712</v>
      </c>
      <c r="F930" s="40" t="s">
        <v>746</v>
      </c>
      <c r="G930" s="41">
        <v>12</v>
      </c>
      <c r="H930" s="42" t="s">
        <v>3331</v>
      </c>
      <c r="I930" s="42">
        <v>9966574043</v>
      </c>
      <c r="J930" s="43" t="s">
        <v>3332</v>
      </c>
      <c r="K930" s="43" t="s">
        <v>3332</v>
      </c>
      <c r="L930" s="42">
        <v>2500</v>
      </c>
      <c r="M930" s="42">
        <v>2500</v>
      </c>
      <c r="N930" s="7" t="s">
        <v>239</v>
      </c>
      <c r="O930" s="6" t="s">
        <v>239</v>
      </c>
      <c r="P930" s="6" t="s">
        <v>239</v>
      </c>
      <c r="Q930" s="6" t="s">
        <v>236</v>
      </c>
      <c r="R930" s="41"/>
      <c r="S930" s="6">
        <f t="shared" si="14"/>
        <v>2500</v>
      </c>
      <c r="T930" s="40"/>
      <c r="U930" s="40"/>
      <c r="V930" s="40"/>
      <c r="W930" s="6" t="s">
        <v>236</v>
      </c>
      <c r="X930" s="6" t="s">
        <v>236</v>
      </c>
      <c r="Y930" s="6" t="s">
        <v>236</v>
      </c>
      <c r="Z930" s="6" t="s">
        <v>236</v>
      </c>
      <c r="AA930" s="6" t="s">
        <v>236</v>
      </c>
    </row>
    <row r="931" spans="1:27">
      <c r="A931" s="6">
        <v>930</v>
      </c>
      <c r="B931" s="40" t="s">
        <v>346</v>
      </c>
      <c r="C931" s="47">
        <v>46154</v>
      </c>
      <c r="D931" s="40" t="s">
        <v>226</v>
      </c>
      <c r="E931" s="6" t="s">
        <v>2712</v>
      </c>
      <c r="F931" s="40" t="s">
        <v>746</v>
      </c>
      <c r="G931" s="41">
        <v>12</v>
      </c>
      <c r="H931" s="42" t="s">
        <v>3333</v>
      </c>
      <c r="I931" s="42">
        <v>9398433098</v>
      </c>
      <c r="J931" s="43" t="s">
        <v>3334</v>
      </c>
      <c r="K931" s="43" t="s">
        <v>3334</v>
      </c>
      <c r="L931" s="42">
        <v>380</v>
      </c>
      <c r="M931" s="42">
        <v>380</v>
      </c>
      <c r="N931" s="7" t="s">
        <v>239</v>
      </c>
      <c r="O931" s="6" t="s">
        <v>239</v>
      </c>
      <c r="P931" s="6" t="s">
        <v>239</v>
      </c>
      <c r="Q931" s="6" t="s">
        <v>236</v>
      </c>
      <c r="R931" s="41"/>
      <c r="S931" s="6">
        <f t="shared" si="14"/>
        <v>380</v>
      </c>
      <c r="T931" s="40"/>
      <c r="U931" s="40"/>
      <c r="V931" s="40"/>
      <c r="W931" s="6" t="s">
        <v>236</v>
      </c>
      <c r="X931" s="6" t="s">
        <v>236</v>
      </c>
      <c r="Y931" s="6" t="s">
        <v>236</v>
      </c>
      <c r="Z931" s="6" t="s">
        <v>236</v>
      </c>
      <c r="AA931" s="6" t="s">
        <v>236</v>
      </c>
    </row>
    <row r="932" spans="1:27">
      <c r="A932" s="6">
        <v>931</v>
      </c>
      <c r="B932" s="40" t="s">
        <v>346</v>
      </c>
      <c r="C932" s="47">
        <v>46154</v>
      </c>
      <c r="D932" s="40" t="s">
        <v>226</v>
      </c>
      <c r="E932" s="6" t="s">
        <v>2712</v>
      </c>
      <c r="F932" s="40" t="s">
        <v>746</v>
      </c>
      <c r="G932" s="41">
        <v>12</v>
      </c>
      <c r="H932" s="42" t="s">
        <v>3335</v>
      </c>
      <c r="I932" s="42">
        <v>7981559123</v>
      </c>
      <c r="J932" s="43" t="s">
        <v>3336</v>
      </c>
      <c r="K932" s="43" t="s">
        <v>3336</v>
      </c>
      <c r="L932" s="42">
        <v>370</v>
      </c>
      <c r="M932" s="42">
        <v>370</v>
      </c>
      <c r="N932" s="7" t="s">
        <v>239</v>
      </c>
      <c r="O932" s="6" t="s">
        <v>239</v>
      </c>
      <c r="P932" s="6" t="s">
        <v>239</v>
      </c>
      <c r="Q932" s="6" t="s">
        <v>236</v>
      </c>
      <c r="R932" s="41"/>
      <c r="S932" s="6">
        <f t="shared" si="14"/>
        <v>370</v>
      </c>
      <c r="T932" s="40"/>
      <c r="U932" s="40"/>
      <c r="V932" s="40"/>
      <c r="W932" s="6" t="s">
        <v>236</v>
      </c>
      <c r="X932" s="6" t="s">
        <v>236</v>
      </c>
      <c r="Y932" s="6" t="s">
        <v>236</v>
      </c>
      <c r="Z932" s="6" t="s">
        <v>236</v>
      </c>
      <c r="AA932" s="6" t="s">
        <v>236</v>
      </c>
    </row>
    <row r="933" spans="1:27">
      <c r="A933" s="6">
        <v>932</v>
      </c>
      <c r="B933" s="40" t="s">
        <v>346</v>
      </c>
      <c r="C933" s="47">
        <v>46154</v>
      </c>
      <c r="D933" s="40" t="s">
        <v>226</v>
      </c>
      <c r="E933" s="6" t="s">
        <v>2712</v>
      </c>
      <c r="F933" s="40" t="s">
        <v>746</v>
      </c>
      <c r="G933" s="41">
        <v>12</v>
      </c>
      <c r="H933" s="42" t="s">
        <v>3337</v>
      </c>
      <c r="I933" s="42">
        <v>9600452299</v>
      </c>
      <c r="J933" s="43" t="s">
        <v>3338</v>
      </c>
      <c r="K933" s="43" t="s">
        <v>3338</v>
      </c>
      <c r="L933" s="42">
        <v>410</v>
      </c>
      <c r="M933" s="42">
        <v>410</v>
      </c>
      <c r="N933" s="7" t="s">
        <v>239</v>
      </c>
      <c r="O933" s="6" t="s">
        <v>239</v>
      </c>
      <c r="P933" s="6" t="s">
        <v>239</v>
      </c>
      <c r="Q933" s="6" t="s">
        <v>236</v>
      </c>
      <c r="R933" s="41"/>
      <c r="S933" s="6">
        <f t="shared" si="14"/>
        <v>410</v>
      </c>
      <c r="T933" s="40"/>
      <c r="U933" s="40"/>
      <c r="V933" s="40"/>
      <c r="W933" s="6" t="s">
        <v>236</v>
      </c>
      <c r="X933" s="6" t="s">
        <v>236</v>
      </c>
      <c r="Y933" s="6" t="s">
        <v>236</v>
      </c>
      <c r="Z933" s="6" t="s">
        <v>236</v>
      </c>
      <c r="AA933" s="6" t="s">
        <v>236</v>
      </c>
    </row>
    <row r="934" spans="1:27">
      <c r="A934" s="6">
        <v>933</v>
      </c>
      <c r="B934" s="40" t="s">
        <v>346</v>
      </c>
      <c r="C934" s="47">
        <v>46154</v>
      </c>
      <c r="D934" s="40" t="s">
        <v>226</v>
      </c>
      <c r="E934" s="6" t="s">
        <v>2712</v>
      </c>
      <c r="F934" s="40" t="s">
        <v>746</v>
      </c>
      <c r="G934" s="41">
        <v>12</v>
      </c>
      <c r="H934" s="42" t="s">
        <v>3339</v>
      </c>
      <c r="I934" s="42">
        <v>9391693753</v>
      </c>
      <c r="J934" s="43" t="s">
        <v>3340</v>
      </c>
      <c r="K934" s="43" t="s">
        <v>3340</v>
      </c>
      <c r="L934" s="42">
        <v>1220</v>
      </c>
      <c r="M934" s="42">
        <v>1220</v>
      </c>
      <c r="N934" s="7" t="s">
        <v>239</v>
      </c>
      <c r="O934" s="6" t="s">
        <v>239</v>
      </c>
      <c r="P934" s="6" t="s">
        <v>239</v>
      </c>
      <c r="Q934" s="6" t="s">
        <v>236</v>
      </c>
      <c r="R934" s="41"/>
      <c r="S934" s="6">
        <f t="shared" si="14"/>
        <v>1220</v>
      </c>
      <c r="T934" s="40"/>
      <c r="U934" s="40"/>
      <c r="V934" s="40"/>
      <c r="W934" s="6" t="s">
        <v>236</v>
      </c>
      <c r="X934" s="6" t="s">
        <v>236</v>
      </c>
      <c r="Y934" s="6" t="s">
        <v>236</v>
      </c>
      <c r="Z934" s="6" t="s">
        <v>236</v>
      </c>
      <c r="AA934" s="6" t="s">
        <v>236</v>
      </c>
    </row>
    <row r="935" spans="1:27">
      <c r="A935" s="6">
        <v>934</v>
      </c>
      <c r="B935" s="40" t="s">
        <v>346</v>
      </c>
      <c r="C935" s="47">
        <v>46154</v>
      </c>
      <c r="D935" s="40" t="s">
        <v>226</v>
      </c>
      <c r="E935" s="6" t="s">
        <v>2712</v>
      </c>
      <c r="F935" s="40" t="s">
        <v>746</v>
      </c>
      <c r="G935" s="41">
        <v>12</v>
      </c>
      <c r="H935" s="42" t="s">
        <v>3341</v>
      </c>
      <c r="I935" s="42">
        <v>9841144964</v>
      </c>
      <c r="J935" s="43" t="s">
        <v>3342</v>
      </c>
      <c r="K935" s="43" t="s">
        <v>3342</v>
      </c>
      <c r="L935" s="42">
        <v>376</v>
      </c>
      <c r="M935" s="42">
        <v>376</v>
      </c>
      <c r="N935" s="7" t="s">
        <v>239</v>
      </c>
      <c r="O935" s="6" t="s">
        <v>239</v>
      </c>
      <c r="P935" s="6" t="s">
        <v>239</v>
      </c>
      <c r="Q935" s="6" t="s">
        <v>236</v>
      </c>
      <c r="R935" s="41"/>
      <c r="S935" s="6">
        <f t="shared" si="14"/>
        <v>376</v>
      </c>
      <c r="T935" s="40"/>
      <c r="U935" s="40"/>
      <c r="V935" s="40"/>
      <c r="W935" s="6" t="s">
        <v>236</v>
      </c>
      <c r="X935" s="6" t="s">
        <v>236</v>
      </c>
      <c r="Y935" s="6" t="s">
        <v>236</v>
      </c>
      <c r="Z935" s="6" t="s">
        <v>236</v>
      </c>
      <c r="AA935" s="6" t="s">
        <v>236</v>
      </c>
    </row>
    <row r="936" spans="1:27">
      <c r="A936" s="6">
        <v>935</v>
      </c>
      <c r="B936" s="40" t="s">
        <v>346</v>
      </c>
      <c r="C936" s="47">
        <v>46154</v>
      </c>
      <c r="D936" s="40" t="s">
        <v>226</v>
      </c>
      <c r="E936" s="6" t="s">
        <v>2712</v>
      </c>
      <c r="F936" s="40" t="s">
        <v>746</v>
      </c>
      <c r="G936" s="41">
        <v>12</v>
      </c>
      <c r="H936" s="42" t="s">
        <v>3343</v>
      </c>
      <c r="I936" s="42">
        <v>8878921475</v>
      </c>
      <c r="J936" s="43" t="s">
        <v>3344</v>
      </c>
      <c r="K936" s="43" t="s">
        <v>3344</v>
      </c>
      <c r="L936" s="42">
        <v>1170</v>
      </c>
      <c r="M936" s="42">
        <v>1170</v>
      </c>
      <c r="N936" s="7" t="s">
        <v>239</v>
      </c>
      <c r="O936" s="6" t="s">
        <v>239</v>
      </c>
      <c r="P936" s="6" t="s">
        <v>239</v>
      </c>
      <c r="Q936" s="6" t="s">
        <v>236</v>
      </c>
      <c r="R936" s="41"/>
      <c r="S936" s="6">
        <f t="shared" si="14"/>
        <v>1170</v>
      </c>
      <c r="T936" s="40"/>
      <c r="U936" s="40"/>
      <c r="V936" s="40"/>
      <c r="W936" s="6" t="s">
        <v>236</v>
      </c>
      <c r="X936" s="6" t="s">
        <v>236</v>
      </c>
      <c r="Y936" s="6" t="s">
        <v>236</v>
      </c>
      <c r="Z936" s="6" t="s">
        <v>236</v>
      </c>
      <c r="AA936" s="6" t="s">
        <v>236</v>
      </c>
    </row>
    <row r="937" spans="1:27">
      <c r="A937" s="6">
        <v>936</v>
      </c>
      <c r="B937" s="40" t="s">
        <v>346</v>
      </c>
      <c r="C937" s="47">
        <v>46154</v>
      </c>
      <c r="D937" s="40" t="s">
        <v>226</v>
      </c>
      <c r="E937" s="6" t="s">
        <v>2712</v>
      </c>
      <c r="F937" s="40" t="s">
        <v>746</v>
      </c>
      <c r="G937" s="41">
        <v>12</v>
      </c>
      <c r="H937" s="42" t="s">
        <v>3345</v>
      </c>
      <c r="I937" s="42">
        <v>9014767192</v>
      </c>
      <c r="J937" s="43" t="s">
        <v>3346</v>
      </c>
      <c r="K937" s="43" t="s">
        <v>3346</v>
      </c>
      <c r="L937" s="42">
        <v>100</v>
      </c>
      <c r="M937" s="42">
        <v>100</v>
      </c>
      <c r="N937" s="7" t="s">
        <v>239</v>
      </c>
      <c r="O937" s="6" t="s">
        <v>239</v>
      </c>
      <c r="P937" s="6" t="s">
        <v>239</v>
      </c>
      <c r="Q937" s="6" t="s">
        <v>236</v>
      </c>
      <c r="R937" s="41"/>
      <c r="S937" s="6">
        <f t="shared" si="14"/>
        <v>100</v>
      </c>
      <c r="T937" s="40"/>
      <c r="U937" s="40"/>
      <c r="V937" s="40"/>
      <c r="W937" s="6" t="s">
        <v>236</v>
      </c>
      <c r="X937" s="6" t="s">
        <v>236</v>
      </c>
      <c r="Y937" s="6" t="s">
        <v>236</v>
      </c>
      <c r="Z937" s="6" t="s">
        <v>236</v>
      </c>
      <c r="AA937" s="6" t="s">
        <v>236</v>
      </c>
    </row>
    <row r="938" spans="1:27">
      <c r="A938" s="6">
        <v>937</v>
      </c>
      <c r="B938" s="40" t="s">
        <v>346</v>
      </c>
      <c r="C938" s="47">
        <v>46154</v>
      </c>
      <c r="D938" s="40" t="s">
        <v>226</v>
      </c>
      <c r="E938" s="6" t="s">
        <v>2712</v>
      </c>
      <c r="F938" s="40" t="s">
        <v>746</v>
      </c>
      <c r="G938" s="41">
        <v>12</v>
      </c>
      <c r="H938" s="42" t="s">
        <v>3347</v>
      </c>
      <c r="I938" s="42">
        <v>9666696619</v>
      </c>
      <c r="J938" s="43" t="s">
        <v>3348</v>
      </c>
      <c r="K938" s="43" t="s">
        <v>3348</v>
      </c>
      <c r="L938" s="42">
        <v>1358</v>
      </c>
      <c r="M938" s="42">
        <v>1358</v>
      </c>
      <c r="N938" s="7" t="s">
        <v>239</v>
      </c>
      <c r="O938" s="6" t="s">
        <v>239</v>
      </c>
      <c r="P938" s="6" t="s">
        <v>239</v>
      </c>
      <c r="Q938" s="6" t="s">
        <v>236</v>
      </c>
      <c r="R938" s="41"/>
      <c r="S938" s="6">
        <f t="shared" si="14"/>
        <v>1358</v>
      </c>
      <c r="T938" s="40"/>
      <c r="U938" s="40"/>
      <c r="V938" s="40"/>
      <c r="W938" s="6" t="s">
        <v>236</v>
      </c>
      <c r="X938" s="6" t="s">
        <v>236</v>
      </c>
      <c r="Y938" s="6" t="s">
        <v>236</v>
      </c>
      <c r="Z938" s="6" t="s">
        <v>236</v>
      </c>
      <c r="AA938" s="6" t="s">
        <v>236</v>
      </c>
    </row>
    <row r="939" spans="1:27">
      <c r="A939" s="6">
        <v>938</v>
      </c>
      <c r="B939" s="40" t="s">
        <v>346</v>
      </c>
      <c r="C939" s="47">
        <v>46154</v>
      </c>
      <c r="D939" s="40" t="s">
        <v>226</v>
      </c>
      <c r="E939" s="6" t="s">
        <v>2712</v>
      </c>
      <c r="F939" s="40" t="s">
        <v>746</v>
      </c>
      <c r="G939" s="41">
        <v>12</v>
      </c>
      <c r="H939" s="42" t="s">
        <v>3349</v>
      </c>
      <c r="I939" s="42">
        <v>9491650005</v>
      </c>
      <c r="J939" s="43" t="s">
        <v>3350</v>
      </c>
      <c r="K939" s="43" t="s">
        <v>3350</v>
      </c>
      <c r="L939" s="42">
        <v>1033</v>
      </c>
      <c r="M939" s="42">
        <v>1033</v>
      </c>
      <c r="N939" s="7" t="s">
        <v>239</v>
      </c>
      <c r="O939" s="6" t="s">
        <v>239</v>
      </c>
      <c r="P939" s="6" t="s">
        <v>239</v>
      </c>
      <c r="Q939" s="6" t="s">
        <v>236</v>
      </c>
      <c r="R939" s="41"/>
      <c r="S939" s="6">
        <f t="shared" si="14"/>
        <v>1033</v>
      </c>
      <c r="T939" s="40"/>
      <c r="U939" s="40"/>
      <c r="V939" s="40"/>
      <c r="W939" s="6" t="s">
        <v>236</v>
      </c>
      <c r="X939" s="6" t="s">
        <v>236</v>
      </c>
      <c r="Y939" s="6" t="s">
        <v>236</v>
      </c>
      <c r="Z939" s="6" t="s">
        <v>236</v>
      </c>
      <c r="AA939" s="6" t="s">
        <v>236</v>
      </c>
    </row>
    <row r="940" spans="1:27">
      <c r="A940" s="6">
        <v>939</v>
      </c>
      <c r="B940" s="40" t="s">
        <v>346</v>
      </c>
      <c r="C940" s="47">
        <v>46154</v>
      </c>
      <c r="D940" s="40" t="s">
        <v>226</v>
      </c>
      <c r="E940" s="6" t="s">
        <v>2712</v>
      </c>
      <c r="F940" s="40" t="s">
        <v>240</v>
      </c>
      <c r="G940" s="41">
        <v>12</v>
      </c>
      <c r="H940" s="42" t="s">
        <v>3351</v>
      </c>
      <c r="I940" s="42">
        <v>9949972427</v>
      </c>
      <c r="J940" s="43" t="s">
        <v>3352</v>
      </c>
      <c r="K940" s="43" t="s">
        <v>3352</v>
      </c>
      <c r="L940" s="42">
        <v>3730</v>
      </c>
      <c r="M940" s="42">
        <v>3730</v>
      </c>
      <c r="N940" s="7" t="s">
        <v>239</v>
      </c>
      <c r="O940" s="6" t="s">
        <v>239</v>
      </c>
      <c r="P940" s="6" t="s">
        <v>239</v>
      </c>
      <c r="Q940" s="6" t="s">
        <v>236</v>
      </c>
      <c r="R940" s="41"/>
      <c r="S940" s="6">
        <f t="shared" si="14"/>
        <v>3730</v>
      </c>
      <c r="T940" s="40"/>
      <c r="U940" s="40"/>
      <c r="V940" s="40"/>
      <c r="W940" s="6" t="s">
        <v>236</v>
      </c>
      <c r="X940" s="6" t="s">
        <v>236</v>
      </c>
      <c r="Y940" s="6" t="s">
        <v>236</v>
      </c>
      <c r="Z940" s="6" t="s">
        <v>236</v>
      </c>
      <c r="AA940" s="6" t="s">
        <v>236</v>
      </c>
    </row>
    <row r="941" spans="1:27">
      <c r="A941" s="6">
        <v>940</v>
      </c>
      <c r="B941" s="40" t="s">
        <v>346</v>
      </c>
      <c r="C941" s="47">
        <v>46154</v>
      </c>
      <c r="D941" s="40" t="s">
        <v>226</v>
      </c>
      <c r="E941" s="6" t="s">
        <v>2712</v>
      </c>
      <c r="F941" s="40" t="s">
        <v>240</v>
      </c>
      <c r="G941" s="41">
        <v>12</v>
      </c>
      <c r="H941" s="42" t="s">
        <v>3353</v>
      </c>
      <c r="I941" s="42">
        <v>8951087187</v>
      </c>
      <c r="J941" s="43" t="s">
        <v>3354</v>
      </c>
      <c r="K941" s="43" t="s">
        <v>3354</v>
      </c>
      <c r="L941" s="42">
        <v>2700</v>
      </c>
      <c r="M941" s="42">
        <v>2700</v>
      </c>
      <c r="N941" s="7" t="s">
        <v>239</v>
      </c>
      <c r="O941" s="6" t="s">
        <v>239</v>
      </c>
      <c r="P941" s="6" t="s">
        <v>239</v>
      </c>
      <c r="Q941" s="6" t="s">
        <v>236</v>
      </c>
      <c r="R941" s="41"/>
      <c r="S941" s="6">
        <f t="shared" si="14"/>
        <v>2700</v>
      </c>
      <c r="T941" s="40"/>
      <c r="U941" s="40"/>
      <c r="V941" s="40"/>
      <c r="W941" s="6" t="s">
        <v>236</v>
      </c>
      <c r="X941" s="6" t="s">
        <v>236</v>
      </c>
      <c r="Y941" s="6" t="s">
        <v>236</v>
      </c>
      <c r="Z941" s="6" t="s">
        <v>236</v>
      </c>
      <c r="AA941" s="6" t="s">
        <v>236</v>
      </c>
    </row>
    <row r="942" spans="1:27">
      <c r="A942" s="6">
        <v>941</v>
      </c>
      <c r="B942" s="40" t="s">
        <v>346</v>
      </c>
      <c r="C942" s="47">
        <v>46154</v>
      </c>
      <c r="D942" s="40" t="s">
        <v>226</v>
      </c>
      <c r="E942" s="6" t="s">
        <v>2712</v>
      </c>
      <c r="F942" s="40" t="s">
        <v>240</v>
      </c>
      <c r="G942" s="41">
        <v>12</v>
      </c>
      <c r="H942" s="42" t="s">
        <v>3355</v>
      </c>
      <c r="I942" s="42">
        <v>9597051692</v>
      </c>
      <c r="J942" s="43" t="s">
        <v>3356</v>
      </c>
      <c r="K942" s="43" t="s">
        <v>3356</v>
      </c>
      <c r="L942" s="42">
        <v>2160</v>
      </c>
      <c r="M942" s="42">
        <v>2160</v>
      </c>
      <c r="N942" s="7" t="s">
        <v>239</v>
      </c>
      <c r="O942" s="6" t="s">
        <v>239</v>
      </c>
      <c r="P942" s="6" t="s">
        <v>239</v>
      </c>
      <c r="Q942" s="6" t="s">
        <v>236</v>
      </c>
      <c r="R942" s="41"/>
      <c r="S942" s="6">
        <f t="shared" si="14"/>
        <v>2160</v>
      </c>
      <c r="T942" s="40"/>
      <c r="U942" s="40"/>
      <c r="V942" s="40"/>
      <c r="W942" s="6" t="s">
        <v>236</v>
      </c>
      <c r="X942" s="6" t="s">
        <v>236</v>
      </c>
      <c r="Y942" s="6" t="s">
        <v>236</v>
      </c>
      <c r="Z942" s="6" t="s">
        <v>236</v>
      </c>
      <c r="AA942" s="6" t="s">
        <v>236</v>
      </c>
    </row>
    <row r="943" spans="1:27">
      <c r="A943" s="6">
        <v>942</v>
      </c>
      <c r="B943" s="40" t="s">
        <v>346</v>
      </c>
      <c r="C943" s="47">
        <v>46154</v>
      </c>
      <c r="D943" s="40" t="s">
        <v>226</v>
      </c>
      <c r="E943" s="6" t="s">
        <v>2712</v>
      </c>
      <c r="F943" s="40" t="s">
        <v>240</v>
      </c>
      <c r="G943" s="41">
        <v>12</v>
      </c>
      <c r="H943" s="42" t="s">
        <v>3357</v>
      </c>
      <c r="I943" s="42">
        <v>9676363793</v>
      </c>
      <c r="J943" s="43" t="s">
        <v>3358</v>
      </c>
      <c r="K943" s="43" t="s">
        <v>3358</v>
      </c>
      <c r="L943" s="42">
        <v>1340</v>
      </c>
      <c r="M943" s="42">
        <v>1340</v>
      </c>
      <c r="N943" s="7" t="s">
        <v>239</v>
      </c>
      <c r="O943" s="6" t="s">
        <v>239</v>
      </c>
      <c r="P943" s="6" t="s">
        <v>239</v>
      </c>
      <c r="Q943" s="6" t="s">
        <v>236</v>
      </c>
      <c r="R943" s="41"/>
      <c r="S943" s="6">
        <f t="shared" si="14"/>
        <v>1340</v>
      </c>
      <c r="T943" s="40"/>
      <c r="U943" s="40"/>
      <c r="V943" s="40"/>
      <c r="W943" s="6" t="s">
        <v>236</v>
      </c>
      <c r="X943" s="6" t="s">
        <v>236</v>
      </c>
      <c r="Y943" s="6" t="s">
        <v>236</v>
      </c>
      <c r="Z943" s="6" t="s">
        <v>236</v>
      </c>
      <c r="AA943" s="6" t="s">
        <v>236</v>
      </c>
    </row>
    <row r="944" spans="1:27">
      <c r="A944" s="6">
        <v>943</v>
      </c>
      <c r="B944" s="40" t="s">
        <v>346</v>
      </c>
      <c r="C944" s="47">
        <v>46154</v>
      </c>
      <c r="D944" s="40" t="s">
        <v>226</v>
      </c>
      <c r="E944" s="6" t="s">
        <v>2712</v>
      </c>
      <c r="F944" s="40" t="s">
        <v>240</v>
      </c>
      <c r="G944" s="41">
        <v>12</v>
      </c>
      <c r="H944" s="42" t="s">
        <v>3359</v>
      </c>
      <c r="I944" s="42">
        <v>7032486389</v>
      </c>
      <c r="J944" s="43" t="s">
        <v>3360</v>
      </c>
      <c r="K944" s="43" t="s">
        <v>3360</v>
      </c>
      <c r="L944" s="42">
        <v>2450</v>
      </c>
      <c r="M944" s="42">
        <v>2450</v>
      </c>
      <c r="N944" s="7" t="s">
        <v>239</v>
      </c>
      <c r="O944" s="6" t="s">
        <v>239</v>
      </c>
      <c r="P944" s="6" t="s">
        <v>239</v>
      </c>
      <c r="Q944" s="6" t="s">
        <v>236</v>
      </c>
      <c r="R944" s="41"/>
      <c r="S944" s="6">
        <f t="shared" si="14"/>
        <v>2450</v>
      </c>
      <c r="T944" s="40"/>
      <c r="U944" s="40"/>
      <c r="V944" s="40"/>
      <c r="W944" s="6" t="s">
        <v>236</v>
      </c>
      <c r="X944" s="6" t="s">
        <v>236</v>
      </c>
      <c r="Y944" s="6" t="s">
        <v>236</v>
      </c>
      <c r="Z944" s="6" t="s">
        <v>236</v>
      </c>
      <c r="AA944" s="6" t="s">
        <v>236</v>
      </c>
    </row>
    <row r="945" spans="1:27">
      <c r="A945" s="6">
        <v>944</v>
      </c>
      <c r="B945" s="40" t="s">
        <v>346</v>
      </c>
      <c r="C945" s="47">
        <v>46154</v>
      </c>
      <c r="D945" s="40" t="s">
        <v>226</v>
      </c>
      <c r="E945" s="6" t="s">
        <v>2712</v>
      </c>
      <c r="F945" s="40" t="s">
        <v>240</v>
      </c>
      <c r="G945" s="41">
        <v>12</v>
      </c>
      <c r="H945" s="42" t="s">
        <v>3361</v>
      </c>
      <c r="I945" s="42">
        <v>9895195389</v>
      </c>
      <c r="J945" s="43" t="s">
        <v>3362</v>
      </c>
      <c r="K945" s="43" t="s">
        <v>3362</v>
      </c>
      <c r="L945" s="42">
        <v>2410</v>
      </c>
      <c r="M945" s="42">
        <v>2410</v>
      </c>
      <c r="N945" s="7" t="s">
        <v>239</v>
      </c>
      <c r="O945" s="6" t="s">
        <v>239</v>
      </c>
      <c r="P945" s="6" t="s">
        <v>239</v>
      </c>
      <c r="Q945" s="6" t="s">
        <v>236</v>
      </c>
      <c r="R945" s="41"/>
      <c r="S945" s="6">
        <f t="shared" si="14"/>
        <v>2410</v>
      </c>
      <c r="T945" s="40"/>
      <c r="U945" s="40"/>
      <c r="V945" s="40"/>
      <c r="W945" s="6" t="s">
        <v>236</v>
      </c>
      <c r="X945" s="6" t="s">
        <v>236</v>
      </c>
      <c r="Y945" s="6" t="s">
        <v>236</v>
      </c>
      <c r="Z945" s="6" t="s">
        <v>236</v>
      </c>
      <c r="AA945" s="6" t="s">
        <v>236</v>
      </c>
    </row>
    <row r="946" spans="1:27">
      <c r="A946" s="6">
        <v>945</v>
      </c>
      <c r="B946" s="40" t="s">
        <v>346</v>
      </c>
      <c r="C946" s="47">
        <v>46154</v>
      </c>
      <c r="D946" s="40" t="s">
        <v>226</v>
      </c>
      <c r="E946" s="6" t="s">
        <v>2712</v>
      </c>
      <c r="F946" s="40" t="s">
        <v>240</v>
      </c>
      <c r="G946" s="41">
        <v>12</v>
      </c>
      <c r="H946" s="42" t="s">
        <v>3363</v>
      </c>
      <c r="I946" s="42">
        <v>9894662637</v>
      </c>
      <c r="J946" s="43" t="s">
        <v>3364</v>
      </c>
      <c r="K946" s="43" t="s">
        <v>3364</v>
      </c>
      <c r="L946" s="42">
        <v>210</v>
      </c>
      <c r="M946" s="42">
        <v>210</v>
      </c>
      <c r="N946" s="7" t="s">
        <v>239</v>
      </c>
      <c r="O946" s="6" t="s">
        <v>239</v>
      </c>
      <c r="P946" s="6" t="s">
        <v>239</v>
      </c>
      <c r="Q946" s="6" t="s">
        <v>236</v>
      </c>
      <c r="R946" s="41"/>
      <c r="S946" s="6">
        <f t="shared" si="14"/>
        <v>210</v>
      </c>
      <c r="T946" s="40"/>
      <c r="U946" s="40"/>
      <c r="V946" s="40"/>
      <c r="W946" s="6" t="s">
        <v>236</v>
      </c>
      <c r="X946" s="6" t="s">
        <v>236</v>
      </c>
      <c r="Y946" s="6" t="s">
        <v>236</v>
      </c>
      <c r="Z946" s="6" t="s">
        <v>236</v>
      </c>
      <c r="AA946" s="6" t="s">
        <v>236</v>
      </c>
    </row>
    <row r="947" spans="1:27">
      <c r="A947" s="6">
        <v>946</v>
      </c>
      <c r="B947" s="40" t="s">
        <v>346</v>
      </c>
      <c r="C947" s="47">
        <v>46154</v>
      </c>
      <c r="D947" s="40" t="s">
        <v>226</v>
      </c>
      <c r="E947" s="6" t="s">
        <v>2712</v>
      </c>
      <c r="F947" s="40" t="s">
        <v>240</v>
      </c>
      <c r="G947" s="41">
        <v>12</v>
      </c>
      <c r="H947" s="42" t="s">
        <v>3365</v>
      </c>
      <c r="I947" s="42">
        <v>9025039956</v>
      </c>
      <c r="J947" s="43" t="s">
        <v>3366</v>
      </c>
      <c r="K947" s="43" t="s">
        <v>3366</v>
      </c>
      <c r="L947" s="42">
        <v>1340</v>
      </c>
      <c r="M947" s="42">
        <v>1340</v>
      </c>
      <c r="N947" s="7" t="s">
        <v>239</v>
      </c>
      <c r="O947" s="6" t="s">
        <v>239</v>
      </c>
      <c r="P947" s="6" t="s">
        <v>239</v>
      </c>
      <c r="Q947" s="6" t="s">
        <v>236</v>
      </c>
      <c r="R947" s="41"/>
      <c r="S947" s="6">
        <f t="shared" si="14"/>
        <v>1340</v>
      </c>
      <c r="T947" s="40"/>
      <c r="U947" s="40"/>
      <c r="V947" s="40"/>
      <c r="W947" s="6" t="s">
        <v>236</v>
      </c>
      <c r="X947" s="6" t="s">
        <v>236</v>
      </c>
      <c r="Y947" s="6" t="s">
        <v>236</v>
      </c>
      <c r="Z947" s="6" t="s">
        <v>236</v>
      </c>
      <c r="AA947" s="6" t="s">
        <v>236</v>
      </c>
    </row>
    <row r="948" spans="1:27">
      <c r="A948" s="6">
        <v>947</v>
      </c>
      <c r="B948" s="40" t="s">
        <v>346</v>
      </c>
      <c r="C948" s="47">
        <v>46154</v>
      </c>
      <c r="D948" s="40" t="s">
        <v>226</v>
      </c>
      <c r="E948" s="6" t="s">
        <v>2712</v>
      </c>
      <c r="F948" s="40" t="s">
        <v>240</v>
      </c>
      <c r="G948" s="41">
        <v>12</v>
      </c>
      <c r="H948" s="42" t="s">
        <v>3367</v>
      </c>
      <c r="I948" s="42">
        <v>9787209846</v>
      </c>
      <c r="J948" s="43" t="s">
        <v>3368</v>
      </c>
      <c r="K948" s="43" t="s">
        <v>3368</v>
      </c>
      <c r="L948" s="42">
        <v>2310</v>
      </c>
      <c r="M948" s="42">
        <v>2310</v>
      </c>
      <c r="N948" s="7" t="s">
        <v>239</v>
      </c>
      <c r="O948" s="6" t="s">
        <v>239</v>
      </c>
      <c r="P948" s="6" t="s">
        <v>239</v>
      </c>
      <c r="Q948" s="6" t="s">
        <v>236</v>
      </c>
      <c r="R948" s="41"/>
      <c r="S948" s="6">
        <f t="shared" si="14"/>
        <v>2310</v>
      </c>
      <c r="T948" s="40"/>
      <c r="U948" s="40"/>
      <c r="V948" s="40"/>
      <c r="W948" s="6" t="s">
        <v>236</v>
      </c>
      <c r="X948" s="6" t="s">
        <v>236</v>
      </c>
      <c r="Y948" s="6" t="s">
        <v>236</v>
      </c>
      <c r="Z948" s="6" t="s">
        <v>236</v>
      </c>
      <c r="AA948" s="6" t="s">
        <v>236</v>
      </c>
    </row>
    <row r="949" spans="1:27">
      <c r="A949" s="6">
        <v>948</v>
      </c>
      <c r="B949" s="40" t="s">
        <v>346</v>
      </c>
      <c r="C949" s="47">
        <v>46154</v>
      </c>
      <c r="D949" s="40" t="s">
        <v>226</v>
      </c>
      <c r="E949" s="6" t="s">
        <v>2712</v>
      </c>
      <c r="F949" s="40" t="s">
        <v>240</v>
      </c>
      <c r="G949" s="41">
        <v>12</v>
      </c>
      <c r="H949" s="42" t="s">
        <v>3369</v>
      </c>
      <c r="I949" s="42">
        <v>9087623738</v>
      </c>
      <c r="J949" s="43" t="s">
        <v>3370</v>
      </c>
      <c r="K949" s="43" t="s">
        <v>3370</v>
      </c>
      <c r="L949" s="42">
        <v>1440</v>
      </c>
      <c r="M949" s="42">
        <v>1440</v>
      </c>
      <c r="N949" s="7" t="s">
        <v>239</v>
      </c>
      <c r="O949" s="6" t="s">
        <v>239</v>
      </c>
      <c r="P949" s="6" t="s">
        <v>239</v>
      </c>
      <c r="Q949" s="6" t="s">
        <v>236</v>
      </c>
      <c r="R949" s="41"/>
      <c r="S949" s="6">
        <f t="shared" si="14"/>
        <v>1440</v>
      </c>
      <c r="T949" s="40"/>
      <c r="U949" s="40"/>
      <c r="V949" s="40"/>
      <c r="W949" s="6" t="s">
        <v>236</v>
      </c>
      <c r="X949" s="6" t="s">
        <v>236</v>
      </c>
      <c r="Y949" s="6" t="s">
        <v>236</v>
      </c>
      <c r="Z949" s="6" t="s">
        <v>236</v>
      </c>
      <c r="AA949" s="6" t="s">
        <v>236</v>
      </c>
    </row>
    <row r="950" spans="1:27">
      <c r="A950" s="6">
        <v>949</v>
      </c>
      <c r="B950" s="40" t="s">
        <v>346</v>
      </c>
      <c r="C950" s="47">
        <v>46154</v>
      </c>
      <c r="D950" s="40" t="s">
        <v>226</v>
      </c>
      <c r="E950" s="6" t="s">
        <v>2712</v>
      </c>
      <c r="F950" s="40" t="s">
        <v>240</v>
      </c>
      <c r="G950" s="41">
        <v>12</v>
      </c>
      <c r="H950" s="42" t="s">
        <v>3371</v>
      </c>
      <c r="I950" s="42">
        <v>9493287655</v>
      </c>
      <c r="J950" s="43" t="s">
        <v>3372</v>
      </c>
      <c r="K950" s="43" t="s">
        <v>3372</v>
      </c>
      <c r="L950" s="42">
        <v>680</v>
      </c>
      <c r="M950" s="42">
        <v>680</v>
      </c>
      <c r="N950" s="7" t="s">
        <v>239</v>
      </c>
      <c r="O950" s="6" t="s">
        <v>239</v>
      </c>
      <c r="P950" s="6" t="s">
        <v>239</v>
      </c>
      <c r="Q950" s="6" t="s">
        <v>236</v>
      </c>
      <c r="R950" s="41"/>
      <c r="S950" s="6">
        <f t="shared" si="14"/>
        <v>680</v>
      </c>
      <c r="T950" s="40"/>
      <c r="U950" s="40"/>
      <c r="V950" s="40"/>
      <c r="W950" s="6" t="s">
        <v>236</v>
      </c>
      <c r="X950" s="6" t="s">
        <v>236</v>
      </c>
      <c r="Y950" s="6" t="s">
        <v>236</v>
      </c>
      <c r="Z950" s="6" t="s">
        <v>236</v>
      </c>
      <c r="AA950" s="6" t="s">
        <v>236</v>
      </c>
    </row>
    <row r="951" spans="1:27">
      <c r="A951" s="6">
        <v>950</v>
      </c>
      <c r="B951" s="40" t="s">
        <v>346</v>
      </c>
      <c r="C951" s="47">
        <v>46154</v>
      </c>
      <c r="D951" s="40" t="s">
        <v>226</v>
      </c>
      <c r="E951" s="6" t="s">
        <v>2712</v>
      </c>
      <c r="F951" s="40" t="s">
        <v>240</v>
      </c>
      <c r="G951" s="41">
        <v>12</v>
      </c>
      <c r="H951" s="42" t="s">
        <v>3373</v>
      </c>
      <c r="I951" s="42">
        <v>7095322113</v>
      </c>
      <c r="J951" s="43" t="s">
        <v>3374</v>
      </c>
      <c r="K951" s="43" t="s">
        <v>3374</v>
      </c>
      <c r="L951" s="42">
        <v>1000</v>
      </c>
      <c r="M951" s="42">
        <v>1000</v>
      </c>
      <c r="N951" s="7" t="s">
        <v>239</v>
      </c>
      <c r="O951" s="6" t="s">
        <v>239</v>
      </c>
      <c r="P951" s="6" t="s">
        <v>239</v>
      </c>
      <c r="Q951" s="6" t="s">
        <v>236</v>
      </c>
      <c r="R951" s="41"/>
      <c r="S951" s="6">
        <f t="shared" si="14"/>
        <v>1000</v>
      </c>
      <c r="T951" s="40"/>
      <c r="U951" s="40"/>
      <c r="V951" s="40"/>
      <c r="W951" s="6" t="s">
        <v>236</v>
      </c>
      <c r="X951" s="6" t="s">
        <v>236</v>
      </c>
      <c r="Y951" s="6" t="s">
        <v>236</v>
      </c>
      <c r="Z951" s="6" t="s">
        <v>236</v>
      </c>
      <c r="AA951" s="6" t="s">
        <v>236</v>
      </c>
    </row>
    <row r="952" spans="1:27">
      <c r="A952" s="6">
        <v>951</v>
      </c>
      <c r="B952" s="40" t="s">
        <v>346</v>
      </c>
      <c r="C952" s="47">
        <v>46154</v>
      </c>
      <c r="D952" s="40" t="s">
        <v>226</v>
      </c>
      <c r="E952" s="6" t="s">
        <v>2712</v>
      </c>
      <c r="F952" s="40" t="s">
        <v>240</v>
      </c>
      <c r="G952" s="41">
        <v>12</v>
      </c>
      <c r="H952" s="42" t="s">
        <v>3375</v>
      </c>
      <c r="I952" s="42">
        <v>8089148058</v>
      </c>
      <c r="J952" s="43" t="s">
        <v>3376</v>
      </c>
      <c r="K952" s="43" t="s">
        <v>3376</v>
      </c>
      <c r="L952" s="42">
        <v>1600</v>
      </c>
      <c r="M952" s="42">
        <v>1600</v>
      </c>
      <c r="N952" s="7" t="s">
        <v>239</v>
      </c>
      <c r="O952" s="6" t="s">
        <v>239</v>
      </c>
      <c r="P952" s="6" t="s">
        <v>239</v>
      </c>
      <c r="Q952" s="6" t="s">
        <v>236</v>
      </c>
      <c r="R952" s="41"/>
      <c r="S952" s="6">
        <f t="shared" si="14"/>
        <v>1600</v>
      </c>
      <c r="T952" s="40"/>
      <c r="U952" s="40"/>
      <c r="V952" s="40"/>
      <c r="W952" s="6" t="s">
        <v>236</v>
      </c>
      <c r="X952" s="6" t="s">
        <v>236</v>
      </c>
      <c r="Y952" s="6" t="s">
        <v>236</v>
      </c>
      <c r="Z952" s="6" t="s">
        <v>236</v>
      </c>
      <c r="AA952" s="6" t="s">
        <v>236</v>
      </c>
    </row>
    <row r="953" spans="1:27">
      <c r="A953" s="6">
        <v>952</v>
      </c>
      <c r="B953" s="40" t="s">
        <v>346</v>
      </c>
      <c r="C953" s="47">
        <v>46154</v>
      </c>
      <c r="D953" s="40" t="s">
        <v>226</v>
      </c>
      <c r="E953" s="6" t="s">
        <v>2712</v>
      </c>
      <c r="F953" s="40" t="s">
        <v>240</v>
      </c>
      <c r="G953" s="41">
        <v>12</v>
      </c>
      <c r="H953" s="42" t="s">
        <v>3377</v>
      </c>
      <c r="I953" s="42">
        <v>9986812362</v>
      </c>
      <c r="J953" s="43" t="s">
        <v>3378</v>
      </c>
      <c r="K953" s="43" t="s">
        <v>3378</v>
      </c>
      <c r="L953" s="42">
        <v>400</v>
      </c>
      <c r="M953" s="42">
        <v>400</v>
      </c>
      <c r="N953" s="7" t="s">
        <v>239</v>
      </c>
      <c r="O953" s="6" t="s">
        <v>239</v>
      </c>
      <c r="P953" s="6" t="s">
        <v>239</v>
      </c>
      <c r="Q953" s="6" t="s">
        <v>236</v>
      </c>
      <c r="R953" s="41"/>
      <c r="S953" s="6">
        <f t="shared" si="14"/>
        <v>400</v>
      </c>
      <c r="T953" s="40"/>
      <c r="U953" s="40"/>
      <c r="V953" s="40"/>
      <c r="W953" s="6" t="s">
        <v>236</v>
      </c>
      <c r="X953" s="6" t="s">
        <v>236</v>
      </c>
      <c r="Y953" s="6" t="s">
        <v>236</v>
      </c>
      <c r="Z953" s="6" t="s">
        <v>236</v>
      </c>
      <c r="AA953" s="6" t="s">
        <v>236</v>
      </c>
    </row>
    <row r="954" spans="1:27">
      <c r="A954" s="6">
        <v>953</v>
      </c>
      <c r="B954" s="40" t="s">
        <v>346</v>
      </c>
      <c r="C954" s="47">
        <v>46154</v>
      </c>
      <c r="D954" s="40" t="s">
        <v>226</v>
      </c>
      <c r="E954" s="6" t="s">
        <v>2712</v>
      </c>
      <c r="F954" s="40" t="s">
        <v>240</v>
      </c>
      <c r="G954" s="41">
        <v>12</v>
      </c>
      <c r="H954" s="42" t="s">
        <v>3379</v>
      </c>
      <c r="I954" s="42">
        <v>8143633399</v>
      </c>
      <c r="J954" s="43" t="s">
        <v>3380</v>
      </c>
      <c r="K954" s="43" t="s">
        <v>3380</v>
      </c>
      <c r="L954" s="42">
        <v>980</v>
      </c>
      <c r="M954" s="42">
        <v>980</v>
      </c>
      <c r="N954" s="7" t="s">
        <v>239</v>
      </c>
      <c r="O954" s="6" t="s">
        <v>239</v>
      </c>
      <c r="P954" s="6" t="s">
        <v>239</v>
      </c>
      <c r="Q954" s="6" t="s">
        <v>236</v>
      </c>
      <c r="R954" s="41"/>
      <c r="S954" s="6">
        <f t="shared" si="14"/>
        <v>980</v>
      </c>
      <c r="T954" s="40"/>
      <c r="U954" s="40"/>
      <c r="V954" s="40"/>
      <c r="W954" s="6" t="s">
        <v>236</v>
      </c>
      <c r="X954" s="6" t="s">
        <v>236</v>
      </c>
      <c r="Y954" s="6" t="s">
        <v>236</v>
      </c>
      <c r="Z954" s="6" t="s">
        <v>236</v>
      </c>
      <c r="AA954" s="6" t="s">
        <v>236</v>
      </c>
    </row>
    <row r="955" spans="1:27">
      <c r="A955" s="6">
        <v>954</v>
      </c>
      <c r="B955" s="40" t="s">
        <v>346</v>
      </c>
      <c r="C955" s="47">
        <v>46154</v>
      </c>
      <c r="D955" s="40" t="s">
        <v>226</v>
      </c>
      <c r="E955" s="6" t="s">
        <v>2712</v>
      </c>
      <c r="F955" s="40" t="s">
        <v>240</v>
      </c>
      <c r="G955" s="41">
        <v>12</v>
      </c>
      <c r="H955" s="42" t="s">
        <v>3381</v>
      </c>
      <c r="I955" s="42">
        <v>9505477219</v>
      </c>
      <c r="J955" s="43" t="s">
        <v>3382</v>
      </c>
      <c r="K955" s="43" t="s">
        <v>3382</v>
      </c>
      <c r="L955" s="42">
        <v>670</v>
      </c>
      <c r="M955" s="42">
        <v>670</v>
      </c>
      <c r="N955" s="7" t="s">
        <v>239</v>
      </c>
      <c r="O955" s="6" t="s">
        <v>239</v>
      </c>
      <c r="P955" s="6" t="s">
        <v>239</v>
      </c>
      <c r="Q955" s="6" t="s">
        <v>236</v>
      </c>
      <c r="R955" s="41"/>
      <c r="S955" s="6">
        <f t="shared" si="14"/>
        <v>670</v>
      </c>
      <c r="T955" s="40"/>
      <c r="U955" s="40"/>
      <c r="V955" s="40"/>
      <c r="W955" s="6" t="s">
        <v>236</v>
      </c>
      <c r="X955" s="6" t="s">
        <v>236</v>
      </c>
      <c r="Y955" s="6" t="s">
        <v>236</v>
      </c>
      <c r="Z955" s="6" t="s">
        <v>236</v>
      </c>
      <c r="AA955" s="6" t="s">
        <v>236</v>
      </c>
    </row>
    <row r="956" spans="1:27">
      <c r="A956" s="6">
        <v>955</v>
      </c>
      <c r="B956" s="40" t="s">
        <v>346</v>
      </c>
      <c r="C956" s="47">
        <v>46154</v>
      </c>
      <c r="D956" s="40" t="s">
        <v>226</v>
      </c>
      <c r="E956" s="6" t="s">
        <v>2712</v>
      </c>
      <c r="F956" s="40" t="s">
        <v>240</v>
      </c>
      <c r="G956" s="41">
        <v>12</v>
      </c>
      <c r="H956" s="42" t="s">
        <v>3383</v>
      </c>
      <c r="I956" s="42">
        <v>9715972064</v>
      </c>
      <c r="J956" s="43" t="s">
        <v>3384</v>
      </c>
      <c r="K956" s="43" t="s">
        <v>3384</v>
      </c>
      <c r="L956" s="42">
        <v>1480</v>
      </c>
      <c r="M956" s="42">
        <v>1480</v>
      </c>
      <c r="N956" s="7" t="s">
        <v>239</v>
      </c>
      <c r="O956" s="6" t="s">
        <v>239</v>
      </c>
      <c r="P956" s="6" t="s">
        <v>239</v>
      </c>
      <c r="Q956" s="6" t="s">
        <v>236</v>
      </c>
      <c r="R956" s="41"/>
      <c r="S956" s="6">
        <f t="shared" si="14"/>
        <v>1480</v>
      </c>
      <c r="T956" s="40"/>
      <c r="U956" s="40"/>
      <c r="V956" s="40"/>
      <c r="W956" s="6" t="s">
        <v>236</v>
      </c>
      <c r="X956" s="6" t="s">
        <v>236</v>
      </c>
      <c r="Y956" s="6" t="s">
        <v>236</v>
      </c>
      <c r="Z956" s="6" t="s">
        <v>236</v>
      </c>
      <c r="AA956" s="6" t="s">
        <v>236</v>
      </c>
    </row>
    <row r="957" spans="1:27">
      <c r="A957" s="6">
        <v>956</v>
      </c>
      <c r="B957" s="40" t="s">
        <v>346</v>
      </c>
      <c r="C957" s="47">
        <v>46154</v>
      </c>
      <c r="D957" s="40" t="s">
        <v>226</v>
      </c>
      <c r="E957" s="6" t="s">
        <v>2712</v>
      </c>
      <c r="F957" s="40" t="s">
        <v>240</v>
      </c>
      <c r="G957" s="41">
        <v>12</v>
      </c>
      <c r="H957" s="42" t="s">
        <v>3385</v>
      </c>
      <c r="I957" s="42">
        <v>9492109123</v>
      </c>
      <c r="J957" s="43" t="s">
        <v>3386</v>
      </c>
      <c r="K957" s="43" t="s">
        <v>3386</v>
      </c>
      <c r="L957" s="42">
        <v>840</v>
      </c>
      <c r="M957" s="42">
        <v>840</v>
      </c>
      <c r="N957" s="7" t="s">
        <v>239</v>
      </c>
      <c r="O957" s="6" t="s">
        <v>239</v>
      </c>
      <c r="P957" s="6" t="s">
        <v>239</v>
      </c>
      <c r="Q957" s="6" t="s">
        <v>236</v>
      </c>
      <c r="R957" s="41"/>
      <c r="S957" s="6">
        <f t="shared" si="14"/>
        <v>840</v>
      </c>
      <c r="T957" s="40"/>
      <c r="U957" s="40"/>
      <c r="V957" s="40"/>
      <c r="W957" s="6" t="s">
        <v>236</v>
      </c>
      <c r="X957" s="6" t="s">
        <v>236</v>
      </c>
      <c r="Y957" s="6" t="s">
        <v>236</v>
      </c>
      <c r="Z957" s="6" t="s">
        <v>236</v>
      </c>
      <c r="AA957" s="6" t="s">
        <v>236</v>
      </c>
    </row>
    <row r="958" spans="1:27">
      <c r="A958" s="6">
        <v>957</v>
      </c>
      <c r="B958" s="40" t="s">
        <v>346</v>
      </c>
      <c r="C958" s="47">
        <v>46154</v>
      </c>
      <c r="D958" s="40" t="s">
        <v>226</v>
      </c>
      <c r="E958" s="6" t="s">
        <v>2712</v>
      </c>
      <c r="F958" s="40" t="s">
        <v>240</v>
      </c>
      <c r="G958" s="41">
        <v>12</v>
      </c>
      <c r="H958" s="42" t="s">
        <v>3387</v>
      </c>
      <c r="I958" s="42">
        <v>9061001900</v>
      </c>
      <c r="J958" s="43" t="s">
        <v>3388</v>
      </c>
      <c r="K958" s="43" t="s">
        <v>3388</v>
      </c>
      <c r="L958" s="42">
        <v>490</v>
      </c>
      <c r="M958" s="42">
        <v>490</v>
      </c>
      <c r="N958" s="7" t="s">
        <v>239</v>
      </c>
      <c r="O958" s="6" t="s">
        <v>239</v>
      </c>
      <c r="P958" s="6" t="s">
        <v>239</v>
      </c>
      <c r="Q958" s="6" t="s">
        <v>236</v>
      </c>
      <c r="R958" s="41"/>
      <c r="S958" s="6">
        <f t="shared" si="14"/>
        <v>490</v>
      </c>
      <c r="T958" s="40"/>
      <c r="U958" s="40"/>
      <c r="V958" s="40"/>
      <c r="W958" s="6" t="s">
        <v>236</v>
      </c>
      <c r="X958" s="6" t="s">
        <v>236</v>
      </c>
      <c r="Y958" s="6" t="s">
        <v>236</v>
      </c>
      <c r="Z958" s="6" t="s">
        <v>236</v>
      </c>
      <c r="AA958" s="6" t="s">
        <v>236</v>
      </c>
    </row>
    <row r="959" spans="1:27">
      <c r="A959" s="6">
        <v>958</v>
      </c>
      <c r="B959" s="40" t="s">
        <v>346</v>
      </c>
      <c r="C959" s="47">
        <v>46154</v>
      </c>
      <c r="D959" s="40" t="s">
        <v>226</v>
      </c>
      <c r="E959" s="6" t="s">
        <v>2712</v>
      </c>
      <c r="F959" s="40" t="s">
        <v>240</v>
      </c>
      <c r="G959" s="41">
        <v>12</v>
      </c>
      <c r="H959" s="42" t="s">
        <v>3389</v>
      </c>
      <c r="I959" s="42">
        <v>9367166666</v>
      </c>
      <c r="J959" s="43" t="s">
        <v>3390</v>
      </c>
      <c r="K959" s="43" t="s">
        <v>3390</v>
      </c>
      <c r="L959" s="42">
        <v>170</v>
      </c>
      <c r="M959" s="42">
        <v>170</v>
      </c>
      <c r="N959" s="7" t="s">
        <v>239</v>
      </c>
      <c r="O959" s="6" t="s">
        <v>239</v>
      </c>
      <c r="P959" s="6" t="s">
        <v>239</v>
      </c>
      <c r="Q959" s="6" t="s">
        <v>236</v>
      </c>
      <c r="R959" s="41"/>
      <c r="S959" s="6">
        <f t="shared" si="14"/>
        <v>170</v>
      </c>
      <c r="T959" s="40"/>
      <c r="U959" s="40"/>
      <c r="V959" s="40"/>
      <c r="W959" s="6" t="s">
        <v>236</v>
      </c>
      <c r="X959" s="6" t="s">
        <v>236</v>
      </c>
      <c r="Y959" s="6" t="s">
        <v>236</v>
      </c>
      <c r="Z959" s="6" t="s">
        <v>236</v>
      </c>
      <c r="AA959" s="6" t="s">
        <v>236</v>
      </c>
    </row>
    <row r="960" spans="1:27">
      <c r="A960" s="6">
        <v>959</v>
      </c>
      <c r="B960" s="40" t="s">
        <v>346</v>
      </c>
      <c r="C960" s="47">
        <v>46154</v>
      </c>
      <c r="D960" s="40" t="s">
        <v>226</v>
      </c>
      <c r="E960" s="6" t="s">
        <v>2712</v>
      </c>
      <c r="F960" s="40" t="s">
        <v>240</v>
      </c>
      <c r="G960" s="41">
        <v>12</v>
      </c>
      <c r="H960" s="42" t="s">
        <v>3391</v>
      </c>
      <c r="I960" s="42">
        <v>9989772640</v>
      </c>
      <c r="J960" s="43" t="s">
        <v>3392</v>
      </c>
      <c r="K960" s="43" t="s">
        <v>3392</v>
      </c>
      <c r="L960" s="42">
        <v>620</v>
      </c>
      <c r="M960" s="42">
        <v>620</v>
      </c>
      <c r="N960" s="7" t="s">
        <v>239</v>
      </c>
      <c r="O960" s="6" t="s">
        <v>239</v>
      </c>
      <c r="P960" s="6" t="s">
        <v>239</v>
      </c>
      <c r="Q960" s="6" t="s">
        <v>236</v>
      </c>
      <c r="R960" s="41"/>
      <c r="S960" s="6">
        <f t="shared" si="14"/>
        <v>620</v>
      </c>
      <c r="T960" s="40"/>
      <c r="U960" s="40"/>
      <c r="V960" s="40"/>
      <c r="W960" s="6" t="s">
        <v>236</v>
      </c>
      <c r="X960" s="6" t="s">
        <v>236</v>
      </c>
      <c r="Y960" s="6" t="s">
        <v>236</v>
      </c>
      <c r="Z960" s="6" t="s">
        <v>236</v>
      </c>
      <c r="AA960" s="6" t="s">
        <v>236</v>
      </c>
    </row>
    <row r="961" spans="1:27">
      <c r="A961" s="6">
        <v>960</v>
      </c>
      <c r="B961" s="6" t="s">
        <v>346</v>
      </c>
      <c r="C961" s="7">
        <v>46154</v>
      </c>
      <c r="D961" s="6" t="s">
        <v>226</v>
      </c>
      <c r="E961" s="6" t="s">
        <v>2712</v>
      </c>
      <c r="F961" s="6" t="s">
        <v>240</v>
      </c>
      <c r="G961" s="6">
        <v>12</v>
      </c>
      <c r="H961" s="56" t="s">
        <v>3393</v>
      </c>
      <c r="I961" s="56">
        <v>9989772640</v>
      </c>
      <c r="J961" s="10" t="s">
        <v>3394</v>
      </c>
      <c r="K961" s="10" t="s">
        <v>3394</v>
      </c>
      <c r="L961" s="6">
        <v>310</v>
      </c>
      <c r="M961" s="6">
        <v>310</v>
      </c>
      <c r="N961" s="7" t="s">
        <v>239</v>
      </c>
      <c r="O961" s="6" t="s">
        <v>239</v>
      </c>
      <c r="P961" s="6" t="s">
        <v>239</v>
      </c>
      <c r="Q961" s="6" t="s">
        <v>236</v>
      </c>
      <c r="R961" s="6"/>
      <c r="S961" s="6">
        <f t="shared" si="14"/>
        <v>310</v>
      </c>
      <c r="T961" s="6"/>
      <c r="U961" s="6"/>
      <c r="V961" s="6"/>
      <c r="W961" s="6" t="s">
        <v>236</v>
      </c>
      <c r="X961" s="6" t="s">
        <v>236</v>
      </c>
      <c r="Y961" s="6" t="s">
        <v>236</v>
      </c>
      <c r="Z961" s="6" t="s">
        <v>236</v>
      </c>
      <c r="AA961" s="6" t="s">
        <v>236</v>
      </c>
    </row>
    <row r="962" spans="1:27" ht="18.75">
      <c r="A962" s="6">
        <v>961</v>
      </c>
      <c r="B962" s="6" t="s">
        <v>298</v>
      </c>
      <c r="C962" s="7">
        <v>46154</v>
      </c>
      <c r="D962" s="6" t="s">
        <v>226</v>
      </c>
      <c r="E962" s="6" t="s">
        <v>2712</v>
      </c>
      <c r="F962" s="6" t="s">
        <v>336</v>
      </c>
      <c r="G962" s="6">
        <v>12</v>
      </c>
      <c r="H962" s="57" t="s">
        <v>2225</v>
      </c>
      <c r="I962" s="57" t="s">
        <v>2226</v>
      </c>
      <c r="J962" s="57" t="s">
        <v>871</v>
      </c>
      <c r="K962" s="57" t="s">
        <v>871</v>
      </c>
      <c r="L962" s="58">
        <v>35160</v>
      </c>
      <c r="M962" s="58">
        <v>35160</v>
      </c>
      <c r="N962" s="59">
        <v>46155</v>
      </c>
      <c r="O962" s="57" t="s">
        <v>698</v>
      </c>
      <c r="P962" s="6" t="s">
        <v>52</v>
      </c>
      <c r="Q962" s="6" t="s">
        <v>3037</v>
      </c>
      <c r="R962" s="6">
        <v>35161</v>
      </c>
      <c r="S962" s="6">
        <f t="shared" si="14"/>
        <v>-1</v>
      </c>
      <c r="T962" s="7">
        <v>46155</v>
      </c>
      <c r="U962" s="6" t="s">
        <v>3395</v>
      </c>
      <c r="V962" s="6" t="s">
        <v>54</v>
      </c>
      <c r="W962" s="57" t="s">
        <v>3175</v>
      </c>
      <c r="X962" s="57" t="s">
        <v>698</v>
      </c>
      <c r="Y962" s="57" t="s">
        <v>2228</v>
      </c>
      <c r="Z962" s="6" t="s">
        <v>345</v>
      </c>
      <c r="AA962" s="6" t="s">
        <v>235</v>
      </c>
    </row>
    <row r="963" spans="1:27" ht="18.75">
      <c r="A963" s="6">
        <v>962</v>
      </c>
      <c r="B963" s="6" t="s">
        <v>298</v>
      </c>
      <c r="C963" s="7">
        <v>46154</v>
      </c>
      <c r="D963" s="6" t="s">
        <v>226</v>
      </c>
      <c r="E963" s="6" t="s">
        <v>2712</v>
      </c>
      <c r="F963" s="6" t="s">
        <v>336</v>
      </c>
      <c r="G963" s="6">
        <v>12</v>
      </c>
      <c r="H963" s="57" t="s">
        <v>2309</v>
      </c>
      <c r="I963" s="57" t="s">
        <v>2310</v>
      </c>
      <c r="J963" s="57" t="s">
        <v>875</v>
      </c>
      <c r="K963" s="57" t="s">
        <v>875</v>
      </c>
      <c r="L963" s="58">
        <v>23449</v>
      </c>
      <c r="M963" s="58">
        <v>23449</v>
      </c>
      <c r="N963" s="59">
        <v>46172</v>
      </c>
      <c r="O963" s="57" t="s">
        <v>342</v>
      </c>
      <c r="P963" s="6" t="s">
        <v>52</v>
      </c>
      <c r="Q963" s="6" t="s">
        <v>3037</v>
      </c>
      <c r="R963" s="6">
        <v>23450</v>
      </c>
      <c r="S963" s="6">
        <f t="shared" si="14"/>
        <v>-1</v>
      </c>
      <c r="T963" s="7">
        <v>46176</v>
      </c>
      <c r="U963" s="6" t="s">
        <v>3396</v>
      </c>
      <c r="V963" s="6" t="s">
        <v>54</v>
      </c>
      <c r="W963" s="57" t="s">
        <v>342</v>
      </c>
      <c r="X963" s="57" t="s">
        <v>3314</v>
      </c>
      <c r="Y963" s="57" t="s">
        <v>2312</v>
      </c>
      <c r="Z963" s="6" t="s">
        <v>3397</v>
      </c>
      <c r="AA963" s="6" t="s">
        <v>235</v>
      </c>
    </row>
    <row r="964" spans="1:27" ht="18.75">
      <c r="A964" s="6">
        <v>963</v>
      </c>
      <c r="B964" s="6" t="s">
        <v>298</v>
      </c>
      <c r="C964" s="7">
        <v>46154</v>
      </c>
      <c r="D964" s="6" t="s">
        <v>226</v>
      </c>
      <c r="E964" s="6" t="s">
        <v>2712</v>
      </c>
      <c r="F964" s="6" t="s">
        <v>336</v>
      </c>
      <c r="G964" s="6">
        <v>12</v>
      </c>
      <c r="H964" s="57" t="s">
        <v>3398</v>
      </c>
      <c r="I964" s="60" t="s">
        <v>3399</v>
      </c>
      <c r="J964" s="57" t="s">
        <v>3400</v>
      </c>
      <c r="K964" s="57" t="s">
        <v>3400</v>
      </c>
      <c r="L964" s="58">
        <v>24670</v>
      </c>
      <c r="M964" s="58">
        <v>14670</v>
      </c>
      <c r="N964" s="59">
        <v>46172</v>
      </c>
      <c r="O964" s="57" t="s">
        <v>698</v>
      </c>
      <c r="P964" s="6" t="s">
        <v>52</v>
      </c>
      <c r="Q964" s="6" t="s">
        <v>3037</v>
      </c>
      <c r="R964" s="6"/>
      <c r="S964" s="6">
        <f t="shared" si="14"/>
        <v>14670</v>
      </c>
      <c r="T964" s="6"/>
      <c r="U964" s="6"/>
      <c r="V964" s="6"/>
      <c r="W964" s="57" t="s">
        <v>3175</v>
      </c>
      <c r="X964" s="57" t="s">
        <v>698</v>
      </c>
      <c r="Y964" s="57" t="s">
        <v>3401</v>
      </c>
      <c r="Z964" s="6" t="s">
        <v>710</v>
      </c>
      <c r="AA964" s="6" t="s">
        <v>235</v>
      </c>
    </row>
    <row r="965" spans="1:27" ht="18.75">
      <c r="A965" s="6">
        <v>964</v>
      </c>
      <c r="B965" s="6" t="s">
        <v>298</v>
      </c>
      <c r="C965" s="7">
        <v>46154</v>
      </c>
      <c r="D965" s="6" t="s">
        <v>226</v>
      </c>
      <c r="E965" s="6" t="s">
        <v>2712</v>
      </c>
      <c r="F965" s="6" t="s">
        <v>336</v>
      </c>
      <c r="G965" s="6">
        <v>12</v>
      </c>
      <c r="H965" s="57" t="s">
        <v>3402</v>
      </c>
      <c r="I965" s="57" t="s">
        <v>3403</v>
      </c>
      <c r="J965" s="57" t="s">
        <v>3404</v>
      </c>
      <c r="K965" s="57" t="s">
        <v>3404</v>
      </c>
      <c r="L965" s="58">
        <v>10880</v>
      </c>
      <c r="M965" s="58">
        <v>2880</v>
      </c>
      <c r="N965" s="59">
        <v>46155</v>
      </c>
      <c r="O965" s="57" t="s">
        <v>3314</v>
      </c>
      <c r="P965" s="6" t="s">
        <v>52</v>
      </c>
      <c r="Q965" s="6" t="s">
        <v>3037</v>
      </c>
      <c r="R965" s="6"/>
      <c r="S965" s="6">
        <f t="shared" si="14"/>
        <v>2880</v>
      </c>
      <c r="T965" s="6"/>
      <c r="U965" s="6"/>
      <c r="V965" s="6"/>
      <c r="W965" s="57" t="s">
        <v>342</v>
      </c>
      <c r="X965" s="57" t="s">
        <v>3314</v>
      </c>
      <c r="Y965" s="57" t="s">
        <v>3405</v>
      </c>
      <c r="Z965" s="6" t="s">
        <v>3406</v>
      </c>
      <c r="AA965" s="6" t="s">
        <v>235</v>
      </c>
    </row>
    <row r="966" spans="1:27" ht="18.75">
      <c r="A966" s="6">
        <v>965</v>
      </c>
      <c r="B966" s="6" t="s">
        <v>298</v>
      </c>
      <c r="C966" s="7">
        <v>46154</v>
      </c>
      <c r="D966" s="6" t="s">
        <v>226</v>
      </c>
      <c r="E966" s="6" t="s">
        <v>2712</v>
      </c>
      <c r="F966" s="6" t="s">
        <v>294</v>
      </c>
      <c r="G966" s="6">
        <v>12</v>
      </c>
      <c r="H966" s="61" t="s">
        <v>810</v>
      </c>
      <c r="I966" s="61" t="s">
        <v>811</v>
      </c>
      <c r="J966" s="61" t="s">
        <v>812</v>
      </c>
      <c r="K966" s="61" t="s">
        <v>812</v>
      </c>
      <c r="L966" s="62">
        <v>33519</v>
      </c>
      <c r="M966" s="6">
        <v>33520</v>
      </c>
      <c r="N966" s="7"/>
      <c r="O966" s="61" t="s">
        <v>298</v>
      </c>
      <c r="P966" s="6" t="s">
        <v>52</v>
      </c>
      <c r="Q966" s="6" t="s">
        <v>298</v>
      </c>
      <c r="R966" s="6"/>
      <c r="S966" s="6">
        <f t="shared" si="14"/>
        <v>33520</v>
      </c>
      <c r="T966" s="6"/>
      <c r="U966" s="6"/>
      <c r="V966" s="6"/>
      <c r="W966" s="61" t="s">
        <v>813</v>
      </c>
      <c r="X966" s="61" t="s">
        <v>796</v>
      </c>
      <c r="Y966" s="61" t="s">
        <v>3407</v>
      </c>
      <c r="Z966" s="6" t="s">
        <v>309</v>
      </c>
      <c r="AA966" s="6" t="s">
        <v>235</v>
      </c>
    </row>
    <row r="967" spans="1:27" ht="18.75">
      <c r="A967" s="6">
        <v>966</v>
      </c>
      <c r="B967" s="6" t="s">
        <v>298</v>
      </c>
      <c r="C967" s="7">
        <v>46154</v>
      </c>
      <c r="D967" s="6" t="s">
        <v>226</v>
      </c>
      <c r="E967" s="6" t="s">
        <v>2712</v>
      </c>
      <c r="F967" s="6" t="s">
        <v>294</v>
      </c>
      <c r="G967" s="6">
        <v>12</v>
      </c>
      <c r="H967" s="61" t="s">
        <v>3408</v>
      </c>
      <c r="I967" s="61" t="s">
        <v>3409</v>
      </c>
      <c r="J967" s="61" t="s">
        <v>3410</v>
      </c>
      <c r="K967" s="61" t="s">
        <v>3410</v>
      </c>
      <c r="L967" s="62">
        <v>45740</v>
      </c>
      <c r="M967" s="6">
        <v>35741</v>
      </c>
      <c r="N967" s="7">
        <v>46172</v>
      </c>
      <c r="O967" s="61" t="s">
        <v>298</v>
      </c>
      <c r="P967" s="6" t="s">
        <v>52</v>
      </c>
      <c r="Q967" s="6" t="s">
        <v>298</v>
      </c>
      <c r="R967" s="6">
        <v>35741</v>
      </c>
      <c r="S967" s="6">
        <f t="shared" si="14"/>
        <v>0</v>
      </c>
      <c r="T967" s="7">
        <v>46172</v>
      </c>
      <c r="U967" s="6" t="s">
        <v>3411</v>
      </c>
      <c r="V967" s="6" t="s">
        <v>54</v>
      </c>
      <c r="W967" s="61" t="s">
        <v>1222</v>
      </c>
      <c r="X967" s="61" t="s">
        <v>316</v>
      </c>
      <c r="Y967" s="61" t="s">
        <v>3412</v>
      </c>
      <c r="Z967" s="6" t="s">
        <v>172</v>
      </c>
      <c r="AA967" s="6" t="s">
        <v>235</v>
      </c>
    </row>
    <row r="968" spans="1:27" ht="18.75">
      <c r="A968" s="6"/>
      <c r="B968" s="6" t="s">
        <v>298</v>
      </c>
      <c r="C968" s="7">
        <v>46154</v>
      </c>
      <c r="D968" s="6" t="s">
        <v>226</v>
      </c>
      <c r="E968" s="6" t="s">
        <v>2712</v>
      </c>
      <c r="F968" s="6" t="s">
        <v>294</v>
      </c>
      <c r="G968" s="6">
        <v>12</v>
      </c>
      <c r="H968" s="61" t="s">
        <v>3413</v>
      </c>
      <c r="I968" s="61" t="s">
        <v>3414</v>
      </c>
      <c r="J968" s="61" t="s">
        <v>3415</v>
      </c>
      <c r="K968" s="61" t="s">
        <v>3415</v>
      </c>
      <c r="L968" s="62">
        <v>55247.89</v>
      </c>
      <c r="M968" s="6">
        <v>25250</v>
      </c>
      <c r="N968" s="7"/>
      <c r="O968" s="61" t="s">
        <v>399</v>
      </c>
      <c r="P968" s="6" t="s">
        <v>52</v>
      </c>
      <c r="Q968" s="6" t="s">
        <v>298</v>
      </c>
      <c r="R968" s="6">
        <f>12750+12200</f>
        <v>24950</v>
      </c>
      <c r="S968" s="6">
        <f t="shared" si="14"/>
        <v>300</v>
      </c>
      <c r="T968" s="7">
        <v>46160</v>
      </c>
      <c r="U968" s="6" t="s">
        <v>3416</v>
      </c>
      <c r="V968" s="6"/>
      <c r="W968" s="61" t="s">
        <v>1089</v>
      </c>
      <c r="X968" s="61" t="s">
        <v>2418</v>
      </c>
      <c r="Y968" s="61" t="s">
        <v>3417</v>
      </c>
      <c r="Z968" s="6" t="s">
        <v>1918</v>
      </c>
      <c r="AA968" s="6" t="s">
        <v>235</v>
      </c>
    </row>
    <row r="969" spans="1:27" ht="18.75">
      <c r="A969" s="6">
        <v>967</v>
      </c>
      <c r="B969" s="63" t="s">
        <v>346</v>
      </c>
      <c r="C969" s="7">
        <v>46154</v>
      </c>
      <c r="D969" s="6" t="s">
        <v>226</v>
      </c>
      <c r="E969" s="6" t="s">
        <v>2712</v>
      </c>
      <c r="F969" s="63" t="s">
        <v>310</v>
      </c>
      <c r="G969" s="6">
        <v>12</v>
      </c>
      <c r="H969" s="64" t="s">
        <v>3418</v>
      </c>
      <c r="I969" s="64" t="s">
        <v>3419</v>
      </c>
      <c r="J969" s="64" t="s">
        <v>3420</v>
      </c>
      <c r="K969" s="64" t="s">
        <v>3420</v>
      </c>
      <c r="L969" s="65">
        <v>31390</v>
      </c>
      <c r="M969" s="6">
        <v>11390</v>
      </c>
      <c r="N969" s="7">
        <v>46157</v>
      </c>
      <c r="O969" s="63" t="s">
        <v>643</v>
      </c>
      <c r="P969" s="6" t="s">
        <v>52</v>
      </c>
      <c r="Q969" s="63" t="s">
        <v>2158</v>
      </c>
      <c r="R969" s="6">
        <v>11300</v>
      </c>
      <c r="S969" s="6">
        <f t="shared" si="14"/>
        <v>90</v>
      </c>
      <c r="T969" s="66">
        <v>46157</v>
      </c>
      <c r="U969" s="63" t="s">
        <v>3421</v>
      </c>
      <c r="V969" s="63" t="s">
        <v>54</v>
      </c>
      <c r="W969" s="64" t="s">
        <v>643</v>
      </c>
      <c r="X969" s="64" t="s">
        <v>2418</v>
      </c>
      <c r="Y969" s="64" t="s">
        <v>3422</v>
      </c>
      <c r="Z969" s="64" t="s">
        <v>190</v>
      </c>
      <c r="AA969" s="63" t="s">
        <v>40</v>
      </c>
    </row>
    <row r="970" spans="1:27" ht="18.75">
      <c r="A970" s="6">
        <v>968</v>
      </c>
      <c r="B970" s="63" t="s">
        <v>346</v>
      </c>
      <c r="C970" s="7">
        <v>46154</v>
      </c>
      <c r="D970" s="6" t="s">
        <v>226</v>
      </c>
      <c r="E970" s="6" t="s">
        <v>2712</v>
      </c>
      <c r="F970" s="63" t="s">
        <v>310</v>
      </c>
      <c r="G970" s="6">
        <v>12</v>
      </c>
      <c r="H970" s="64" t="s">
        <v>2303</v>
      </c>
      <c r="I970" s="64" t="s">
        <v>2304</v>
      </c>
      <c r="J970" s="64" t="s">
        <v>2305</v>
      </c>
      <c r="K970" s="64" t="s">
        <v>2305</v>
      </c>
      <c r="L970" s="65">
        <v>14632</v>
      </c>
      <c r="M970" s="6">
        <v>14632</v>
      </c>
      <c r="N970" s="7"/>
      <c r="O970" s="63" t="s">
        <v>643</v>
      </c>
      <c r="P970" s="6" t="s">
        <v>52</v>
      </c>
      <c r="Q970" s="63" t="s">
        <v>2158</v>
      </c>
      <c r="R970" s="6"/>
      <c r="S970" s="6">
        <f t="shared" si="14"/>
        <v>14632</v>
      </c>
      <c r="T970" s="63"/>
      <c r="U970" s="63"/>
      <c r="V970" s="63"/>
      <c r="W970" s="64" t="s">
        <v>643</v>
      </c>
      <c r="X970" s="64" t="s">
        <v>775</v>
      </c>
      <c r="Y970" s="64" t="s">
        <v>3423</v>
      </c>
      <c r="Z970" s="64" t="s">
        <v>178</v>
      </c>
      <c r="AA970" s="63" t="s">
        <v>40</v>
      </c>
    </row>
    <row r="971" spans="1:27" ht="18.75">
      <c r="A971" s="6">
        <v>969</v>
      </c>
      <c r="B971" s="6" t="s">
        <v>346</v>
      </c>
      <c r="C971" s="7">
        <v>46154</v>
      </c>
      <c r="D971" s="6" t="s">
        <v>226</v>
      </c>
      <c r="E971" s="6" t="s">
        <v>2712</v>
      </c>
      <c r="F971" s="6" t="s">
        <v>310</v>
      </c>
      <c r="G971" s="6">
        <v>12</v>
      </c>
      <c r="H971" s="64" t="s">
        <v>3424</v>
      </c>
      <c r="I971" s="64" t="s">
        <v>3425</v>
      </c>
      <c r="J971" s="64" t="s">
        <v>3426</v>
      </c>
      <c r="K971" s="64" t="s">
        <v>3426</v>
      </c>
      <c r="L971" s="65">
        <v>12870</v>
      </c>
      <c r="M971" s="6">
        <v>870</v>
      </c>
      <c r="N971" s="7"/>
      <c r="O971" s="6" t="s">
        <v>643</v>
      </c>
      <c r="P971" s="6" t="s">
        <v>52</v>
      </c>
      <c r="Q971" s="6" t="s">
        <v>2158</v>
      </c>
      <c r="R971" s="6"/>
      <c r="S971" s="6">
        <f t="shared" si="14"/>
        <v>870</v>
      </c>
      <c r="T971" s="6"/>
      <c r="U971" s="6"/>
      <c r="V971" s="6"/>
      <c r="W971" s="64" t="s">
        <v>643</v>
      </c>
      <c r="X971" s="64" t="s">
        <v>3427</v>
      </c>
      <c r="Y971" s="64" t="s">
        <v>3428</v>
      </c>
      <c r="Z971" s="64" t="s">
        <v>1240</v>
      </c>
      <c r="AA971" s="6" t="s">
        <v>40</v>
      </c>
    </row>
    <row r="972" spans="1:27" ht="18.75">
      <c r="A972" s="6">
        <v>970</v>
      </c>
      <c r="B972" s="6" t="s">
        <v>2158</v>
      </c>
      <c r="C972" s="7">
        <v>46154</v>
      </c>
      <c r="D972" s="6" t="s">
        <v>933</v>
      </c>
      <c r="E972" s="6" t="s">
        <v>2712</v>
      </c>
      <c r="F972" s="6" t="s">
        <v>3429</v>
      </c>
      <c r="G972" s="6">
        <v>12</v>
      </c>
      <c r="H972" s="67" t="s">
        <v>3430</v>
      </c>
      <c r="I972" s="67" t="s">
        <v>3431</v>
      </c>
      <c r="J972" s="68" t="s">
        <v>3432</v>
      </c>
      <c r="K972" s="67" t="s">
        <v>3433</v>
      </c>
      <c r="L972" s="69">
        <v>10592</v>
      </c>
      <c r="M972" s="69">
        <v>10592</v>
      </c>
      <c r="N972" s="7" t="s">
        <v>239</v>
      </c>
      <c r="O972" s="6" t="s">
        <v>239</v>
      </c>
      <c r="P972" s="6" t="s">
        <v>239</v>
      </c>
      <c r="Q972" s="6" t="s">
        <v>1398</v>
      </c>
      <c r="R972" s="6"/>
      <c r="S972" s="6">
        <f t="shared" si="14"/>
        <v>10592</v>
      </c>
      <c r="T972" s="6"/>
      <c r="U972" s="6"/>
      <c r="V972" s="6"/>
      <c r="W972" s="6" t="s">
        <v>1398</v>
      </c>
      <c r="X972" s="64" t="s">
        <v>1409</v>
      </c>
      <c r="Y972" s="67" t="s">
        <v>3434</v>
      </c>
      <c r="Z972" s="6" t="s">
        <v>138</v>
      </c>
      <c r="AA972" s="6" t="s">
        <v>40</v>
      </c>
    </row>
    <row r="973" spans="1:27" ht="18.75">
      <c r="A973" s="6">
        <v>971</v>
      </c>
      <c r="B973" s="6" t="s">
        <v>2158</v>
      </c>
      <c r="C973" s="7">
        <v>46154</v>
      </c>
      <c r="D973" s="6" t="s">
        <v>933</v>
      </c>
      <c r="E973" s="6" t="s">
        <v>2712</v>
      </c>
      <c r="F973" s="6" t="s">
        <v>3429</v>
      </c>
      <c r="G973" s="6">
        <v>12</v>
      </c>
      <c r="H973" s="67" t="s">
        <v>3435</v>
      </c>
      <c r="I973" s="67" t="s">
        <v>3436</v>
      </c>
      <c r="J973" s="68" t="s">
        <v>3437</v>
      </c>
      <c r="K973" s="67" t="s">
        <v>3438</v>
      </c>
      <c r="L973" s="69">
        <v>3301.83</v>
      </c>
      <c r="M973" s="69">
        <v>3301.83</v>
      </c>
      <c r="N973" s="7">
        <v>46156</v>
      </c>
      <c r="O973" s="57" t="s">
        <v>3439</v>
      </c>
      <c r="P973" s="6" t="s">
        <v>52</v>
      </c>
      <c r="Q973" s="6" t="s">
        <v>1398</v>
      </c>
      <c r="R973" s="6">
        <v>3303</v>
      </c>
      <c r="S973" s="6">
        <f t="shared" si="14"/>
        <v>-1.1700000000000728</v>
      </c>
      <c r="T973" s="7">
        <v>46156</v>
      </c>
      <c r="U973" s="6" t="s">
        <v>3440</v>
      </c>
      <c r="V973" s="6" t="s">
        <v>54</v>
      </c>
      <c r="W973" s="6" t="s">
        <v>1398</v>
      </c>
      <c r="X973" s="57" t="s">
        <v>3439</v>
      </c>
      <c r="Y973" s="67" t="s">
        <v>3441</v>
      </c>
      <c r="Z973" s="6" t="s">
        <v>1336</v>
      </c>
      <c r="AA973" s="6" t="s">
        <v>40</v>
      </c>
    </row>
    <row r="974" spans="1:27" ht="18.75">
      <c r="A974" s="6">
        <v>972</v>
      </c>
      <c r="B974" s="6" t="s">
        <v>2158</v>
      </c>
      <c r="C974" s="7">
        <v>46154</v>
      </c>
      <c r="D974" s="6" t="s">
        <v>933</v>
      </c>
      <c r="E974" s="6" t="s">
        <v>2712</v>
      </c>
      <c r="F974" s="6" t="s">
        <v>3429</v>
      </c>
      <c r="G974" s="6">
        <v>12</v>
      </c>
      <c r="H974" s="67" t="s">
        <v>3442</v>
      </c>
      <c r="I974" s="67" t="s">
        <v>3443</v>
      </c>
      <c r="J974" s="68" t="s">
        <v>3444</v>
      </c>
      <c r="K974" s="67" t="s">
        <v>3445</v>
      </c>
      <c r="L974" s="69">
        <v>7303</v>
      </c>
      <c r="M974" s="69">
        <v>7303</v>
      </c>
      <c r="N974" s="7" t="s">
        <v>239</v>
      </c>
      <c r="O974" s="6" t="s">
        <v>239</v>
      </c>
      <c r="P974" s="6" t="s">
        <v>239</v>
      </c>
      <c r="Q974" s="6" t="s">
        <v>1398</v>
      </c>
      <c r="R974" s="6"/>
      <c r="S974" s="6">
        <f t="shared" si="14"/>
        <v>7303</v>
      </c>
      <c r="T974" s="6"/>
      <c r="U974" s="6"/>
      <c r="V974" s="6"/>
      <c r="W974" s="6" t="s">
        <v>1398</v>
      </c>
      <c r="X974" s="57" t="s">
        <v>3446</v>
      </c>
      <c r="Y974" s="67" t="s">
        <v>3447</v>
      </c>
      <c r="Z974" s="6" t="s">
        <v>3448</v>
      </c>
      <c r="AA974" s="6" t="s">
        <v>40</v>
      </c>
    </row>
    <row r="975" spans="1:27" ht="18.75">
      <c r="A975" s="6">
        <v>973</v>
      </c>
      <c r="B975" s="6" t="s">
        <v>2158</v>
      </c>
      <c r="C975" s="7">
        <v>46154</v>
      </c>
      <c r="D975" s="6" t="s">
        <v>933</v>
      </c>
      <c r="E975" s="6" t="s">
        <v>2712</v>
      </c>
      <c r="F975" s="6" t="s">
        <v>3429</v>
      </c>
      <c r="G975" s="6">
        <v>12</v>
      </c>
      <c r="H975" s="67" t="s">
        <v>3449</v>
      </c>
      <c r="I975" s="67" t="s">
        <v>3450</v>
      </c>
      <c r="J975" s="68" t="s">
        <v>3451</v>
      </c>
      <c r="K975" s="67" t="s">
        <v>3452</v>
      </c>
      <c r="L975" s="69">
        <v>305</v>
      </c>
      <c r="M975" s="69">
        <v>305</v>
      </c>
      <c r="N975" s="7" t="s">
        <v>239</v>
      </c>
      <c r="O975" s="6" t="s">
        <v>239</v>
      </c>
      <c r="P975" s="6" t="s">
        <v>239</v>
      </c>
      <c r="Q975" s="6" t="s">
        <v>1398</v>
      </c>
      <c r="R975" s="6"/>
      <c r="S975" s="6">
        <f t="shared" si="14"/>
        <v>305</v>
      </c>
      <c r="T975" s="6"/>
      <c r="U975" s="6"/>
      <c r="V975" s="6"/>
      <c r="W975" s="6" t="s">
        <v>1398</v>
      </c>
      <c r="X975" s="57" t="s">
        <v>1403</v>
      </c>
      <c r="Y975" s="67" t="s">
        <v>3453</v>
      </c>
      <c r="Z975" s="6" t="s">
        <v>1336</v>
      </c>
      <c r="AA975" s="6" t="s">
        <v>40</v>
      </c>
    </row>
    <row r="976" spans="1:27" ht="18.75">
      <c r="A976" s="6">
        <v>974</v>
      </c>
      <c r="B976" s="6" t="s">
        <v>2158</v>
      </c>
      <c r="C976" s="7">
        <v>46154</v>
      </c>
      <c r="D976" s="6" t="s">
        <v>933</v>
      </c>
      <c r="E976" s="6" t="s">
        <v>2712</v>
      </c>
      <c r="F976" s="6" t="s">
        <v>3429</v>
      </c>
      <c r="G976" s="6">
        <v>12</v>
      </c>
      <c r="H976" s="70" t="s">
        <v>3454</v>
      </c>
      <c r="I976" s="70" t="s">
        <v>3455</v>
      </c>
      <c r="J976" s="71" t="s">
        <v>3456</v>
      </c>
      <c r="K976" s="70" t="s">
        <v>3457</v>
      </c>
      <c r="L976" s="72">
        <v>1518</v>
      </c>
      <c r="M976" s="44">
        <v>1519</v>
      </c>
      <c r="N976" s="7" t="s">
        <v>239</v>
      </c>
      <c r="O976" s="6" t="s">
        <v>239</v>
      </c>
      <c r="P976" s="6" t="s">
        <v>239</v>
      </c>
      <c r="Q976" s="6" t="s">
        <v>1398</v>
      </c>
      <c r="R976" s="6"/>
      <c r="S976" s="6">
        <f t="shared" si="14"/>
        <v>1519</v>
      </c>
      <c r="T976" s="6"/>
      <c r="U976" s="6"/>
      <c r="V976" s="6"/>
      <c r="W976" s="6" t="s">
        <v>1398</v>
      </c>
      <c r="X976" s="57" t="s">
        <v>3458</v>
      </c>
      <c r="Y976" s="73" t="s">
        <v>3459</v>
      </c>
      <c r="Z976" s="6" t="s">
        <v>1336</v>
      </c>
      <c r="AA976" s="6" t="s">
        <v>40</v>
      </c>
    </row>
    <row r="977" spans="1:27" ht="18.75">
      <c r="A977" s="6">
        <v>975</v>
      </c>
      <c r="B977" s="6" t="s">
        <v>2158</v>
      </c>
      <c r="C977" s="7">
        <v>46155</v>
      </c>
      <c r="D977" s="6" t="s">
        <v>933</v>
      </c>
      <c r="E977" s="6" t="s">
        <v>2712</v>
      </c>
      <c r="F977" s="6" t="s">
        <v>966</v>
      </c>
      <c r="G977" s="6">
        <v>13</v>
      </c>
      <c r="H977" s="64" t="s">
        <v>3460</v>
      </c>
      <c r="I977" s="64" t="s">
        <v>3461</v>
      </c>
      <c r="J977" s="74" t="s">
        <v>3462</v>
      </c>
      <c r="K977" s="67" t="s">
        <v>3463</v>
      </c>
      <c r="L977" s="65">
        <v>11246</v>
      </c>
      <c r="M977" s="6">
        <v>1954</v>
      </c>
      <c r="N977" s="7" t="s">
        <v>239</v>
      </c>
      <c r="O977" s="6" t="s">
        <v>239</v>
      </c>
      <c r="P977" s="6" t="s">
        <v>239</v>
      </c>
      <c r="Q977" s="6" t="s">
        <v>971</v>
      </c>
      <c r="R977" s="6"/>
      <c r="S977" s="6">
        <f t="shared" si="14"/>
        <v>1954</v>
      </c>
      <c r="T977" s="6"/>
      <c r="U977" s="6"/>
      <c r="V977" s="6"/>
      <c r="W977" s="75" t="s">
        <v>315</v>
      </c>
      <c r="X977" s="75" t="s">
        <v>316</v>
      </c>
      <c r="Y977" s="75" t="s">
        <v>3464</v>
      </c>
      <c r="Z977" s="75" t="s">
        <v>172</v>
      </c>
      <c r="AA977" s="6" t="s">
        <v>235</v>
      </c>
    </row>
    <row r="978" spans="1:27" ht="18.75">
      <c r="A978" s="6">
        <v>976</v>
      </c>
      <c r="B978" s="6" t="s">
        <v>971</v>
      </c>
      <c r="C978" s="7">
        <v>46155</v>
      </c>
      <c r="D978" s="6" t="s">
        <v>933</v>
      </c>
      <c r="E978" s="6" t="s">
        <v>2712</v>
      </c>
      <c r="F978" s="6" t="s">
        <v>966</v>
      </c>
      <c r="G978" s="6">
        <v>13</v>
      </c>
      <c r="H978" s="64" t="s">
        <v>3465</v>
      </c>
      <c r="I978" s="64" t="s">
        <v>3466</v>
      </c>
      <c r="J978" s="74" t="s">
        <v>3467</v>
      </c>
      <c r="K978" s="67" t="s">
        <v>3468</v>
      </c>
      <c r="L978" s="65">
        <v>6802.68</v>
      </c>
      <c r="M978" s="6">
        <v>3042</v>
      </c>
      <c r="N978" s="7" t="s">
        <v>239</v>
      </c>
      <c r="O978" s="6" t="s">
        <v>239</v>
      </c>
      <c r="P978" s="6" t="s">
        <v>239</v>
      </c>
      <c r="Q978" s="6" t="s">
        <v>971</v>
      </c>
      <c r="R978" s="6"/>
      <c r="S978" s="6">
        <f t="shared" si="14"/>
        <v>3042</v>
      </c>
      <c r="T978" s="6"/>
      <c r="U978" s="6"/>
      <c r="V978" s="6"/>
      <c r="W978" s="75" t="s">
        <v>2161</v>
      </c>
      <c r="X978" s="75" t="s">
        <v>1341</v>
      </c>
      <c r="Y978" s="75" t="s">
        <v>3469</v>
      </c>
      <c r="Z978" s="75" t="s">
        <v>40</v>
      </c>
      <c r="AA978" s="6" t="s">
        <v>235</v>
      </c>
    </row>
    <row r="979" spans="1:27" ht="18.75">
      <c r="A979" s="6">
        <v>977</v>
      </c>
      <c r="B979" s="6" t="s">
        <v>971</v>
      </c>
      <c r="C979" s="7">
        <v>46155</v>
      </c>
      <c r="D979" s="6" t="s">
        <v>933</v>
      </c>
      <c r="E979" s="6" t="s">
        <v>2712</v>
      </c>
      <c r="F979" s="6" t="s">
        <v>966</v>
      </c>
      <c r="G979" s="6">
        <v>13</v>
      </c>
      <c r="H979" s="64" t="s">
        <v>3470</v>
      </c>
      <c r="I979" s="64" t="s">
        <v>3471</v>
      </c>
      <c r="J979" s="74" t="s">
        <v>3472</v>
      </c>
      <c r="K979" s="67" t="s">
        <v>3473</v>
      </c>
      <c r="L979" s="65">
        <v>10279</v>
      </c>
      <c r="M979" s="6">
        <v>1422</v>
      </c>
      <c r="N979" s="7" t="s">
        <v>239</v>
      </c>
      <c r="O979" s="6" t="s">
        <v>239</v>
      </c>
      <c r="P979" s="6" t="s">
        <v>239</v>
      </c>
      <c r="Q979" s="6" t="s">
        <v>971</v>
      </c>
      <c r="R979" s="6"/>
      <c r="S979" s="6">
        <f t="shared" si="14"/>
        <v>1422</v>
      </c>
      <c r="T979" s="6"/>
      <c r="U979" s="6"/>
      <c r="V979" s="6"/>
      <c r="W979" s="76" t="s">
        <v>315</v>
      </c>
      <c r="X979" s="75" t="s">
        <v>316</v>
      </c>
      <c r="Y979" s="76" t="s">
        <v>3474</v>
      </c>
      <c r="Z979" s="76" t="s">
        <v>172</v>
      </c>
      <c r="AA979" s="6" t="s">
        <v>235</v>
      </c>
    </row>
    <row r="980" spans="1:27" ht="18.75">
      <c r="A980" s="6">
        <v>978</v>
      </c>
      <c r="B980" s="6" t="s">
        <v>971</v>
      </c>
      <c r="C980" s="7">
        <v>46155</v>
      </c>
      <c r="D980" s="6" t="s">
        <v>933</v>
      </c>
      <c r="E980" s="6" t="s">
        <v>2712</v>
      </c>
      <c r="F980" s="6" t="s">
        <v>966</v>
      </c>
      <c r="G980" s="6">
        <v>13</v>
      </c>
      <c r="H980" s="64" t="s">
        <v>3475</v>
      </c>
      <c r="I980" s="64" t="s">
        <v>3476</v>
      </c>
      <c r="J980" s="74" t="s">
        <v>3477</v>
      </c>
      <c r="K980" s="67" t="s">
        <v>3478</v>
      </c>
      <c r="L980" s="65">
        <v>10235</v>
      </c>
      <c r="M980" s="6">
        <v>3353</v>
      </c>
      <c r="N980" s="7" t="s">
        <v>239</v>
      </c>
      <c r="O980" s="6" t="s">
        <v>239</v>
      </c>
      <c r="P980" s="6" t="s">
        <v>239</v>
      </c>
      <c r="Q980" s="6" t="s">
        <v>971</v>
      </c>
      <c r="R980" s="6"/>
      <c r="S980" s="6">
        <f t="shared" si="14"/>
        <v>3353</v>
      </c>
      <c r="T980" s="6"/>
      <c r="U980" s="6"/>
      <c r="V980" s="6"/>
      <c r="W980" s="75" t="s">
        <v>3479</v>
      </c>
      <c r="X980" s="75" t="s">
        <v>3480</v>
      </c>
      <c r="Y980" s="75" t="s">
        <v>3481</v>
      </c>
      <c r="Z980" s="75" t="s">
        <v>234</v>
      </c>
      <c r="AA980" s="6" t="s">
        <v>235</v>
      </c>
    </row>
    <row r="981" spans="1:27" ht="18.75">
      <c r="A981" s="6">
        <v>979</v>
      </c>
      <c r="B981" s="6" t="s">
        <v>971</v>
      </c>
      <c r="C981" s="7">
        <v>46155</v>
      </c>
      <c r="D981" s="6" t="s">
        <v>933</v>
      </c>
      <c r="E981" s="6" t="s">
        <v>2712</v>
      </c>
      <c r="F981" s="6" t="s">
        <v>966</v>
      </c>
      <c r="G981" s="6">
        <v>13</v>
      </c>
      <c r="H981" s="64" t="s">
        <v>3482</v>
      </c>
      <c r="I981" s="64" t="s">
        <v>3483</v>
      </c>
      <c r="J981" s="74" t="s">
        <v>3484</v>
      </c>
      <c r="K981" s="67" t="s">
        <v>3485</v>
      </c>
      <c r="L981" s="65">
        <v>9811</v>
      </c>
      <c r="M981" s="6">
        <v>2596</v>
      </c>
      <c r="N981" s="7" t="s">
        <v>239</v>
      </c>
      <c r="O981" s="6" t="s">
        <v>239</v>
      </c>
      <c r="P981" s="6" t="s">
        <v>239</v>
      </c>
      <c r="Q981" s="6" t="s">
        <v>971</v>
      </c>
      <c r="R981" s="6"/>
      <c r="S981" s="6">
        <f t="shared" si="14"/>
        <v>2596</v>
      </c>
      <c r="T981" s="6"/>
      <c r="U981" s="6"/>
      <c r="V981" s="6"/>
      <c r="W981" s="75" t="s">
        <v>315</v>
      </c>
      <c r="X981" s="75" t="s">
        <v>316</v>
      </c>
      <c r="Y981" s="75" t="s">
        <v>3486</v>
      </c>
      <c r="Z981" s="75" t="s">
        <v>172</v>
      </c>
      <c r="AA981" s="6" t="s">
        <v>235</v>
      </c>
    </row>
    <row r="982" spans="1:27" ht="18.75">
      <c r="A982" s="6">
        <v>980</v>
      </c>
      <c r="B982" s="6" t="s">
        <v>971</v>
      </c>
      <c r="C982" s="7">
        <v>46155</v>
      </c>
      <c r="D982" s="6" t="s">
        <v>933</v>
      </c>
      <c r="E982" s="6" t="s">
        <v>2712</v>
      </c>
      <c r="F982" s="6" t="s">
        <v>966</v>
      </c>
      <c r="G982" s="6">
        <v>13</v>
      </c>
      <c r="H982" s="64" t="s">
        <v>3487</v>
      </c>
      <c r="I982" s="64" t="s">
        <v>3488</v>
      </c>
      <c r="J982" s="74" t="s">
        <v>3489</v>
      </c>
      <c r="K982" s="67" t="s">
        <v>3490</v>
      </c>
      <c r="L982" s="65">
        <v>7588</v>
      </c>
      <c r="M982" s="6">
        <v>1131</v>
      </c>
      <c r="N982" s="7" t="s">
        <v>239</v>
      </c>
      <c r="O982" s="6" t="s">
        <v>239</v>
      </c>
      <c r="P982" s="6" t="s">
        <v>239</v>
      </c>
      <c r="Q982" s="6" t="s">
        <v>971</v>
      </c>
      <c r="R982" s="6"/>
      <c r="S982" s="6">
        <f t="shared" ref="S982:S1045" si="15">M982-R982</f>
        <v>1131</v>
      </c>
      <c r="T982" s="6"/>
      <c r="U982" s="6"/>
      <c r="V982" s="6"/>
      <c r="W982" s="75" t="s">
        <v>3479</v>
      </c>
      <c r="X982" s="75" t="s">
        <v>1341</v>
      </c>
      <c r="Y982" s="75" t="s">
        <v>3491</v>
      </c>
      <c r="Z982" s="75" t="s">
        <v>40</v>
      </c>
      <c r="AA982" s="6" t="s">
        <v>235</v>
      </c>
    </row>
    <row r="983" spans="1:27" ht="18.75">
      <c r="A983" s="6">
        <v>981</v>
      </c>
      <c r="B983" s="6" t="s">
        <v>971</v>
      </c>
      <c r="C983" s="7">
        <v>46155</v>
      </c>
      <c r="D983" s="6" t="s">
        <v>933</v>
      </c>
      <c r="E983" s="6" t="s">
        <v>2712</v>
      </c>
      <c r="F983" s="6" t="s">
        <v>966</v>
      </c>
      <c r="G983" s="6">
        <v>13</v>
      </c>
      <c r="H983" s="64" t="s">
        <v>3492</v>
      </c>
      <c r="I983" s="64" t="s">
        <v>3493</v>
      </c>
      <c r="J983" s="74" t="s">
        <v>3494</v>
      </c>
      <c r="K983" s="67" t="s">
        <v>3495</v>
      </c>
      <c r="L983" s="65">
        <v>10594</v>
      </c>
      <c r="M983" s="6">
        <v>1764</v>
      </c>
      <c r="N983" s="7" t="s">
        <v>239</v>
      </c>
      <c r="O983" s="6" t="s">
        <v>239</v>
      </c>
      <c r="P983" s="6" t="s">
        <v>239</v>
      </c>
      <c r="Q983" s="6" t="s">
        <v>971</v>
      </c>
      <c r="R983" s="6"/>
      <c r="S983" s="6">
        <f t="shared" si="15"/>
        <v>1764</v>
      </c>
      <c r="T983" s="6"/>
      <c r="U983" s="6"/>
      <c r="V983" s="6"/>
      <c r="W983" s="75" t="s">
        <v>3496</v>
      </c>
      <c r="X983" s="75" t="s">
        <v>329</v>
      </c>
      <c r="Y983" s="75" t="s">
        <v>3497</v>
      </c>
      <c r="Z983" s="75" t="s">
        <v>57</v>
      </c>
      <c r="AA983" s="6" t="s">
        <v>235</v>
      </c>
    </row>
    <row r="984" spans="1:27" ht="18.75">
      <c r="A984" s="6">
        <v>982</v>
      </c>
      <c r="B984" s="6" t="s">
        <v>971</v>
      </c>
      <c r="C984" s="7">
        <v>46155</v>
      </c>
      <c r="D984" s="6" t="s">
        <v>933</v>
      </c>
      <c r="E984" s="6" t="s">
        <v>2712</v>
      </c>
      <c r="F984" s="6" t="s">
        <v>966</v>
      </c>
      <c r="G984" s="6">
        <v>13</v>
      </c>
      <c r="H984" s="64" t="s">
        <v>3498</v>
      </c>
      <c r="I984" s="64" t="s">
        <v>3499</v>
      </c>
      <c r="J984" s="74" t="s">
        <v>3500</v>
      </c>
      <c r="K984" s="67" t="s">
        <v>3501</v>
      </c>
      <c r="L984" s="65">
        <v>6628</v>
      </c>
      <c r="M984" s="6">
        <v>1963</v>
      </c>
      <c r="N984" s="7" t="s">
        <v>239</v>
      </c>
      <c r="O984" s="6" t="s">
        <v>239</v>
      </c>
      <c r="P984" s="6" t="s">
        <v>239</v>
      </c>
      <c r="Q984" s="6" t="s">
        <v>971</v>
      </c>
      <c r="R984" s="6"/>
      <c r="S984" s="6">
        <f t="shared" si="15"/>
        <v>1963</v>
      </c>
      <c r="T984" s="6"/>
      <c r="U984" s="6"/>
      <c r="V984" s="6"/>
      <c r="W984" s="75" t="s">
        <v>3502</v>
      </c>
      <c r="X984" s="75" t="s">
        <v>1341</v>
      </c>
      <c r="Y984" s="75" t="s">
        <v>3503</v>
      </c>
      <c r="Z984" s="75" t="s">
        <v>1500</v>
      </c>
      <c r="AA984" s="6" t="s">
        <v>235</v>
      </c>
    </row>
    <row r="985" spans="1:27" ht="18.75">
      <c r="A985" s="6">
        <v>983</v>
      </c>
      <c r="B985" s="6" t="s">
        <v>971</v>
      </c>
      <c r="C985" s="7">
        <v>46155</v>
      </c>
      <c r="D985" s="6" t="s">
        <v>933</v>
      </c>
      <c r="E985" s="6" t="s">
        <v>2712</v>
      </c>
      <c r="F985" s="6" t="s">
        <v>966</v>
      </c>
      <c r="G985" s="6">
        <v>13</v>
      </c>
      <c r="H985" s="64" t="s">
        <v>3504</v>
      </c>
      <c r="I985" s="64" t="s">
        <v>3505</v>
      </c>
      <c r="J985" s="74" t="s">
        <v>3506</v>
      </c>
      <c r="K985" s="67" t="s">
        <v>3507</v>
      </c>
      <c r="L985" s="65">
        <v>5712</v>
      </c>
      <c r="M985" s="6">
        <v>1703</v>
      </c>
      <c r="N985" s="7" t="s">
        <v>239</v>
      </c>
      <c r="O985" s="6" t="s">
        <v>239</v>
      </c>
      <c r="P985" s="6" t="s">
        <v>239</v>
      </c>
      <c r="Q985" s="6" t="s">
        <v>971</v>
      </c>
      <c r="R985" s="6"/>
      <c r="S985" s="6">
        <f t="shared" si="15"/>
        <v>1703</v>
      </c>
      <c r="T985" s="6"/>
      <c r="U985" s="6"/>
      <c r="V985" s="6"/>
      <c r="W985" s="75" t="s">
        <v>3508</v>
      </c>
      <c r="X985" s="75" t="s">
        <v>2347</v>
      </c>
      <c r="Y985" s="75" t="s">
        <v>3509</v>
      </c>
      <c r="Z985" s="75" t="s">
        <v>3510</v>
      </c>
      <c r="AA985" s="6" t="s">
        <v>235</v>
      </c>
    </row>
    <row r="986" spans="1:27" ht="18.75">
      <c r="A986" s="6">
        <v>984</v>
      </c>
      <c r="B986" s="6" t="s">
        <v>971</v>
      </c>
      <c r="C986" s="7">
        <v>46155</v>
      </c>
      <c r="D986" s="6" t="s">
        <v>933</v>
      </c>
      <c r="E986" s="6" t="s">
        <v>2712</v>
      </c>
      <c r="F986" s="6" t="s">
        <v>966</v>
      </c>
      <c r="G986" s="6">
        <v>13</v>
      </c>
      <c r="H986" s="64" t="s">
        <v>3511</v>
      </c>
      <c r="I986" s="64" t="s">
        <v>3512</v>
      </c>
      <c r="J986" s="74" t="s">
        <v>3513</v>
      </c>
      <c r="K986" s="67" t="s">
        <v>3514</v>
      </c>
      <c r="L986" s="65">
        <v>4612</v>
      </c>
      <c r="M986" s="6">
        <v>1016</v>
      </c>
      <c r="N986" s="7" t="s">
        <v>239</v>
      </c>
      <c r="O986" s="6" t="s">
        <v>239</v>
      </c>
      <c r="P986" s="6" t="s">
        <v>239</v>
      </c>
      <c r="Q986" s="6" t="s">
        <v>971</v>
      </c>
      <c r="R986" s="6"/>
      <c r="S986" s="6">
        <f t="shared" si="15"/>
        <v>1016</v>
      </c>
      <c r="T986" s="6"/>
      <c r="U986" s="6"/>
      <c r="V986" s="6"/>
      <c r="W986" s="75" t="s">
        <v>3496</v>
      </c>
      <c r="X986" s="75" t="s">
        <v>1254</v>
      </c>
      <c r="Y986" s="75" t="s">
        <v>3515</v>
      </c>
      <c r="Z986" s="75" t="s">
        <v>3516</v>
      </c>
      <c r="AA986" s="6" t="s">
        <v>235</v>
      </c>
    </row>
    <row r="987" spans="1:27">
      <c r="A987" s="6">
        <v>985</v>
      </c>
      <c r="B987" s="40" t="s">
        <v>346</v>
      </c>
      <c r="C987" s="7">
        <v>46157</v>
      </c>
      <c r="D987" s="40" t="s">
        <v>226</v>
      </c>
      <c r="E987" s="6" t="s">
        <v>2712</v>
      </c>
      <c r="F987" s="40" t="s">
        <v>240</v>
      </c>
      <c r="G987" s="41">
        <v>15</v>
      </c>
      <c r="H987" s="40" t="s">
        <v>3517</v>
      </c>
      <c r="I987" s="41">
        <v>9994427360</v>
      </c>
      <c r="J987" s="77" t="s">
        <v>3518</v>
      </c>
      <c r="K987" s="77" t="s">
        <v>3518</v>
      </c>
      <c r="L987" s="41">
        <v>30</v>
      </c>
      <c r="M987" s="41">
        <v>30</v>
      </c>
      <c r="N987" s="7" t="s">
        <v>239</v>
      </c>
      <c r="O987" s="6" t="s">
        <v>239</v>
      </c>
      <c r="P987" s="6" t="s">
        <v>239</v>
      </c>
      <c r="Q987" s="6" t="s">
        <v>236</v>
      </c>
      <c r="R987" s="41"/>
      <c r="S987" s="6">
        <f t="shared" si="15"/>
        <v>30</v>
      </c>
      <c r="T987" s="40"/>
      <c r="U987" s="40"/>
      <c r="V987" s="40"/>
      <c r="W987" s="6" t="s">
        <v>236</v>
      </c>
      <c r="X987" s="6" t="s">
        <v>236</v>
      </c>
      <c r="Y987" s="6" t="s">
        <v>236</v>
      </c>
      <c r="Z987" s="6" t="s">
        <v>236</v>
      </c>
      <c r="AA987" s="6" t="s">
        <v>236</v>
      </c>
    </row>
    <row r="988" spans="1:27">
      <c r="A988" s="6">
        <v>986</v>
      </c>
      <c r="B988" s="40" t="s">
        <v>346</v>
      </c>
      <c r="C988" s="7">
        <v>46157</v>
      </c>
      <c r="D988" s="40" t="s">
        <v>226</v>
      </c>
      <c r="E988" s="6" t="s">
        <v>2712</v>
      </c>
      <c r="F988" s="40" t="s">
        <v>240</v>
      </c>
      <c r="G988" s="41">
        <v>15</v>
      </c>
      <c r="H988" s="42" t="s">
        <v>3519</v>
      </c>
      <c r="I988" s="42">
        <v>9087564511</v>
      </c>
      <c r="J988" s="43" t="s">
        <v>3520</v>
      </c>
      <c r="K988" s="43" t="s">
        <v>3520</v>
      </c>
      <c r="L988" s="41">
        <v>60</v>
      </c>
      <c r="M988" s="41">
        <v>60</v>
      </c>
      <c r="N988" s="7" t="s">
        <v>239</v>
      </c>
      <c r="O988" s="6" t="s">
        <v>239</v>
      </c>
      <c r="P988" s="6" t="s">
        <v>239</v>
      </c>
      <c r="Q988" s="6" t="s">
        <v>236</v>
      </c>
      <c r="R988" s="41"/>
      <c r="S988" s="6">
        <f t="shared" si="15"/>
        <v>60</v>
      </c>
      <c r="T988" s="40"/>
      <c r="U988" s="40"/>
      <c r="V988" s="40"/>
      <c r="W988" s="6" t="s">
        <v>236</v>
      </c>
      <c r="X988" s="6" t="s">
        <v>236</v>
      </c>
      <c r="Y988" s="6" t="s">
        <v>236</v>
      </c>
      <c r="Z988" s="6" t="s">
        <v>236</v>
      </c>
      <c r="AA988" s="6" t="s">
        <v>236</v>
      </c>
    </row>
    <row r="989" spans="1:27">
      <c r="A989" s="6">
        <v>987</v>
      </c>
      <c r="B989" s="40" t="s">
        <v>346</v>
      </c>
      <c r="C989" s="7">
        <v>46157</v>
      </c>
      <c r="D989" s="40" t="s">
        <v>226</v>
      </c>
      <c r="E989" s="6" t="s">
        <v>2712</v>
      </c>
      <c r="F989" s="40" t="s">
        <v>240</v>
      </c>
      <c r="G989" s="41">
        <v>15</v>
      </c>
      <c r="H989" s="42" t="s">
        <v>3521</v>
      </c>
      <c r="I989" s="42">
        <v>7259389773</v>
      </c>
      <c r="J989" s="43" t="s">
        <v>3522</v>
      </c>
      <c r="K989" s="43" t="s">
        <v>3522</v>
      </c>
      <c r="L989" s="41">
        <v>430</v>
      </c>
      <c r="M989" s="41">
        <v>430</v>
      </c>
      <c r="N989" s="7" t="s">
        <v>239</v>
      </c>
      <c r="O989" s="6" t="s">
        <v>239</v>
      </c>
      <c r="P989" s="6" t="s">
        <v>239</v>
      </c>
      <c r="Q989" s="6" t="s">
        <v>236</v>
      </c>
      <c r="R989" s="41"/>
      <c r="S989" s="6">
        <f t="shared" si="15"/>
        <v>430</v>
      </c>
      <c r="T989" s="40"/>
      <c r="U989" s="40"/>
      <c r="V989" s="40"/>
      <c r="W989" s="6" t="s">
        <v>236</v>
      </c>
      <c r="X989" s="6" t="s">
        <v>236</v>
      </c>
      <c r="Y989" s="6" t="s">
        <v>236</v>
      </c>
      <c r="Z989" s="6" t="s">
        <v>236</v>
      </c>
      <c r="AA989" s="6" t="s">
        <v>236</v>
      </c>
    </row>
    <row r="990" spans="1:27">
      <c r="A990" s="6">
        <v>988</v>
      </c>
      <c r="B990" s="40" t="s">
        <v>346</v>
      </c>
      <c r="C990" s="7">
        <v>46157</v>
      </c>
      <c r="D990" s="40" t="s">
        <v>226</v>
      </c>
      <c r="E990" s="6" t="s">
        <v>2712</v>
      </c>
      <c r="F990" s="40" t="s">
        <v>240</v>
      </c>
      <c r="G990" s="41">
        <v>15</v>
      </c>
      <c r="H990" s="42" t="s">
        <v>3523</v>
      </c>
      <c r="I990" s="42">
        <v>9747692482</v>
      </c>
      <c r="J990" s="43" t="s">
        <v>3524</v>
      </c>
      <c r="K990" s="43" t="s">
        <v>3524</v>
      </c>
      <c r="L990" s="41">
        <v>760</v>
      </c>
      <c r="M990" s="41">
        <v>760</v>
      </c>
      <c r="N990" s="7" t="s">
        <v>239</v>
      </c>
      <c r="O990" s="6" t="s">
        <v>239</v>
      </c>
      <c r="P990" s="6" t="s">
        <v>239</v>
      </c>
      <c r="Q990" s="6" t="s">
        <v>236</v>
      </c>
      <c r="R990" s="41"/>
      <c r="S990" s="6">
        <f t="shared" si="15"/>
        <v>760</v>
      </c>
      <c r="T990" s="40"/>
      <c r="U990" s="40"/>
      <c r="V990" s="40"/>
      <c r="W990" s="6" t="s">
        <v>236</v>
      </c>
      <c r="X990" s="6" t="s">
        <v>236</v>
      </c>
      <c r="Y990" s="6" t="s">
        <v>236</v>
      </c>
      <c r="Z990" s="6" t="s">
        <v>236</v>
      </c>
      <c r="AA990" s="6" t="s">
        <v>236</v>
      </c>
    </row>
    <row r="991" spans="1:27">
      <c r="A991" s="6">
        <v>989</v>
      </c>
      <c r="B991" s="40" t="s">
        <v>346</v>
      </c>
      <c r="C991" s="7">
        <v>46157</v>
      </c>
      <c r="D991" s="40" t="s">
        <v>226</v>
      </c>
      <c r="E991" s="6" t="s">
        <v>2712</v>
      </c>
      <c r="F991" s="40" t="s">
        <v>240</v>
      </c>
      <c r="G991" s="41">
        <v>15</v>
      </c>
      <c r="H991" s="42" t="s">
        <v>3525</v>
      </c>
      <c r="I991" s="42">
        <v>9550055768</v>
      </c>
      <c r="J991" s="43" t="s">
        <v>3526</v>
      </c>
      <c r="K991" s="43" t="s">
        <v>3526</v>
      </c>
      <c r="L991" s="41">
        <v>1580</v>
      </c>
      <c r="M991" s="41">
        <v>1580</v>
      </c>
      <c r="N991" s="7" t="s">
        <v>239</v>
      </c>
      <c r="O991" s="6" t="s">
        <v>239</v>
      </c>
      <c r="P991" s="6" t="s">
        <v>239</v>
      </c>
      <c r="Q991" s="6" t="s">
        <v>236</v>
      </c>
      <c r="R991" s="41"/>
      <c r="S991" s="6">
        <f t="shared" si="15"/>
        <v>1580</v>
      </c>
      <c r="T991" s="40"/>
      <c r="U991" s="40"/>
      <c r="V991" s="40"/>
      <c r="W991" s="6" t="s">
        <v>236</v>
      </c>
      <c r="X991" s="6" t="s">
        <v>236</v>
      </c>
      <c r="Y991" s="6" t="s">
        <v>236</v>
      </c>
      <c r="Z991" s="6" t="s">
        <v>236</v>
      </c>
      <c r="AA991" s="6" t="s">
        <v>236</v>
      </c>
    </row>
    <row r="992" spans="1:27">
      <c r="A992" s="6">
        <v>990</v>
      </c>
      <c r="B992" s="40" t="s">
        <v>346</v>
      </c>
      <c r="C992" s="7">
        <v>46157</v>
      </c>
      <c r="D992" s="40" t="s">
        <v>226</v>
      </c>
      <c r="E992" s="6" t="s">
        <v>2712</v>
      </c>
      <c r="F992" s="40" t="s">
        <v>240</v>
      </c>
      <c r="G992" s="41">
        <v>15</v>
      </c>
      <c r="H992" s="42" t="s">
        <v>3527</v>
      </c>
      <c r="I992" s="42">
        <v>9989810550</v>
      </c>
      <c r="J992" s="43" t="s">
        <v>3528</v>
      </c>
      <c r="K992" s="43" t="s">
        <v>3528</v>
      </c>
      <c r="L992" s="41">
        <v>3100</v>
      </c>
      <c r="M992" s="41">
        <v>3100</v>
      </c>
      <c r="N992" s="7" t="s">
        <v>239</v>
      </c>
      <c r="O992" s="6" t="s">
        <v>239</v>
      </c>
      <c r="P992" s="6" t="s">
        <v>239</v>
      </c>
      <c r="Q992" s="6" t="s">
        <v>236</v>
      </c>
      <c r="R992" s="41"/>
      <c r="S992" s="6">
        <f t="shared" si="15"/>
        <v>3100</v>
      </c>
      <c r="T992" s="40"/>
      <c r="U992" s="40"/>
      <c r="V992" s="40"/>
      <c r="W992" s="6" t="s">
        <v>236</v>
      </c>
      <c r="X992" s="6" t="s">
        <v>236</v>
      </c>
      <c r="Y992" s="6" t="s">
        <v>236</v>
      </c>
      <c r="Z992" s="6" t="s">
        <v>236</v>
      </c>
      <c r="AA992" s="6" t="s">
        <v>236</v>
      </c>
    </row>
    <row r="993" spans="1:27">
      <c r="A993" s="6">
        <v>991</v>
      </c>
      <c r="B993" s="40" t="s">
        <v>346</v>
      </c>
      <c r="C993" s="7">
        <v>46157</v>
      </c>
      <c r="D993" s="40" t="s">
        <v>226</v>
      </c>
      <c r="E993" s="6" t="s">
        <v>2712</v>
      </c>
      <c r="F993" s="40" t="s">
        <v>240</v>
      </c>
      <c r="G993" s="41">
        <v>15</v>
      </c>
      <c r="H993" s="42" t="s">
        <v>3529</v>
      </c>
      <c r="I993" s="42">
        <v>8639641105</v>
      </c>
      <c r="J993" s="43" t="s">
        <v>3530</v>
      </c>
      <c r="K993" s="43" t="s">
        <v>3530</v>
      </c>
      <c r="L993" s="41">
        <v>5450</v>
      </c>
      <c r="M993" s="41">
        <v>5450</v>
      </c>
      <c r="N993" s="7" t="s">
        <v>239</v>
      </c>
      <c r="O993" s="6" t="s">
        <v>239</v>
      </c>
      <c r="P993" s="6" t="s">
        <v>239</v>
      </c>
      <c r="Q993" s="6" t="s">
        <v>236</v>
      </c>
      <c r="R993" s="41"/>
      <c r="S993" s="6">
        <f t="shared" si="15"/>
        <v>5450</v>
      </c>
      <c r="T993" s="40"/>
      <c r="U993" s="40"/>
      <c r="V993" s="40"/>
      <c r="W993" s="6" t="s">
        <v>236</v>
      </c>
      <c r="X993" s="6" t="s">
        <v>236</v>
      </c>
      <c r="Y993" s="6" t="s">
        <v>236</v>
      </c>
      <c r="Z993" s="6" t="s">
        <v>236</v>
      </c>
      <c r="AA993" s="6" t="s">
        <v>236</v>
      </c>
    </row>
    <row r="994" spans="1:27" ht="36">
      <c r="A994" s="6">
        <v>992</v>
      </c>
      <c r="B994" s="40" t="s">
        <v>346</v>
      </c>
      <c r="C994" s="7">
        <v>46158</v>
      </c>
      <c r="D994" s="40" t="s">
        <v>226</v>
      </c>
      <c r="E994" s="6" t="s">
        <v>2712</v>
      </c>
      <c r="F994" s="40" t="s">
        <v>746</v>
      </c>
      <c r="G994" s="41">
        <v>16</v>
      </c>
      <c r="H994" s="42" t="s">
        <v>3531</v>
      </c>
      <c r="I994" s="42">
        <v>9866464249</v>
      </c>
      <c r="J994" s="78" t="s">
        <v>3532</v>
      </c>
      <c r="K994" s="78" t="s">
        <v>3532</v>
      </c>
      <c r="L994" s="41">
        <v>2010</v>
      </c>
      <c r="M994" s="79">
        <v>2010</v>
      </c>
      <c r="N994" s="7" t="s">
        <v>239</v>
      </c>
      <c r="O994" s="6" t="s">
        <v>239</v>
      </c>
      <c r="P994" s="6" t="s">
        <v>239</v>
      </c>
      <c r="Q994" s="6" t="s">
        <v>236</v>
      </c>
      <c r="R994" s="41"/>
      <c r="S994" s="6">
        <f t="shared" si="15"/>
        <v>2010</v>
      </c>
      <c r="T994" s="40"/>
      <c r="U994" s="40"/>
      <c r="V994" s="40"/>
      <c r="W994" s="6" t="s">
        <v>236</v>
      </c>
      <c r="X994" s="6" t="s">
        <v>236</v>
      </c>
      <c r="Y994" s="6" t="s">
        <v>236</v>
      </c>
      <c r="Z994" s="6" t="s">
        <v>236</v>
      </c>
      <c r="AA994" s="6" t="s">
        <v>236</v>
      </c>
    </row>
    <row r="995" spans="1:27">
      <c r="A995" s="6">
        <v>993</v>
      </c>
      <c r="B995" s="40" t="s">
        <v>346</v>
      </c>
      <c r="C995" s="7">
        <v>46158</v>
      </c>
      <c r="D995" s="40" t="s">
        <v>226</v>
      </c>
      <c r="E995" s="6" t="s">
        <v>2712</v>
      </c>
      <c r="F995" s="40" t="s">
        <v>746</v>
      </c>
      <c r="G995" s="41">
        <v>16</v>
      </c>
      <c r="H995" s="42" t="s">
        <v>3533</v>
      </c>
      <c r="I995" s="42">
        <v>7978545738</v>
      </c>
      <c r="J995" s="43" t="s">
        <v>3534</v>
      </c>
      <c r="K995" s="43" t="s">
        <v>3534</v>
      </c>
      <c r="L995" s="42">
        <v>1890</v>
      </c>
      <c r="M995" s="80">
        <v>1890</v>
      </c>
      <c r="N995" s="7" t="s">
        <v>239</v>
      </c>
      <c r="O995" s="6" t="s">
        <v>239</v>
      </c>
      <c r="P995" s="6" t="s">
        <v>239</v>
      </c>
      <c r="Q995" s="6" t="s">
        <v>236</v>
      </c>
      <c r="R995" s="41"/>
      <c r="S995" s="6">
        <f t="shared" si="15"/>
        <v>1890</v>
      </c>
      <c r="T995" s="40"/>
      <c r="U995" s="40"/>
      <c r="V995" s="40"/>
      <c r="W995" s="6" t="s">
        <v>236</v>
      </c>
      <c r="X995" s="6" t="s">
        <v>236</v>
      </c>
      <c r="Y995" s="6" t="s">
        <v>236</v>
      </c>
      <c r="Z995" s="6" t="s">
        <v>236</v>
      </c>
      <c r="AA995" s="6" t="s">
        <v>236</v>
      </c>
    </row>
    <row r="996" spans="1:27">
      <c r="A996" s="6">
        <v>994</v>
      </c>
      <c r="B996" s="40" t="s">
        <v>346</v>
      </c>
      <c r="C996" s="7">
        <v>46158</v>
      </c>
      <c r="D996" s="40" t="s">
        <v>226</v>
      </c>
      <c r="E996" s="6" t="s">
        <v>2712</v>
      </c>
      <c r="F996" s="40" t="s">
        <v>746</v>
      </c>
      <c r="G996" s="41">
        <v>16</v>
      </c>
      <c r="H996" s="42" t="s">
        <v>3535</v>
      </c>
      <c r="I996" s="42">
        <v>9677092897</v>
      </c>
      <c r="J996" s="43" t="s">
        <v>3536</v>
      </c>
      <c r="K996" s="43" t="s">
        <v>3536</v>
      </c>
      <c r="L996" s="42">
        <v>1210</v>
      </c>
      <c r="M996" s="80">
        <v>1210</v>
      </c>
      <c r="N996" s="7" t="s">
        <v>239</v>
      </c>
      <c r="O996" s="6" t="s">
        <v>239</v>
      </c>
      <c r="P996" s="6" t="s">
        <v>239</v>
      </c>
      <c r="Q996" s="6" t="s">
        <v>236</v>
      </c>
      <c r="R996" s="41"/>
      <c r="S996" s="6">
        <f t="shared" si="15"/>
        <v>1210</v>
      </c>
      <c r="T996" s="40"/>
      <c r="U996" s="40"/>
      <c r="V996" s="40"/>
      <c r="W996" s="6" t="s">
        <v>236</v>
      </c>
      <c r="X996" s="6" t="s">
        <v>236</v>
      </c>
      <c r="Y996" s="6" t="s">
        <v>236</v>
      </c>
      <c r="Z996" s="6" t="s">
        <v>236</v>
      </c>
      <c r="AA996" s="6" t="s">
        <v>236</v>
      </c>
    </row>
    <row r="997" spans="1:27">
      <c r="A997" s="6">
        <v>995</v>
      </c>
      <c r="B997" s="40" t="s">
        <v>346</v>
      </c>
      <c r="C997" s="7">
        <v>46158</v>
      </c>
      <c r="D997" s="40" t="s">
        <v>226</v>
      </c>
      <c r="E997" s="6" t="s">
        <v>2712</v>
      </c>
      <c r="F997" s="40" t="s">
        <v>746</v>
      </c>
      <c r="G997" s="41">
        <v>16</v>
      </c>
      <c r="H997" s="42" t="s">
        <v>3537</v>
      </c>
      <c r="I997" s="42">
        <v>9133892018</v>
      </c>
      <c r="J997" s="43" t="s">
        <v>3538</v>
      </c>
      <c r="K997" s="43" t="s">
        <v>3538</v>
      </c>
      <c r="L997" s="42">
        <v>1620</v>
      </c>
      <c r="M997" s="80">
        <v>1620</v>
      </c>
      <c r="N997" s="7" t="s">
        <v>239</v>
      </c>
      <c r="O997" s="6" t="s">
        <v>239</v>
      </c>
      <c r="P997" s="6" t="s">
        <v>239</v>
      </c>
      <c r="Q997" s="6" t="s">
        <v>236</v>
      </c>
      <c r="R997" s="41"/>
      <c r="S997" s="6">
        <f t="shared" si="15"/>
        <v>1620</v>
      </c>
      <c r="T997" s="40"/>
      <c r="U997" s="40"/>
      <c r="V997" s="40"/>
      <c r="W997" s="6" t="s">
        <v>236</v>
      </c>
      <c r="X997" s="6" t="s">
        <v>236</v>
      </c>
      <c r="Y997" s="6" t="s">
        <v>236</v>
      </c>
      <c r="Z997" s="6" t="s">
        <v>236</v>
      </c>
      <c r="AA997" s="6" t="s">
        <v>236</v>
      </c>
    </row>
    <row r="998" spans="1:27">
      <c r="A998" s="6">
        <v>996</v>
      </c>
      <c r="B998" s="40" t="s">
        <v>346</v>
      </c>
      <c r="C998" s="7">
        <v>46158</v>
      </c>
      <c r="D998" s="40" t="s">
        <v>226</v>
      </c>
      <c r="E998" s="6" t="s">
        <v>2712</v>
      </c>
      <c r="F998" s="40" t="s">
        <v>746</v>
      </c>
      <c r="G998" s="41">
        <v>16</v>
      </c>
      <c r="H998" s="42" t="s">
        <v>3539</v>
      </c>
      <c r="I998" s="42">
        <v>9840119990</v>
      </c>
      <c r="J998" s="43" t="s">
        <v>3540</v>
      </c>
      <c r="K998" s="43" t="s">
        <v>3540</v>
      </c>
      <c r="L998" s="42">
        <v>1320</v>
      </c>
      <c r="M998" s="80">
        <v>1320</v>
      </c>
      <c r="N998" s="7" t="s">
        <v>239</v>
      </c>
      <c r="O998" s="6" t="s">
        <v>239</v>
      </c>
      <c r="P998" s="6" t="s">
        <v>239</v>
      </c>
      <c r="Q998" s="6" t="s">
        <v>236</v>
      </c>
      <c r="R998" s="41"/>
      <c r="S998" s="6">
        <f t="shared" si="15"/>
        <v>1320</v>
      </c>
      <c r="T998" s="40"/>
      <c r="U998" s="40"/>
      <c r="V998" s="40"/>
      <c r="W998" s="6" t="s">
        <v>236</v>
      </c>
      <c r="X998" s="6" t="s">
        <v>236</v>
      </c>
      <c r="Y998" s="6" t="s">
        <v>236</v>
      </c>
      <c r="Z998" s="6" t="s">
        <v>236</v>
      </c>
      <c r="AA998" s="6" t="s">
        <v>236</v>
      </c>
    </row>
    <row r="999" spans="1:27">
      <c r="A999" s="6">
        <v>997</v>
      </c>
      <c r="B999" s="40" t="s">
        <v>346</v>
      </c>
      <c r="C999" s="7">
        <v>46158</v>
      </c>
      <c r="D999" s="40" t="s">
        <v>226</v>
      </c>
      <c r="E999" s="6" t="s">
        <v>2712</v>
      </c>
      <c r="F999" s="40" t="s">
        <v>746</v>
      </c>
      <c r="G999" s="41">
        <v>16</v>
      </c>
      <c r="H999" s="42" t="s">
        <v>3541</v>
      </c>
      <c r="I999" s="42">
        <v>7995919459</v>
      </c>
      <c r="J999" s="43" t="s">
        <v>3542</v>
      </c>
      <c r="K999" s="43" t="s">
        <v>3542</v>
      </c>
      <c r="L999" s="42">
        <v>890</v>
      </c>
      <c r="M999" s="80">
        <v>890</v>
      </c>
      <c r="N999" s="7" t="s">
        <v>239</v>
      </c>
      <c r="O999" s="6" t="s">
        <v>239</v>
      </c>
      <c r="P999" s="6" t="s">
        <v>239</v>
      </c>
      <c r="Q999" s="6" t="s">
        <v>236</v>
      </c>
      <c r="R999" s="41"/>
      <c r="S999" s="6">
        <f t="shared" si="15"/>
        <v>890</v>
      </c>
      <c r="T999" s="40"/>
      <c r="U999" s="40"/>
      <c r="V999" s="40"/>
      <c r="W999" s="6" t="s">
        <v>236</v>
      </c>
      <c r="X999" s="6" t="s">
        <v>236</v>
      </c>
      <c r="Y999" s="6" t="s">
        <v>236</v>
      </c>
      <c r="Z999" s="6" t="s">
        <v>236</v>
      </c>
      <c r="AA999" s="6" t="s">
        <v>236</v>
      </c>
    </row>
    <row r="1000" spans="1:27">
      <c r="A1000" s="6">
        <v>998</v>
      </c>
      <c r="B1000" s="40" t="s">
        <v>346</v>
      </c>
      <c r="C1000" s="7">
        <v>46158</v>
      </c>
      <c r="D1000" s="40" t="s">
        <v>226</v>
      </c>
      <c r="E1000" s="6" t="s">
        <v>2712</v>
      </c>
      <c r="F1000" s="40" t="s">
        <v>746</v>
      </c>
      <c r="G1000" s="41">
        <v>16</v>
      </c>
      <c r="H1000" s="42" t="s">
        <v>3543</v>
      </c>
      <c r="I1000" s="42">
        <v>9940514295</v>
      </c>
      <c r="J1000" s="43" t="s">
        <v>3544</v>
      </c>
      <c r="K1000" s="43" t="s">
        <v>3544</v>
      </c>
      <c r="L1000" s="42">
        <v>1633</v>
      </c>
      <c r="M1000" s="80">
        <v>1633</v>
      </c>
      <c r="N1000" s="7" t="s">
        <v>239</v>
      </c>
      <c r="O1000" s="6" t="s">
        <v>239</v>
      </c>
      <c r="P1000" s="6" t="s">
        <v>239</v>
      </c>
      <c r="Q1000" s="6" t="s">
        <v>236</v>
      </c>
      <c r="R1000" s="41"/>
      <c r="S1000" s="6">
        <f t="shared" si="15"/>
        <v>1633</v>
      </c>
      <c r="T1000" s="40"/>
      <c r="U1000" s="40"/>
      <c r="V1000" s="40"/>
      <c r="W1000" s="6" t="s">
        <v>236</v>
      </c>
      <c r="X1000" s="6" t="s">
        <v>236</v>
      </c>
      <c r="Y1000" s="6" t="s">
        <v>236</v>
      </c>
      <c r="Z1000" s="6" t="s">
        <v>236</v>
      </c>
      <c r="AA1000" s="6" t="s">
        <v>236</v>
      </c>
    </row>
    <row r="1001" spans="1:27">
      <c r="A1001" s="6">
        <v>999</v>
      </c>
      <c r="B1001" s="40" t="s">
        <v>346</v>
      </c>
      <c r="C1001" s="7">
        <v>46158</v>
      </c>
      <c r="D1001" s="40" t="s">
        <v>226</v>
      </c>
      <c r="E1001" s="6" t="s">
        <v>2712</v>
      </c>
      <c r="F1001" s="40" t="s">
        <v>746</v>
      </c>
      <c r="G1001" s="41">
        <v>16</v>
      </c>
      <c r="H1001" s="42" t="s">
        <v>3545</v>
      </c>
      <c r="I1001" s="42">
        <v>9493231568</v>
      </c>
      <c r="J1001" s="43" t="s">
        <v>3546</v>
      </c>
      <c r="K1001" s="43" t="s">
        <v>3546</v>
      </c>
      <c r="L1001" s="41">
        <v>1203</v>
      </c>
      <c r="M1001" s="79">
        <v>1203</v>
      </c>
      <c r="N1001" s="7" t="s">
        <v>239</v>
      </c>
      <c r="O1001" s="6" t="s">
        <v>239</v>
      </c>
      <c r="P1001" s="6" t="s">
        <v>239</v>
      </c>
      <c r="Q1001" s="6" t="s">
        <v>236</v>
      </c>
      <c r="R1001" s="41"/>
      <c r="S1001" s="6">
        <f t="shared" si="15"/>
        <v>1203</v>
      </c>
      <c r="T1001" s="40"/>
      <c r="U1001" s="40"/>
      <c r="V1001" s="40"/>
      <c r="W1001" s="6" t="s">
        <v>236</v>
      </c>
      <c r="X1001" s="6" t="s">
        <v>236</v>
      </c>
      <c r="Y1001" s="6" t="s">
        <v>236</v>
      </c>
      <c r="Z1001" s="6" t="s">
        <v>236</v>
      </c>
      <c r="AA1001" s="6" t="s">
        <v>236</v>
      </c>
    </row>
    <row r="1002" spans="1:27" ht="18.75">
      <c r="A1002" s="6">
        <v>1000</v>
      </c>
      <c r="B1002" s="40" t="s">
        <v>346</v>
      </c>
      <c r="C1002" s="7">
        <v>46158</v>
      </c>
      <c r="D1002" s="40" t="s">
        <v>226</v>
      </c>
      <c r="E1002" s="6" t="s">
        <v>2712</v>
      </c>
      <c r="F1002" s="40" t="s">
        <v>364</v>
      </c>
      <c r="G1002" s="41">
        <v>16</v>
      </c>
      <c r="H1002" s="40" t="s">
        <v>3547</v>
      </c>
      <c r="I1002" s="40">
        <v>7416824168</v>
      </c>
      <c r="J1002" s="43" t="s">
        <v>3548</v>
      </c>
      <c r="K1002" s="43" t="s">
        <v>3548</v>
      </c>
      <c r="L1002" s="41">
        <v>18820</v>
      </c>
      <c r="M1002" s="79">
        <v>18820</v>
      </c>
      <c r="N1002" s="47"/>
      <c r="O1002" s="40" t="s">
        <v>643</v>
      </c>
      <c r="P1002" s="40" t="s">
        <v>52</v>
      </c>
      <c r="Q1002" s="40" t="s">
        <v>665</v>
      </c>
      <c r="R1002" s="41"/>
      <c r="S1002" s="6">
        <f t="shared" si="15"/>
        <v>18820</v>
      </c>
      <c r="T1002" s="40"/>
      <c r="U1002" s="40"/>
      <c r="V1002" s="40"/>
      <c r="W1002" s="37" t="s">
        <v>666</v>
      </c>
      <c r="X1002" s="37" t="s">
        <v>667</v>
      </c>
      <c r="Y1002" s="81" t="s">
        <v>3549</v>
      </c>
      <c r="Z1002" s="40" t="s">
        <v>3550</v>
      </c>
      <c r="AA1002" s="40" t="s">
        <v>373</v>
      </c>
    </row>
    <row r="1003" spans="1:27">
      <c r="A1003" s="6">
        <v>1001</v>
      </c>
      <c r="B1003" s="5" t="s">
        <v>346</v>
      </c>
      <c r="C1003" s="7">
        <v>46158</v>
      </c>
      <c r="D1003" s="40" t="s">
        <v>226</v>
      </c>
      <c r="E1003" s="6" t="s">
        <v>2712</v>
      </c>
      <c r="F1003" s="40" t="s">
        <v>267</v>
      </c>
      <c r="G1003" s="41">
        <v>16</v>
      </c>
      <c r="H1003" s="42" t="s">
        <v>3551</v>
      </c>
      <c r="I1003" s="42">
        <v>7259992853</v>
      </c>
      <c r="J1003" s="43" t="s">
        <v>3552</v>
      </c>
      <c r="K1003" s="43" t="s">
        <v>3552</v>
      </c>
      <c r="L1003" s="82">
        <v>1910</v>
      </c>
      <c r="M1003" s="79">
        <v>1910</v>
      </c>
      <c r="N1003" s="7" t="s">
        <v>239</v>
      </c>
      <c r="O1003" s="6" t="s">
        <v>239</v>
      </c>
      <c r="P1003" s="6" t="s">
        <v>239</v>
      </c>
      <c r="Q1003" s="6" t="s">
        <v>236</v>
      </c>
      <c r="R1003" s="41"/>
      <c r="S1003" s="6">
        <f t="shared" si="15"/>
        <v>1910</v>
      </c>
      <c r="T1003" s="40"/>
      <c r="U1003" s="40"/>
      <c r="V1003" s="40"/>
      <c r="W1003" s="6" t="s">
        <v>236</v>
      </c>
      <c r="X1003" s="6" t="s">
        <v>236</v>
      </c>
      <c r="Y1003" s="6" t="s">
        <v>236</v>
      </c>
      <c r="Z1003" s="6" t="s">
        <v>236</v>
      </c>
      <c r="AA1003" s="6" t="s">
        <v>236</v>
      </c>
    </row>
    <row r="1004" spans="1:27">
      <c r="A1004" s="6">
        <v>1002</v>
      </c>
      <c r="B1004" s="5" t="s">
        <v>346</v>
      </c>
      <c r="C1004" s="7">
        <v>46158</v>
      </c>
      <c r="D1004" s="40" t="s">
        <v>226</v>
      </c>
      <c r="E1004" s="6" t="s">
        <v>2712</v>
      </c>
      <c r="F1004" s="40" t="s">
        <v>267</v>
      </c>
      <c r="G1004" s="41">
        <v>16</v>
      </c>
      <c r="H1004" s="42" t="s">
        <v>3553</v>
      </c>
      <c r="I1004" s="42">
        <v>7795356316</v>
      </c>
      <c r="J1004" s="43" t="s">
        <v>3554</v>
      </c>
      <c r="K1004" s="43" t="s">
        <v>3554</v>
      </c>
      <c r="L1004" s="41">
        <v>2610</v>
      </c>
      <c r="M1004" s="79">
        <v>2610</v>
      </c>
      <c r="N1004" s="7" t="s">
        <v>239</v>
      </c>
      <c r="O1004" s="6" t="s">
        <v>239</v>
      </c>
      <c r="P1004" s="6" t="s">
        <v>239</v>
      </c>
      <c r="Q1004" s="6" t="s">
        <v>236</v>
      </c>
      <c r="R1004" s="41"/>
      <c r="S1004" s="6">
        <f t="shared" si="15"/>
        <v>2610</v>
      </c>
      <c r="T1004" s="40"/>
      <c r="U1004" s="40"/>
      <c r="V1004" s="40"/>
      <c r="W1004" s="6" t="s">
        <v>236</v>
      </c>
      <c r="X1004" s="6" t="s">
        <v>236</v>
      </c>
      <c r="Y1004" s="6" t="s">
        <v>236</v>
      </c>
      <c r="Z1004" s="6" t="s">
        <v>236</v>
      </c>
      <c r="AA1004" s="6" t="s">
        <v>236</v>
      </c>
    </row>
    <row r="1005" spans="1:27">
      <c r="A1005" s="6">
        <v>1003</v>
      </c>
      <c r="B1005" s="5" t="s">
        <v>346</v>
      </c>
      <c r="C1005" s="7">
        <v>46158</v>
      </c>
      <c r="D1005" s="40" t="s">
        <v>226</v>
      </c>
      <c r="E1005" s="6" t="s">
        <v>2712</v>
      </c>
      <c r="F1005" s="40" t="s">
        <v>267</v>
      </c>
      <c r="G1005" s="41">
        <v>16</v>
      </c>
      <c r="H1005" s="42" t="s">
        <v>3555</v>
      </c>
      <c r="I1005" s="42">
        <v>8341158641</v>
      </c>
      <c r="J1005" s="43" t="s">
        <v>3556</v>
      </c>
      <c r="K1005" s="43" t="s">
        <v>3556</v>
      </c>
      <c r="L1005" s="41">
        <v>2830</v>
      </c>
      <c r="M1005" s="79">
        <v>2830</v>
      </c>
      <c r="N1005" s="7" t="s">
        <v>239</v>
      </c>
      <c r="O1005" s="6" t="s">
        <v>239</v>
      </c>
      <c r="P1005" s="6" t="s">
        <v>239</v>
      </c>
      <c r="Q1005" s="6" t="s">
        <v>236</v>
      </c>
      <c r="R1005" s="41"/>
      <c r="S1005" s="6">
        <f t="shared" si="15"/>
        <v>2830</v>
      </c>
      <c r="T1005" s="40"/>
      <c r="U1005" s="40"/>
      <c r="V1005" s="40"/>
      <c r="W1005" s="6" t="s">
        <v>236</v>
      </c>
      <c r="X1005" s="6" t="s">
        <v>236</v>
      </c>
      <c r="Y1005" s="6" t="s">
        <v>236</v>
      </c>
      <c r="Z1005" s="6" t="s">
        <v>236</v>
      </c>
      <c r="AA1005" s="6" t="s">
        <v>236</v>
      </c>
    </row>
    <row r="1006" spans="1:27">
      <c r="A1006" s="6">
        <v>1004</v>
      </c>
      <c r="B1006" s="5" t="s">
        <v>346</v>
      </c>
      <c r="C1006" s="7">
        <v>46158</v>
      </c>
      <c r="D1006" s="40" t="s">
        <v>226</v>
      </c>
      <c r="E1006" s="6" t="s">
        <v>2712</v>
      </c>
      <c r="F1006" s="40" t="s">
        <v>267</v>
      </c>
      <c r="G1006" s="41">
        <v>16</v>
      </c>
      <c r="H1006" s="42" t="s">
        <v>993</v>
      </c>
      <c r="I1006" s="42">
        <v>9100037226</v>
      </c>
      <c r="J1006" s="43" t="s">
        <v>994</v>
      </c>
      <c r="K1006" s="43" t="s">
        <v>994</v>
      </c>
      <c r="L1006" s="82">
        <v>1060</v>
      </c>
      <c r="M1006" s="79">
        <v>1060</v>
      </c>
      <c r="N1006" s="7" t="s">
        <v>239</v>
      </c>
      <c r="O1006" s="6" t="s">
        <v>239</v>
      </c>
      <c r="P1006" s="6" t="s">
        <v>239</v>
      </c>
      <c r="Q1006" s="6" t="s">
        <v>236</v>
      </c>
      <c r="R1006" s="41"/>
      <c r="S1006" s="6">
        <f t="shared" si="15"/>
        <v>1060</v>
      </c>
      <c r="T1006" s="40"/>
      <c r="U1006" s="40"/>
      <c r="V1006" s="40"/>
      <c r="W1006" s="6" t="s">
        <v>236</v>
      </c>
      <c r="X1006" s="6" t="s">
        <v>236</v>
      </c>
      <c r="Y1006" s="6" t="s">
        <v>236</v>
      </c>
      <c r="Z1006" s="6" t="s">
        <v>236</v>
      </c>
      <c r="AA1006" s="6" t="s">
        <v>236</v>
      </c>
    </row>
    <row r="1007" spans="1:27">
      <c r="A1007" s="6">
        <v>1005</v>
      </c>
      <c r="B1007" s="5" t="s">
        <v>346</v>
      </c>
      <c r="C1007" s="7">
        <v>46158</v>
      </c>
      <c r="D1007" s="40" t="s">
        <v>226</v>
      </c>
      <c r="E1007" s="6" t="s">
        <v>2712</v>
      </c>
      <c r="F1007" s="40" t="s">
        <v>267</v>
      </c>
      <c r="G1007" s="41">
        <v>16</v>
      </c>
      <c r="H1007" s="42" t="s">
        <v>3557</v>
      </c>
      <c r="I1007" s="42">
        <v>9491274545</v>
      </c>
      <c r="J1007" s="43" t="s">
        <v>3558</v>
      </c>
      <c r="K1007" s="43" t="s">
        <v>3558</v>
      </c>
      <c r="L1007" s="82">
        <v>745</v>
      </c>
      <c r="M1007" s="79">
        <v>745</v>
      </c>
      <c r="N1007" s="7" t="s">
        <v>239</v>
      </c>
      <c r="O1007" s="6" t="s">
        <v>239</v>
      </c>
      <c r="P1007" s="6" t="s">
        <v>239</v>
      </c>
      <c r="Q1007" s="6" t="s">
        <v>236</v>
      </c>
      <c r="R1007" s="41"/>
      <c r="S1007" s="6">
        <f t="shared" si="15"/>
        <v>745</v>
      </c>
      <c r="T1007" s="40"/>
      <c r="U1007" s="40"/>
      <c r="V1007" s="40"/>
      <c r="W1007" s="6" t="s">
        <v>236</v>
      </c>
      <c r="X1007" s="6" t="s">
        <v>236</v>
      </c>
      <c r="Y1007" s="6" t="s">
        <v>236</v>
      </c>
      <c r="Z1007" s="6" t="s">
        <v>236</v>
      </c>
      <c r="AA1007" s="6" t="s">
        <v>236</v>
      </c>
    </row>
    <row r="1008" spans="1:27">
      <c r="A1008" s="6">
        <v>1006</v>
      </c>
      <c r="B1008" s="5" t="s">
        <v>346</v>
      </c>
      <c r="C1008" s="7">
        <v>46158</v>
      </c>
      <c r="D1008" s="40" t="s">
        <v>226</v>
      </c>
      <c r="E1008" s="6" t="s">
        <v>2712</v>
      </c>
      <c r="F1008" s="40" t="s">
        <v>267</v>
      </c>
      <c r="G1008" s="41">
        <v>16</v>
      </c>
      <c r="H1008" s="42" t="s">
        <v>3559</v>
      </c>
      <c r="I1008" s="42">
        <v>8667662985</v>
      </c>
      <c r="J1008" s="43" t="s">
        <v>3560</v>
      </c>
      <c r="K1008" s="43" t="s">
        <v>3560</v>
      </c>
      <c r="L1008" s="82">
        <v>790</v>
      </c>
      <c r="M1008" s="79">
        <v>790</v>
      </c>
      <c r="N1008" s="7" t="s">
        <v>239</v>
      </c>
      <c r="O1008" s="6" t="s">
        <v>239</v>
      </c>
      <c r="P1008" s="6" t="s">
        <v>239</v>
      </c>
      <c r="Q1008" s="6" t="s">
        <v>236</v>
      </c>
      <c r="R1008" s="41"/>
      <c r="S1008" s="6">
        <f t="shared" si="15"/>
        <v>790</v>
      </c>
      <c r="T1008" s="40"/>
      <c r="U1008" s="40"/>
      <c r="V1008" s="40"/>
      <c r="W1008" s="6" t="s">
        <v>236</v>
      </c>
      <c r="X1008" s="6" t="s">
        <v>236</v>
      </c>
      <c r="Y1008" s="6" t="s">
        <v>236</v>
      </c>
      <c r="Z1008" s="6" t="s">
        <v>236</v>
      </c>
      <c r="AA1008" s="6" t="s">
        <v>236</v>
      </c>
    </row>
    <row r="1009" spans="1:27">
      <c r="A1009" s="6">
        <v>1007</v>
      </c>
      <c r="B1009" s="5" t="s">
        <v>346</v>
      </c>
      <c r="C1009" s="7">
        <v>46158</v>
      </c>
      <c r="D1009" s="40" t="s">
        <v>226</v>
      </c>
      <c r="E1009" s="6" t="s">
        <v>2712</v>
      </c>
      <c r="F1009" s="40" t="s">
        <v>267</v>
      </c>
      <c r="G1009" s="41">
        <v>16</v>
      </c>
      <c r="H1009" s="42" t="s">
        <v>3561</v>
      </c>
      <c r="I1009" s="42">
        <v>8511979015</v>
      </c>
      <c r="J1009" s="43" t="s">
        <v>3562</v>
      </c>
      <c r="K1009" s="43" t="s">
        <v>3562</v>
      </c>
      <c r="L1009" s="82">
        <v>1130</v>
      </c>
      <c r="M1009" s="79">
        <v>1130</v>
      </c>
      <c r="N1009" s="7" t="s">
        <v>239</v>
      </c>
      <c r="O1009" s="6" t="s">
        <v>239</v>
      </c>
      <c r="P1009" s="6" t="s">
        <v>239</v>
      </c>
      <c r="Q1009" s="6" t="s">
        <v>236</v>
      </c>
      <c r="R1009" s="41"/>
      <c r="S1009" s="6">
        <f t="shared" si="15"/>
        <v>1130</v>
      </c>
      <c r="T1009" s="40"/>
      <c r="U1009" s="40"/>
      <c r="V1009" s="40"/>
      <c r="W1009" s="6" t="s">
        <v>236</v>
      </c>
      <c r="X1009" s="6" t="s">
        <v>236</v>
      </c>
      <c r="Y1009" s="6" t="s">
        <v>236</v>
      </c>
      <c r="Z1009" s="6" t="s">
        <v>236</v>
      </c>
      <c r="AA1009" s="6" t="s">
        <v>236</v>
      </c>
    </row>
    <row r="1010" spans="1:27">
      <c r="A1010" s="6">
        <v>1008</v>
      </c>
      <c r="B1010" s="5" t="s">
        <v>346</v>
      </c>
      <c r="C1010" s="7">
        <v>46158</v>
      </c>
      <c r="D1010" s="40" t="s">
        <v>226</v>
      </c>
      <c r="E1010" s="6" t="s">
        <v>2712</v>
      </c>
      <c r="F1010" s="40" t="s">
        <v>267</v>
      </c>
      <c r="G1010" s="41">
        <v>16</v>
      </c>
      <c r="H1010" s="42" t="s">
        <v>3563</v>
      </c>
      <c r="I1010" s="42">
        <v>6304760529</v>
      </c>
      <c r="J1010" s="43" t="s">
        <v>3564</v>
      </c>
      <c r="K1010" s="43" t="s">
        <v>3564</v>
      </c>
      <c r="L1010" s="82">
        <v>60</v>
      </c>
      <c r="M1010" s="79">
        <v>60</v>
      </c>
      <c r="N1010" s="7" t="s">
        <v>239</v>
      </c>
      <c r="O1010" s="6" t="s">
        <v>239</v>
      </c>
      <c r="P1010" s="6" t="s">
        <v>239</v>
      </c>
      <c r="Q1010" s="6" t="s">
        <v>236</v>
      </c>
      <c r="R1010" s="41"/>
      <c r="S1010" s="6">
        <f t="shared" si="15"/>
        <v>60</v>
      </c>
      <c r="T1010" s="40"/>
      <c r="U1010" s="40"/>
      <c r="V1010" s="40"/>
      <c r="W1010" s="6" t="s">
        <v>236</v>
      </c>
      <c r="X1010" s="6" t="s">
        <v>236</v>
      </c>
      <c r="Y1010" s="6" t="s">
        <v>236</v>
      </c>
      <c r="Z1010" s="6" t="s">
        <v>236</v>
      </c>
      <c r="AA1010" s="6" t="s">
        <v>236</v>
      </c>
    </row>
    <row r="1011" spans="1:27">
      <c r="A1011" s="6">
        <v>1009</v>
      </c>
      <c r="B1011" s="5" t="s">
        <v>346</v>
      </c>
      <c r="C1011" s="7">
        <v>46158</v>
      </c>
      <c r="D1011" s="40" t="s">
        <v>226</v>
      </c>
      <c r="E1011" s="6" t="s">
        <v>2712</v>
      </c>
      <c r="F1011" s="40" t="s">
        <v>267</v>
      </c>
      <c r="G1011" s="41">
        <v>16</v>
      </c>
      <c r="H1011" s="42" t="s">
        <v>3565</v>
      </c>
      <c r="I1011" s="42">
        <v>6005689567</v>
      </c>
      <c r="J1011" s="43" t="s">
        <v>3566</v>
      </c>
      <c r="K1011" s="43" t="s">
        <v>3566</v>
      </c>
      <c r="L1011" s="82">
        <v>1370</v>
      </c>
      <c r="M1011" s="79">
        <v>1370</v>
      </c>
      <c r="N1011" s="7" t="s">
        <v>239</v>
      </c>
      <c r="O1011" s="6" t="s">
        <v>239</v>
      </c>
      <c r="P1011" s="6" t="s">
        <v>239</v>
      </c>
      <c r="Q1011" s="6" t="s">
        <v>236</v>
      </c>
      <c r="R1011" s="41"/>
      <c r="S1011" s="6">
        <f t="shared" si="15"/>
        <v>1370</v>
      </c>
      <c r="T1011" s="40"/>
      <c r="U1011" s="40"/>
      <c r="V1011" s="40"/>
      <c r="W1011" s="6" t="s">
        <v>236</v>
      </c>
      <c r="X1011" s="6" t="s">
        <v>236</v>
      </c>
      <c r="Y1011" s="6" t="s">
        <v>236</v>
      </c>
      <c r="Z1011" s="6" t="s">
        <v>236</v>
      </c>
      <c r="AA1011" s="6" t="s">
        <v>236</v>
      </c>
    </row>
    <row r="1012" spans="1:27">
      <c r="A1012" s="6">
        <v>1010</v>
      </c>
      <c r="B1012" s="5" t="s">
        <v>346</v>
      </c>
      <c r="C1012" s="7">
        <v>46158</v>
      </c>
      <c r="D1012" s="40" t="s">
        <v>226</v>
      </c>
      <c r="E1012" s="6" t="s">
        <v>2712</v>
      </c>
      <c r="F1012" s="40" t="s">
        <v>267</v>
      </c>
      <c r="G1012" s="41">
        <v>16</v>
      </c>
      <c r="H1012" s="42" t="s">
        <v>3567</v>
      </c>
      <c r="I1012" s="42">
        <v>8281276473</v>
      </c>
      <c r="J1012" s="43" t="s">
        <v>3568</v>
      </c>
      <c r="K1012" s="43" t="s">
        <v>3568</v>
      </c>
      <c r="L1012" s="82">
        <v>1590</v>
      </c>
      <c r="M1012" s="79">
        <v>1590</v>
      </c>
      <c r="N1012" s="7" t="s">
        <v>239</v>
      </c>
      <c r="O1012" s="6" t="s">
        <v>239</v>
      </c>
      <c r="P1012" s="6" t="s">
        <v>239</v>
      </c>
      <c r="Q1012" s="6" t="s">
        <v>236</v>
      </c>
      <c r="R1012" s="41"/>
      <c r="S1012" s="6">
        <f t="shared" si="15"/>
        <v>1590</v>
      </c>
      <c r="T1012" s="40"/>
      <c r="U1012" s="40"/>
      <c r="V1012" s="40"/>
      <c r="W1012" s="6" t="s">
        <v>236</v>
      </c>
      <c r="X1012" s="6" t="s">
        <v>236</v>
      </c>
      <c r="Y1012" s="6" t="s">
        <v>236</v>
      </c>
      <c r="Z1012" s="6" t="s">
        <v>236</v>
      </c>
      <c r="AA1012" s="6" t="s">
        <v>236</v>
      </c>
    </row>
    <row r="1013" spans="1:27">
      <c r="A1013" s="6">
        <v>1011</v>
      </c>
      <c r="B1013" s="5" t="s">
        <v>346</v>
      </c>
      <c r="C1013" s="7">
        <v>46158</v>
      </c>
      <c r="D1013" s="40" t="s">
        <v>226</v>
      </c>
      <c r="E1013" s="6" t="s">
        <v>2712</v>
      </c>
      <c r="F1013" s="40" t="s">
        <v>267</v>
      </c>
      <c r="G1013" s="41">
        <v>16</v>
      </c>
      <c r="H1013" s="42" t="s">
        <v>3569</v>
      </c>
      <c r="I1013" s="42">
        <v>9676611818</v>
      </c>
      <c r="J1013" s="43" t="s">
        <v>3570</v>
      </c>
      <c r="K1013" s="43" t="s">
        <v>3570</v>
      </c>
      <c r="L1013" s="82">
        <v>1590</v>
      </c>
      <c r="M1013" s="79">
        <v>1590</v>
      </c>
      <c r="N1013" s="7" t="s">
        <v>239</v>
      </c>
      <c r="O1013" s="6" t="s">
        <v>239</v>
      </c>
      <c r="P1013" s="6" t="s">
        <v>239</v>
      </c>
      <c r="Q1013" s="6" t="s">
        <v>236</v>
      </c>
      <c r="R1013" s="41"/>
      <c r="S1013" s="6">
        <f t="shared" si="15"/>
        <v>1590</v>
      </c>
      <c r="T1013" s="40"/>
      <c r="U1013" s="40"/>
      <c r="V1013" s="40"/>
      <c r="W1013" s="6" t="s">
        <v>236</v>
      </c>
      <c r="X1013" s="6" t="s">
        <v>236</v>
      </c>
      <c r="Y1013" s="6" t="s">
        <v>236</v>
      </c>
      <c r="Z1013" s="6" t="s">
        <v>236</v>
      </c>
      <c r="AA1013" s="6" t="s">
        <v>236</v>
      </c>
    </row>
    <row r="1014" spans="1:27">
      <c r="A1014" s="6">
        <v>1012</v>
      </c>
      <c r="B1014" s="5" t="s">
        <v>346</v>
      </c>
      <c r="C1014" s="7">
        <v>46158</v>
      </c>
      <c r="D1014" s="40" t="s">
        <v>226</v>
      </c>
      <c r="E1014" s="6" t="s">
        <v>2712</v>
      </c>
      <c r="F1014" s="40" t="s">
        <v>267</v>
      </c>
      <c r="G1014" s="41">
        <v>16</v>
      </c>
      <c r="H1014" s="42" t="s">
        <v>3571</v>
      </c>
      <c r="I1014" s="42">
        <v>9959429266</v>
      </c>
      <c r="J1014" s="43" t="s">
        <v>3572</v>
      </c>
      <c r="K1014" s="43" t="s">
        <v>3572</v>
      </c>
      <c r="L1014" s="82">
        <v>1160</v>
      </c>
      <c r="M1014" s="79">
        <v>1160</v>
      </c>
      <c r="N1014" s="7" t="s">
        <v>239</v>
      </c>
      <c r="O1014" s="6" t="s">
        <v>239</v>
      </c>
      <c r="P1014" s="6" t="s">
        <v>239</v>
      </c>
      <c r="Q1014" s="6" t="s">
        <v>236</v>
      </c>
      <c r="R1014" s="41"/>
      <c r="S1014" s="6">
        <f t="shared" si="15"/>
        <v>1160</v>
      </c>
      <c r="T1014" s="40"/>
      <c r="U1014" s="40"/>
      <c r="V1014" s="40"/>
      <c r="W1014" s="6" t="s">
        <v>236</v>
      </c>
      <c r="X1014" s="6" t="s">
        <v>236</v>
      </c>
      <c r="Y1014" s="6" t="s">
        <v>236</v>
      </c>
      <c r="Z1014" s="6" t="s">
        <v>236</v>
      </c>
      <c r="AA1014" s="6" t="s">
        <v>236</v>
      </c>
    </row>
    <row r="1015" spans="1:27">
      <c r="A1015" s="6">
        <v>1013</v>
      </c>
      <c r="B1015" s="5" t="s">
        <v>346</v>
      </c>
      <c r="C1015" s="83">
        <v>46158</v>
      </c>
      <c r="D1015" s="84" t="s">
        <v>226</v>
      </c>
      <c r="E1015" s="85" t="s">
        <v>2712</v>
      </c>
      <c r="F1015" s="84" t="s">
        <v>267</v>
      </c>
      <c r="G1015" s="86">
        <v>16</v>
      </c>
      <c r="H1015" s="87" t="s">
        <v>3573</v>
      </c>
      <c r="I1015" s="87">
        <v>8904264948</v>
      </c>
      <c r="J1015" s="88" t="s">
        <v>3574</v>
      </c>
      <c r="K1015" s="88" t="s">
        <v>3574</v>
      </c>
      <c r="L1015" s="89">
        <v>340</v>
      </c>
      <c r="M1015" s="90">
        <v>340</v>
      </c>
      <c r="N1015" s="83" t="s">
        <v>239</v>
      </c>
      <c r="O1015" s="85" t="s">
        <v>239</v>
      </c>
      <c r="P1015" s="85" t="s">
        <v>239</v>
      </c>
      <c r="Q1015" s="85" t="s">
        <v>236</v>
      </c>
      <c r="R1015" s="86"/>
      <c r="S1015" s="6">
        <f t="shared" si="15"/>
        <v>340</v>
      </c>
      <c r="T1015" s="84"/>
      <c r="U1015" s="84"/>
      <c r="V1015" s="84"/>
      <c r="W1015" s="85" t="s">
        <v>236</v>
      </c>
      <c r="X1015" s="85" t="s">
        <v>236</v>
      </c>
      <c r="Y1015" s="85" t="s">
        <v>236</v>
      </c>
      <c r="Z1015" s="85" t="s">
        <v>236</v>
      </c>
      <c r="AA1015" s="85" t="s">
        <v>236</v>
      </c>
    </row>
    <row r="1016" spans="1:27" s="40" customFormat="1">
      <c r="A1016" s="6">
        <v>1014</v>
      </c>
      <c r="B1016" s="40" t="s">
        <v>346</v>
      </c>
      <c r="C1016" s="7">
        <v>46158</v>
      </c>
      <c r="D1016" s="40" t="s">
        <v>226</v>
      </c>
      <c r="E1016" s="6" t="s">
        <v>2712</v>
      </c>
      <c r="F1016" s="40" t="s">
        <v>267</v>
      </c>
      <c r="G1016" s="41">
        <v>16</v>
      </c>
      <c r="H1016" s="42" t="s">
        <v>3575</v>
      </c>
      <c r="I1016" s="42">
        <v>9980870226</v>
      </c>
      <c r="J1016" s="43" t="s">
        <v>3576</v>
      </c>
      <c r="K1016" s="43" t="s">
        <v>3576</v>
      </c>
      <c r="L1016" s="82">
        <v>890</v>
      </c>
      <c r="M1016" s="79">
        <v>890</v>
      </c>
      <c r="N1016" s="7" t="s">
        <v>239</v>
      </c>
      <c r="O1016" s="6" t="s">
        <v>239</v>
      </c>
      <c r="P1016" s="6" t="s">
        <v>239</v>
      </c>
      <c r="Q1016" s="6" t="s">
        <v>236</v>
      </c>
      <c r="R1016" s="41"/>
      <c r="S1016" s="6">
        <f t="shared" si="15"/>
        <v>890</v>
      </c>
      <c r="W1016" s="6" t="s">
        <v>236</v>
      </c>
      <c r="X1016" s="6" t="s">
        <v>236</v>
      </c>
      <c r="Y1016" s="6" t="s">
        <v>236</v>
      </c>
      <c r="Z1016" s="6" t="s">
        <v>236</v>
      </c>
      <c r="AA1016" s="6" t="s">
        <v>236</v>
      </c>
    </row>
    <row r="1017" spans="1:27" s="40" customFormat="1">
      <c r="A1017" s="6">
        <v>1015</v>
      </c>
      <c r="B1017" s="40" t="s">
        <v>346</v>
      </c>
      <c r="C1017" s="7">
        <v>46158</v>
      </c>
      <c r="D1017" s="40" t="s">
        <v>226</v>
      </c>
      <c r="E1017" s="6" t="s">
        <v>2712</v>
      </c>
      <c r="F1017" s="40" t="s">
        <v>310</v>
      </c>
      <c r="G1017" s="41">
        <v>16</v>
      </c>
      <c r="H1017" s="42" t="s">
        <v>3577</v>
      </c>
      <c r="I1017" s="42" t="s">
        <v>3578</v>
      </c>
      <c r="J1017" s="43" t="s">
        <v>3579</v>
      </c>
      <c r="K1017" s="43" t="s">
        <v>3579</v>
      </c>
      <c r="L1017" s="82">
        <v>18480</v>
      </c>
      <c r="M1017" s="79">
        <v>13480</v>
      </c>
      <c r="N1017" s="7"/>
      <c r="O1017" s="6" t="s">
        <v>3580</v>
      </c>
      <c r="P1017" s="6" t="s">
        <v>52</v>
      </c>
      <c r="Q1017" s="6" t="s">
        <v>2158</v>
      </c>
      <c r="R1017" s="41"/>
      <c r="S1017" s="6">
        <f t="shared" si="15"/>
        <v>13480</v>
      </c>
      <c r="W1017" s="6" t="s">
        <v>315</v>
      </c>
      <c r="X1017" s="6" t="s">
        <v>3581</v>
      </c>
      <c r="Y1017" s="6" t="s">
        <v>3582</v>
      </c>
      <c r="Z1017" s="6" t="s">
        <v>792</v>
      </c>
      <c r="AA1017" s="6" t="s">
        <v>40</v>
      </c>
    </row>
    <row r="1018" spans="1:27" s="40" customFormat="1">
      <c r="A1018" s="6">
        <v>1016</v>
      </c>
      <c r="B1018" s="40" t="s">
        <v>346</v>
      </c>
      <c r="C1018" s="7">
        <v>46158</v>
      </c>
      <c r="D1018" s="40" t="s">
        <v>226</v>
      </c>
      <c r="E1018" s="6" t="s">
        <v>2712</v>
      </c>
      <c r="F1018" s="40" t="s">
        <v>310</v>
      </c>
      <c r="G1018" s="41">
        <v>16</v>
      </c>
      <c r="H1018" s="42" t="s">
        <v>3583</v>
      </c>
      <c r="I1018" s="42" t="s">
        <v>3584</v>
      </c>
      <c r="J1018" s="43" t="s">
        <v>2416</v>
      </c>
      <c r="K1018" s="43" t="s">
        <v>2416</v>
      </c>
      <c r="L1018" s="82">
        <v>28099.38</v>
      </c>
      <c r="M1018" s="79">
        <v>9099</v>
      </c>
      <c r="N1018" s="7"/>
      <c r="O1018" s="6" t="s">
        <v>643</v>
      </c>
      <c r="P1018" s="6" t="s">
        <v>52</v>
      </c>
      <c r="Q1018" s="6" t="s">
        <v>2158</v>
      </c>
      <c r="R1018" s="41"/>
      <c r="S1018" s="6">
        <f t="shared" si="15"/>
        <v>9099</v>
      </c>
      <c r="W1018" s="6" t="s">
        <v>643</v>
      </c>
      <c r="X1018" s="6" t="s">
        <v>2418</v>
      </c>
      <c r="Y1018" s="6" t="s">
        <v>3585</v>
      </c>
      <c r="Z1018" s="6" t="s">
        <v>1918</v>
      </c>
      <c r="AA1018" s="6" t="s">
        <v>40</v>
      </c>
    </row>
    <row r="1019" spans="1:27" s="40" customFormat="1">
      <c r="A1019" s="6">
        <v>1017</v>
      </c>
      <c r="B1019" s="40" t="s">
        <v>346</v>
      </c>
      <c r="C1019" s="7">
        <v>46158</v>
      </c>
      <c r="D1019" s="40" t="s">
        <v>226</v>
      </c>
      <c r="E1019" s="6" t="s">
        <v>2712</v>
      </c>
      <c r="F1019" s="40" t="s">
        <v>310</v>
      </c>
      <c r="G1019" s="41">
        <v>16</v>
      </c>
      <c r="H1019" s="42" t="s">
        <v>3586</v>
      </c>
      <c r="I1019" s="42" t="s">
        <v>3587</v>
      </c>
      <c r="J1019" s="43" t="s">
        <v>3588</v>
      </c>
      <c r="K1019" s="43" t="s">
        <v>3588</v>
      </c>
      <c r="L1019" s="82">
        <v>22390</v>
      </c>
      <c r="M1019" s="79">
        <v>17390</v>
      </c>
      <c r="N1019" s="7"/>
      <c r="O1019" s="6" t="s">
        <v>2442</v>
      </c>
      <c r="P1019" s="6" t="s">
        <v>52</v>
      </c>
      <c r="Q1019" s="6" t="s">
        <v>2158</v>
      </c>
      <c r="R1019" s="41">
        <v>7300</v>
      </c>
      <c r="S1019" s="6">
        <f t="shared" si="15"/>
        <v>10090</v>
      </c>
      <c r="U1019" s="40" t="s">
        <v>3589</v>
      </c>
      <c r="W1019" s="6" t="s">
        <v>315</v>
      </c>
      <c r="X1019" s="6" t="s">
        <v>845</v>
      </c>
      <c r="Y1019" s="6" t="s">
        <v>3590</v>
      </c>
      <c r="Z1019" s="6" t="s">
        <v>1268</v>
      </c>
      <c r="AA1019" s="6" t="s">
        <v>40</v>
      </c>
    </row>
    <row r="1020" spans="1:27" s="40" customFormat="1">
      <c r="A1020" s="6">
        <v>1018</v>
      </c>
      <c r="B1020" s="40" t="s">
        <v>346</v>
      </c>
      <c r="C1020" s="7">
        <v>46158</v>
      </c>
      <c r="D1020" s="40" t="s">
        <v>226</v>
      </c>
      <c r="E1020" s="6" t="s">
        <v>2712</v>
      </c>
      <c r="F1020" s="40" t="s">
        <v>310</v>
      </c>
      <c r="G1020" s="41">
        <v>16</v>
      </c>
      <c r="H1020" s="42" t="s">
        <v>3591</v>
      </c>
      <c r="I1020" s="42" t="s">
        <v>3592</v>
      </c>
      <c r="J1020" s="43" t="s">
        <v>3593</v>
      </c>
      <c r="K1020" s="43" t="s">
        <v>3593</v>
      </c>
      <c r="L1020" s="82">
        <v>9120</v>
      </c>
      <c r="M1020" s="79">
        <v>9120</v>
      </c>
      <c r="N1020" s="7"/>
      <c r="O1020" s="6" t="s">
        <v>780</v>
      </c>
      <c r="P1020" s="6" t="s">
        <v>52</v>
      </c>
      <c r="Q1020" s="6" t="s">
        <v>2158</v>
      </c>
      <c r="R1020" s="41">
        <v>9000</v>
      </c>
      <c r="S1020" s="6">
        <f t="shared" si="15"/>
        <v>120</v>
      </c>
      <c r="T1020" s="91">
        <v>46167</v>
      </c>
      <c r="U1020" s="40" t="s">
        <v>3594</v>
      </c>
      <c r="V1020" s="40" t="s">
        <v>54</v>
      </c>
      <c r="W1020" s="6" t="s">
        <v>315</v>
      </c>
      <c r="X1020" s="6" t="s">
        <v>782</v>
      </c>
      <c r="Y1020" s="6" t="s">
        <v>3595</v>
      </c>
      <c r="Z1020" s="6" t="s">
        <v>834</v>
      </c>
      <c r="AA1020" s="6" t="s">
        <v>40</v>
      </c>
    </row>
    <row r="1021" spans="1:27" s="40" customFormat="1">
      <c r="A1021" s="6">
        <v>1019</v>
      </c>
      <c r="B1021" s="40" t="s">
        <v>346</v>
      </c>
      <c r="C1021" s="7">
        <v>46158</v>
      </c>
      <c r="D1021" s="40" t="s">
        <v>226</v>
      </c>
      <c r="E1021" s="6" t="s">
        <v>2712</v>
      </c>
      <c r="F1021" s="40" t="s">
        <v>310</v>
      </c>
      <c r="G1021" s="41">
        <v>16</v>
      </c>
      <c r="H1021" s="42" t="s">
        <v>3596</v>
      </c>
      <c r="I1021" s="42" t="s">
        <v>3597</v>
      </c>
      <c r="J1021" s="43" t="s">
        <v>3598</v>
      </c>
      <c r="K1021" s="43" t="s">
        <v>3598</v>
      </c>
      <c r="L1021" s="82">
        <v>18320</v>
      </c>
      <c r="M1021" s="79">
        <v>11320</v>
      </c>
      <c r="N1021" s="7"/>
      <c r="O1021" s="6" t="s">
        <v>3599</v>
      </c>
      <c r="P1021" s="6" t="s">
        <v>52</v>
      </c>
      <c r="Q1021" s="6" t="s">
        <v>2158</v>
      </c>
      <c r="R1021" s="41"/>
      <c r="S1021" s="6">
        <f t="shared" si="15"/>
        <v>11320</v>
      </c>
      <c r="W1021" s="6" t="s">
        <v>643</v>
      </c>
      <c r="X1021" s="6" t="s">
        <v>3600</v>
      </c>
      <c r="Y1021" s="6" t="s">
        <v>3601</v>
      </c>
      <c r="Z1021" s="6" t="s">
        <v>160</v>
      </c>
      <c r="AA1021" s="6" t="s">
        <v>40</v>
      </c>
    </row>
    <row r="1022" spans="1:27" s="40" customFormat="1" ht="18.75">
      <c r="A1022" s="6">
        <v>1020</v>
      </c>
      <c r="B1022" s="40" t="s">
        <v>346</v>
      </c>
      <c r="C1022" s="7">
        <v>46158</v>
      </c>
      <c r="D1022" s="40" t="s">
        <v>226</v>
      </c>
      <c r="E1022" s="6" t="s">
        <v>2712</v>
      </c>
      <c r="F1022" s="40" t="s">
        <v>3190</v>
      </c>
      <c r="G1022" s="41">
        <v>16</v>
      </c>
      <c r="H1022" s="42" t="s">
        <v>3602</v>
      </c>
      <c r="I1022" s="42">
        <v>9032670212</v>
      </c>
      <c r="J1022" s="43" t="s">
        <v>3603</v>
      </c>
      <c r="K1022" s="43" t="s">
        <v>3603</v>
      </c>
      <c r="L1022" s="82">
        <v>4600</v>
      </c>
      <c r="M1022" s="79">
        <v>4600</v>
      </c>
      <c r="N1022" s="7"/>
      <c r="O1022" s="6" t="s">
        <v>1028</v>
      </c>
      <c r="P1022" s="6" t="s">
        <v>52</v>
      </c>
      <c r="Q1022" s="6" t="s">
        <v>2158</v>
      </c>
      <c r="R1022" s="41"/>
      <c r="S1022" s="6">
        <f t="shared" si="15"/>
        <v>4600</v>
      </c>
      <c r="W1022" s="6"/>
      <c r="X1022" s="53" t="s">
        <v>3604</v>
      </c>
      <c r="Y1022" s="53" t="s">
        <v>3605</v>
      </c>
      <c r="Z1022" s="53" t="s">
        <v>57</v>
      </c>
      <c r="AA1022" s="53" t="s">
        <v>57</v>
      </c>
    </row>
    <row r="1023" spans="1:27" s="40" customFormat="1" ht="18.75">
      <c r="A1023" s="6">
        <v>1021</v>
      </c>
      <c r="B1023" s="40" t="s">
        <v>346</v>
      </c>
      <c r="C1023" s="7">
        <v>46158</v>
      </c>
      <c r="D1023" s="40" t="s">
        <v>226</v>
      </c>
      <c r="E1023" s="6" t="s">
        <v>2712</v>
      </c>
      <c r="F1023" s="40" t="s">
        <v>3190</v>
      </c>
      <c r="G1023" s="41">
        <v>16</v>
      </c>
      <c r="H1023" s="42" t="s">
        <v>3606</v>
      </c>
      <c r="I1023" s="42">
        <v>9705470731</v>
      </c>
      <c r="J1023" s="43" t="s">
        <v>3607</v>
      </c>
      <c r="K1023" s="43" t="s">
        <v>3607</v>
      </c>
      <c r="L1023" s="82">
        <v>800</v>
      </c>
      <c r="M1023" s="79">
        <v>800</v>
      </c>
      <c r="N1023" s="7"/>
      <c r="O1023" s="6"/>
      <c r="P1023" s="6"/>
      <c r="Q1023" s="6" t="s">
        <v>2158</v>
      </c>
      <c r="R1023" s="41"/>
      <c r="S1023" s="6">
        <f t="shared" si="15"/>
        <v>800</v>
      </c>
      <c r="W1023" s="6"/>
      <c r="X1023" s="53" t="s">
        <v>2405</v>
      </c>
      <c r="Y1023" s="53" t="s">
        <v>3608</v>
      </c>
      <c r="Z1023" s="53" t="s">
        <v>57</v>
      </c>
      <c r="AA1023" s="53" t="s">
        <v>57</v>
      </c>
    </row>
    <row r="1024" spans="1:27" s="40" customFormat="1" ht="18.75">
      <c r="A1024" s="6">
        <v>1022</v>
      </c>
      <c r="B1024" s="40" t="s">
        <v>346</v>
      </c>
      <c r="C1024" s="7">
        <v>46158</v>
      </c>
      <c r="D1024" s="40" t="s">
        <v>226</v>
      </c>
      <c r="E1024" s="6" t="s">
        <v>2712</v>
      </c>
      <c r="F1024" s="40" t="s">
        <v>3190</v>
      </c>
      <c r="G1024" s="41">
        <v>16</v>
      </c>
      <c r="H1024" s="42" t="s">
        <v>3609</v>
      </c>
      <c r="I1024" s="42">
        <v>9652219149</v>
      </c>
      <c r="J1024" s="43" t="s">
        <v>3610</v>
      </c>
      <c r="K1024" s="43" t="s">
        <v>3610</v>
      </c>
      <c r="L1024" s="82">
        <v>7410</v>
      </c>
      <c r="M1024" s="79">
        <v>7410</v>
      </c>
      <c r="N1024" s="7"/>
      <c r="O1024" s="6" t="s">
        <v>2083</v>
      </c>
      <c r="P1024" s="6" t="s">
        <v>52</v>
      </c>
      <c r="Q1024" s="6" t="s">
        <v>2158</v>
      </c>
      <c r="R1024" s="41"/>
      <c r="S1024" s="6">
        <f t="shared" si="15"/>
        <v>7410</v>
      </c>
      <c r="W1024" s="6"/>
      <c r="X1024" s="53" t="s">
        <v>2201</v>
      </c>
      <c r="Y1024" s="53" t="s">
        <v>3611</v>
      </c>
      <c r="Z1024" s="53" t="s">
        <v>2301</v>
      </c>
      <c r="AA1024" s="6" t="s">
        <v>57</v>
      </c>
    </row>
    <row r="1025" spans="1:27" s="40" customFormat="1" ht="18.75">
      <c r="A1025" s="6">
        <v>1023</v>
      </c>
      <c r="B1025" s="40" t="s">
        <v>346</v>
      </c>
      <c r="C1025" s="7">
        <v>46158</v>
      </c>
      <c r="D1025" s="40" t="s">
        <v>226</v>
      </c>
      <c r="E1025" s="6" t="s">
        <v>2712</v>
      </c>
      <c r="F1025" s="40" t="s">
        <v>3612</v>
      </c>
      <c r="G1025" s="41">
        <v>16</v>
      </c>
      <c r="H1025" s="42" t="s">
        <v>3613</v>
      </c>
      <c r="I1025" s="42">
        <v>9032595336</v>
      </c>
      <c r="J1025" s="43" t="s">
        <v>3614</v>
      </c>
      <c r="K1025" s="43" t="s">
        <v>3614</v>
      </c>
      <c r="L1025" s="82">
        <v>64302</v>
      </c>
      <c r="M1025" s="79">
        <v>64302</v>
      </c>
      <c r="N1025" s="7"/>
      <c r="O1025" s="53" t="s">
        <v>37</v>
      </c>
      <c r="P1025" s="6" t="s">
        <v>52</v>
      </c>
      <c r="Q1025" s="6" t="s">
        <v>2158</v>
      </c>
      <c r="R1025" s="41"/>
      <c r="S1025" s="6">
        <f t="shared" si="15"/>
        <v>64302</v>
      </c>
      <c r="W1025" s="6"/>
      <c r="X1025" s="6" t="s">
        <v>37</v>
      </c>
      <c r="Y1025" s="53" t="s">
        <v>3615</v>
      </c>
      <c r="Z1025" s="53" t="s">
        <v>851</v>
      </c>
      <c r="AA1025" s="6" t="s">
        <v>834</v>
      </c>
    </row>
    <row r="1026" spans="1:27" s="40" customFormat="1">
      <c r="A1026" s="6">
        <v>1024</v>
      </c>
      <c r="B1026" s="40" t="s">
        <v>346</v>
      </c>
      <c r="C1026" s="7">
        <v>46160</v>
      </c>
      <c r="D1026" s="40" t="s">
        <v>226</v>
      </c>
      <c r="E1026" s="6" t="s">
        <v>2712</v>
      </c>
      <c r="F1026" s="40" t="s">
        <v>240</v>
      </c>
      <c r="G1026" s="41">
        <v>18</v>
      </c>
      <c r="H1026" s="42" t="s">
        <v>3616</v>
      </c>
      <c r="I1026" s="42">
        <v>9632596168</v>
      </c>
      <c r="J1026" s="43" t="s">
        <v>3617</v>
      </c>
      <c r="K1026" s="43" t="s">
        <v>3617</v>
      </c>
      <c r="L1026" s="82">
        <v>2110</v>
      </c>
      <c r="M1026" s="79">
        <v>2110</v>
      </c>
      <c r="N1026" s="7" t="s">
        <v>239</v>
      </c>
      <c r="O1026" s="6" t="s">
        <v>239</v>
      </c>
      <c r="P1026" s="6" t="s">
        <v>239</v>
      </c>
      <c r="Q1026" s="6" t="s">
        <v>236</v>
      </c>
      <c r="R1026" s="41"/>
      <c r="S1026" s="6">
        <f t="shared" si="15"/>
        <v>2110</v>
      </c>
      <c r="W1026" s="6" t="s">
        <v>236</v>
      </c>
      <c r="X1026" s="6" t="s">
        <v>236</v>
      </c>
      <c r="Y1026" s="6" t="s">
        <v>236</v>
      </c>
      <c r="Z1026" s="6" t="s">
        <v>236</v>
      </c>
      <c r="AA1026" s="6" t="s">
        <v>236</v>
      </c>
    </row>
    <row r="1027" spans="1:27" s="40" customFormat="1">
      <c r="A1027" s="6">
        <v>1025</v>
      </c>
      <c r="B1027" s="40" t="s">
        <v>346</v>
      </c>
      <c r="C1027" s="7">
        <v>46160</v>
      </c>
      <c r="D1027" s="40" t="s">
        <v>226</v>
      </c>
      <c r="E1027" s="6" t="s">
        <v>2712</v>
      </c>
      <c r="F1027" s="40" t="s">
        <v>240</v>
      </c>
      <c r="G1027" s="41">
        <v>18</v>
      </c>
      <c r="H1027" s="42" t="s">
        <v>3618</v>
      </c>
      <c r="I1027" s="42">
        <v>9490949057</v>
      </c>
      <c r="J1027" s="43" t="s">
        <v>3619</v>
      </c>
      <c r="K1027" s="43" t="s">
        <v>3619</v>
      </c>
      <c r="L1027" s="82">
        <v>1180</v>
      </c>
      <c r="M1027" s="79">
        <v>1180</v>
      </c>
      <c r="N1027" s="7" t="s">
        <v>239</v>
      </c>
      <c r="O1027" s="6" t="s">
        <v>239</v>
      </c>
      <c r="P1027" s="6" t="s">
        <v>239</v>
      </c>
      <c r="Q1027" s="6" t="s">
        <v>236</v>
      </c>
      <c r="R1027" s="41"/>
      <c r="S1027" s="6">
        <f t="shared" si="15"/>
        <v>1180</v>
      </c>
      <c r="W1027" s="6" t="s">
        <v>236</v>
      </c>
      <c r="X1027" s="6" t="s">
        <v>236</v>
      </c>
      <c r="Y1027" s="6" t="s">
        <v>236</v>
      </c>
      <c r="Z1027" s="6" t="s">
        <v>236</v>
      </c>
      <c r="AA1027" s="6" t="s">
        <v>236</v>
      </c>
    </row>
    <row r="1028" spans="1:27" s="40" customFormat="1">
      <c r="A1028" s="6">
        <v>1026</v>
      </c>
      <c r="B1028" s="40" t="s">
        <v>346</v>
      </c>
      <c r="C1028" s="7">
        <v>46160</v>
      </c>
      <c r="D1028" s="40" t="s">
        <v>226</v>
      </c>
      <c r="E1028" s="6" t="s">
        <v>2712</v>
      </c>
      <c r="F1028" s="40" t="s">
        <v>240</v>
      </c>
      <c r="G1028" s="41">
        <v>18</v>
      </c>
      <c r="H1028" s="42" t="s">
        <v>3620</v>
      </c>
      <c r="I1028" s="42">
        <v>9080494600</v>
      </c>
      <c r="J1028" s="43" t="s">
        <v>3621</v>
      </c>
      <c r="K1028" s="43" t="s">
        <v>3621</v>
      </c>
      <c r="L1028" s="82">
        <v>2680</v>
      </c>
      <c r="M1028" s="79">
        <v>2680</v>
      </c>
      <c r="N1028" s="7" t="s">
        <v>239</v>
      </c>
      <c r="O1028" s="6" t="s">
        <v>239</v>
      </c>
      <c r="P1028" s="6" t="s">
        <v>239</v>
      </c>
      <c r="Q1028" s="6" t="s">
        <v>236</v>
      </c>
      <c r="R1028" s="41"/>
      <c r="S1028" s="6">
        <f t="shared" si="15"/>
        <v>2680</v>
      </c>
      <c r="W1028" s="6" t="s">
        <v>236</v>
      </c>
      <c r="X1028" s="6" t="s">
        <v>236</v>
      </c>
      <c r="Y1028" s="6" t="s">
        <v>236</v>
      </c>
      <c r="Z1028" s="6" t="s">
        <v>236</v>
      </c>
      <c r="AA1028" s="6" t="s">
        <v>236</v>
      </c>
    </row>
    <row r="1029" spans="1:27" s="40" customFormat="1">
      <c r="A1029" s="6">
        <v>1027</v>
      </c>
      <c r="B1029" s="40" t="s">
        <v>346</v>
      </c>
      <c r="C1029" s="7">
        <v>46160</v>
      </c>
      <c r="D1029" s="40" t="s">
        <v>226</v>
      </c>
      <c r="E1029" s="6" t="s">
        <v>2712</v>
      </c>
      <c r="F1029" s="40" t="s">
        <v>240</v>
      </c>
      <c r="G1029" s="41">
        <v>18</v>
      </c>
      <c r="H1029" s="42" t="s">
        <v>3622</v>
      </c>
      <c r="I1029" s="42">
        <v>8089744804</v>
      </c>
      <c r="J1029" s="43" t="s">
        <v>3623</v>
      </c>
      <c r="K1029" s="43" t="s">
        <v>3623</v>
      </c>
      <c r="L1029" s="82">
        <v>3710</v>
      </c>
      <c r="M1029" s="79">
        <v>3710</v>
      </c>
      <c r="N1029" s="7" t="s">
        <v>239</v>
      </c>
      <c r="O1029" s="6" t="s">
        <v>239</v>
      </c>
      <c r="P1029" s="6" t="s">
        <v>239</v>
      </c>
      <c r="Q1029" s="6" t="s">
        <v>236</v>
      </c>
      <c r="R1029" s="41"/>
      <c r="S1029" s="6">
        <f t="shared" si="15"/>
        <v>3710</v>
      </c>
      <c r="W1029" s="6" t="s">
        <v>236</v>
      </c>
      <c r="X1029" s="6" t="s">
        <v>236</v>
      </c>
      <c r="Y1029" s="6" t="s">
        <v>236</v>
      </c>
      <c r="Z1029" s="6" t="s">
        <v>236</v>
      </c>
      <c r="AA1029" s="6" t="s">
        <v>236</v>
      </c>
    </row>
    <row r="1030" spans="1:27" s="40" customFormat="1">
      <c r="A1030" s="6">
        <v>1028</v>
      </c>
      <c r="B1030" s="40" t="s">
        <v>346</v>
      </c>
      <c r="C1030" s="7">
        <v>46160</v>
      </c>
      <c r="D1030" s="40" t="s">
        <v>226</v>
      </c>
      <c r="E1030" s="6" t="s">
        <v>2712</v>
      </c>
      <c r="F1030" s="40" t="s">
        <v>240</v>
      </c>
      <c r="G1030" s="41">
        <v>18</v>
      </c>
      <c r="H1030" s="42" t="s">
        <v>3624</v>
      </c>
      <c r="I1030" s="42">
        <v>9603250233</v>
      </c>
      <c r="J1030" s="43" t="s">
        <v>3625</v>
      </c>
      <c r="K1030" s="43" t="s">
        <v>3625</v>
      </c>
      <c r="L1030" s="82">
        <v>2300</v>
      </c>
      <c r="M1030" s="79">
        <v>2300</v>
      </c>
      <c r="N1030" s="7" t="s">
        <v>239</v>
      </c>
      <c r="O1030" s="6" t="s">
        <v>239</v>
      </c>
      <c r="P1030" s="6" t="s">
        <v>239</v>
      </c>
      <c r="Q1030" s="6" t="s">
        <v>236</v>
      </c>
      <c r="R1030" s="41"/>
      <c r="S1030" s="6">
        <f t="shared" si="15"/>
        <v>2300</v>
      </c>
      <c r="W1030" s="6" t="s">
        <v>236</v>
      </c>
      <c r="X1030" s="6" t="s">
        <v>236</v>
      </c>
      <c r="Y1030" s="6" t="s">
        <v>236</v>
      </c>
      <c r="Z1030" s="6" t="s">
        <v>236</v>
      </c>
      <c r="AA1030" s="6" t="s">
        <v>236</v>
      </c>
    </row>
    <row r="1031" spans="1:27" s="40" customFormat="1">
      <c r="A1031" s="6">
        <v>1029</v>
      </c>
      <c r="B1031" s="40" t="s">
        <v>346</v>
      </c>
      <c r="C1031" s="7">
        <v>46160</v>
      </c>
      <c r="D1031" s="40" t="s">
        <v>226</v>
      </c>
      <c r="E1031" s="6" t="s">
        <v>2712</v>
      </c>
      <c r="F1031" s="40" t="s">
        <v>240</v>
      </c>
      <c r="G1031" s="41">
        <v>18</v>
      </c>
      <c r="H1031" s="42" t="s">
        <v>3626</v>
      </c>
      <c r="I1031" s="42">
        <v>9447477724</v>
      </c>
      <c r="J1031" s="43" t="s">
        <v>1074</v>
      </c>
      <c r="K1031" s="43" t="s">
        <v>1074</v>
      </c>
      <c r="L1031" s="82">
        <v>2210</v>
      </c>
      <c r="M1031" s="79">
        <v>2210</v>
      </c>
      <c r="N1031" s="7" t="s">
        <v>239</v>
      </c>
      <c r="O1031" s="6" t="s">
        <v>239</v>
      </c>
      <c r="P1031" s="6" t="s">
        <v>239</v>
      </c>
      <c r="Q1031" s="6" t="s">
        <v>236</v>
      </c>
      <c r="R1031" s="41"/>
      <c r="S1031" s="6">
        <f t="shared" si="15"/>
        <v>2210</v>
      </c>
      <c r="W1031" s="6" t="s">
        <v>236</v>
      </c>
      <c r="X1031" s="6" t="s">
        <v>236</v>
      </c>
      <c r="Y1031" s="6" t="s">
        <v>236</v>
      </c>
      <c r="Z1031" s="6" t="s">
        <v>236</v>
      </c>
      <c r="AA1031" s="6" t="s">
        <v>236</v>
      </c>
    </row>
    <row r="1032" spans="1:27" s="40" customFormat="1">
      <c r="A1032" s="6">
        <v>1030</v>
      </c>
      <c r="B1032" s="40" t="s">
        <v>346</v>
      </c>
      <c r="C1032" s="7">
        <v>46160</v>
      </c>
      <c r="D1032" s="40" t="s">
        <v>226</v>
      </c>
      <c r="E1032" s="6" t="s">
        <v>2712</v>
      </c>
      <c r="F1032" s="40" t="s">
        <v>240</v>
      </c>
      <c r="G1032" s="41">
        <v>18</v>
      </c>
      <c r="H1032" s="42" t="s">
        <v>3627</v>
      </c>
      <c r="I1032" s="42">
        <v>9845858961</v>
      </c>
      <c r="J1032" s="43" t="s">
        <v>3628</v>
      </c>
      <c r="K1032" s="43" t="s">
        <v>3628</v>
      </c>
      <c r="L1032" s="82">
        <v>1800</v>
      </c>
      <c r="M1032" s="79">
        <v>1800</v>
      </c>
      <c r="N1032" s="7" t="s">
        <v>239</v>
      </c>
      <c r="O1032" s="6" t="s">
        <v>239</v>
      </c>
      <c r="P1032" s="6" t="s">
        <v>239</v>
      </c>
      <c r="Q1032" s="6" t="s">
        <v>236</v>
      </c>
      <c r="R1032" s="41"/>
      <c r="S1032" s="6">
        <f t="shared" si="15"/>
        <v>1800</v>
      </c>
      <c r="W1032" s="6" t="s">
        <v>236</v>
      </c>
      <c r="X1032" s="6" t="s">
        <v>236</v>
      </c>
      <c r="Y1032" s="6" t="s">
        <v>236</v>
      </c>
      <c r="Z1032" s="6" t="s">
        <v>236</v>
      </c>
      <c r="AA1032" s="6" t="s">
        <v>236</v>
      </c>
    </row>
    <row r="1033" spans="1:27" s="40" customFormat="1">
      <c r="A1033" s="6">
        <v>1031</v>
      </c>
      <c r="B1033" s="40" t="s">
        <v>346</v>
      </c>
      <c r="C1033" s="7">
        <v>46160</v>
      </c>
      <c r="D1033" s="40" t="s">
        <v>226</v>
      </c>
      <c r="E1033" s="6" t="s">
        <v>2712</v>
      </c>
      <c r="F1033" s="40" t="s">
        <v>746</v>
      </c>
      <c r="G1033" s="41">
        <v>18</v>
      </c>
      <c r="H1033" s="42" t="s">
        <v>3629</v>
      </c>
      <c r="I1033" s="42">
        <v>6363510983</v>
      </c>
      <c r="J1033" s="43" t="s">
        <v>3630</v>
      </c>
      <c r="K1033" s="43" t="s">
        <v>3630</v>
      </c>
      <c r="L1033" s="82">
        <v>417</v>
      </c>
      <c r="M1033" s="79">
        <v>417</v>
      </c>
      <c r="N1033" s="7" t="s">
        <v>239</v>
      </c>
      <c r="O1033" s="6" t="s">
        <v>239</v>
      </c>
      <c r="P1033" s="6" t="s">
        <v>239</v>
      </c>
      <c r="Q1033" s="6" t="s">
        <v>236</v>
      </c>
      <c r="R1033" s="41"/>
      <c r="S1033" s="6">
        <f t="shared" si="15"/>
        <v>417</v>
      </c>
      <c r="W1033" s="6" t="s">
        <v>236</v>
      </c>
      <c r="X1033" s="6" t="s">
        <v>236</v>
      </c>
      <c r="Y1033" s="6" t="s">
        <v>236</v>
      </c>
      <c r="Z1033" s="6" t="s">
        <v>236</v>
      </c>
      <c r="AA1033" s="6" t="s">
        <v>236</v>
      </c>
    </row>
    <row r="1034" spans="1:27" s="40" customFormat="1">
      <c r="A1034" s="6">
        <v>1032</v>
      </c>
      <c r="B1034" s="40" t="s">
        <v>346</v>
      </c>
      <c r="C1034" s="7">
        <v>46160</v>
      </c>
      <c r="D1034" s="40" t="s">
        <v>226</v>
      </c>
      <c r="E1034" s="6" t="s">
        <v>2712</v>
      </c>
      <c r="F1034" s="40" t="s">
        <v>746</v>
      </c>
      <c r="G1034" s="41">
        <v>18</v>
      </c>
      <c r="H1034" s="42" t="s">
        <v>3631</v>
      </c>
      <c r="I1034" s="42">
        <v>9908893528</v>
      </c>
      <c r="J1034" s="43" t="s">
        <v>3632</v>
      </c>
      <c r="K1034" s="43" t="s">
        <v>3632</v>
      </c>
      <c r="L1034" s="82">
        <v>3087</v>
      </c>
      <c r="M1034" s="79">
        <v>3087</v>
      </c>
      <c r="N1034" s="7" t="s">
        <v>239</v>
      </c>
      <c r="O1034" s="6" t="s">
        <v>239</v>
      </c>
      <c r="P1034" s="6" t="s">
        <v>239</v>
      </c>
      <c r="Q1034" s="6" t="s">
        <v>236</v>
      </c>
      <c r="R1034" s="41"/>
      <c r="S1034" s="6">
        <f t="shared" si="15"/>
        <v>3087</v>
      </c>
      <c r="W1034" s="6" t="s">
        <v>236</v>
      </c>
      <c r="X1034" s="6" t="s">
        <v>236</v>
      </c>
      <c r="Y1034" s="6" t="s">
        <v>236</v>
      </c>
      <c r="Z1034" s="6" t="s">
        <v>236</v>
      </c>
      <c r="AA1034" s="6" t="s">
        <v>236</v>
      </c>
    </row>
    <row r="1035" spans="1:27" s="40" customFormat="1">
      <c r="A1035" s="6">
        <v>1033</v>
      </c>
      <c r="B1035" s="40" t="s">
        <v>346</v>
      </c>
      <c r="C1035" s="7">
        <v>46160</v>
      </c>
      <c r="D1035" s="40" t="s">
        <v>226</v>
      </c>
      <c r="E1035" s="6" t="s">
        <v>2712</v>
      </c>
      <c r="F1035" s="40" t="s">
        <v>746</v>
      </c>
      <c r="G1035" s="41">
        <v>18</v>
      </c>
      <c r="H1035" s="42" t="s">
        <v>3633</v>
      </c>
      <c r="I1035" s="42">
        <v>9705027000</v>
      </c>
      <c r="J1035" s="43" t="s">
        <v>3634</v>
      </c>
      <c r="K1035" s="43" t="s">
        <v>3634</v>
      </c>
      <c r="L1035" s="82">
        <v>4868</v>
      </c>
      <c r="M1035" s="79">
        <v>4868</v>
      </c>
      <c r="N1035" s="7" t="s">
        <v>239</v>
      </c>
      <c r="O1035" s="6" t="s">
        <v>239</v>
      </c>
      <c r="P1035" s="6" t="s">
        <v>239</v>
      </c>
      <c r="Q1035" s="6" t="s">
        <v>236</v>
      </c>
      <c r="R1035" s="41"/>
      <c r="S1035" s="6">
        <f t="shared" si="15"/>
        <v>4868</v>
      </c>
      <c r="W1035" s="6" t="s">
        <v>236</v>
      </c>
      <c r="X1035" s="6" t="s">
        <v>236</v>
      </c>
      <c r="Y1035" s="6" t="s">
        <v>236</v>
      </c>
      <c r="Z1035" s="6" t="s">
        <v>236</v>
      </c>
      <c r="AA1035" s="6" t="s">
        <v>236</v>
      </c>
    </row>
    <row r="1036" spans="1:27" s="40" customFormat="1">
      <c r="A1036" s="6">
        <v>1034</v>
      </c>
      <c r="B1036" s="40" t="s">
        <v>346</v>
      </c>
      <c r="C1036" s="7">
        <v>46160</v>
      </c>
      <c r="D1036" s="40" t="s">
        <v>226</v>
      </c>
      <c r="E1036" s="6" t="s">
        <v>2712</v>
      </c>
      <c r="F1036" s="40" t="s">
        <v>746</v>
      </c>
      <c r="G1036" s="41">
        <v>18</v>
      </c>
      <c r="H1036" s="42" t="s">
        <v>3635</v>
      </c>
      <c r="I1036" s="42">
        <v>7727831886</v>
      </c>
      <c r="J1036" s="43" t="s">
        <v>3636</v>
      </c>
      <c r="K1036" s="43" t="s">
        <v>3636</v>
      </c>
      <c r="L1036" s="82">
        <v>1040</v>
      </c>
      <c r="M1036" s="79">
        <v>1040</v>
      </c>
      <c r="N1036" s="7" t="s">
        <v>239</v>
      </c>
      <c r="O1036" s="6" t="s">
        <v>239</v>
      </c>
      <c r="P1036" s="6" t="s">
        <v>239</v>
      </c>
      <c r="Q1036" s="6" t="s">
        <v>236</v>
      </c>
      <c r="R1036" s="41"/>
      <c r="S1036" s="6">
        <f t="shared" si="15"/>
        <v>1040</v>
      </c>
      <c r="W1036" s="6" t="s">
        <v>236</v>
      </c>
      <c r="X1036" s="6" t="s">
        <v>236</v>
      </c>
      <c r="Y1036" s="6" t="s">
        <v>236</v>
      </c>
      <c r="Z1036" s="6" t="s">
        <v>236</v>
      </c>
      <c r="AA1036" s="6" t="s">
        <v>236</v>
      </c>
    </row>
    <row r="1037" spans="1:27" s="40" customFormat="1">
      <c r="A1037" s="6">
        <v>1035</v>
      </c>
      <c r="B1037" s="40" t="s">
        <v>346</v>
      </c>
      <c r="C1037" s="7">
        <v>46160</v>
      </c>
      <c r="D1037" s="40" t="s">
        <v>226</v>
      </c>
      <c r="E1037" s="6" t="s">
        <v>2712</v>
      </c>
      <c r="F1037" s="40" t="s">
        <v>746</v>
      </c>
      <c r="G1037" s="41">
        <v>18</v>
      </c>
      <c r="H1037" s="42" t="s">
        <v>3637</v>
      </c>
      <c r="I1037" s="42">
        <v>9884287775</v>
      </c>
      <c r="J1037" s="43" t="s">
        <v>3638</v>
      </c>
      <c r="K1037" s="43" t="s">
        <v>3638</v>
      </c>
      <c r="L1037" s="82">
        <v>2040</v>
      </c>
      <c r="M1037" s="79">
        <v>2040</v>
      </c>
      <c r="N1037" s="7" t="s">
        <v>239</v>
      </c>
      <c r="O1037" s="6" t="s">
        <v>239</v>
      </c>
      <c r="P1037" s="6" t="s">
        <v>239</v>
      </c>
      <c r="Q1037" s="6" t="s">
        <v>236</v>
      </c>
      <c r="R1037" s="41"/>
      <c r="S1037" s="6">
        <f t="shared" si="15"/>
        <v>2040</v>
      </c>
      <c r="W1037" s="6" t="s">
        <v>236</v>
      </c>
      <c r="X1037" s="6" t="s">
        <v>236</v>
      </c>
      <c r="Y1037" s="6" t="s">
        <v>236</v>
      </c>
      <c r="Z1037" s="6" t="s">
        <v>236</v>
      </c>
      <c r="AA1037" s="6" t="s">
        <v>236</v>
      </c>
    </row>
    <row r="1038" spans="1:27" s="40" customFormat="1" ht="18.75">
      <c r="A1038" s="6">
        <v>1036</v>
      </c>
      <c r="B1038" s="40" t="s">
        <v>346</v>
      </c>
      <c r="C1038" s="7">
        <v>46160</v>
      </c>
      <c r="D1038" s="40" t="s">
        <v>226</v>
      </c>
      <c r="E1038" s="6" t="s">
        <v>2712</v>
      </c>
      <c r="F1038" s="40" t="s">
        <v>3612</v>
      </c>
      <c r="G1038" s="41">
        <v>18</v>
      </c>
      <c r="H1038" s="42" t="s">
        <v>3639</v>
      </c>
      <c r="I1038" s="42">
        <v>7013704195</v>
      </c>
      <c r="J1038" s="43" t="s">
        <v>3640</v>
      </c>
      <c r="K1038" s="43" t="s">
        <v>3640</v>
      </c>
      <c r="L1038" s="82">
        <v>36800</v>
      </c>
      <c r="M1038" s="79">
        <v>36800</v>
      </c>
      <c r="N1038" s="7"/>
      <c r="O1038" s="6" t="s">
        <v>3641</v>
      </c>
      <c r="P1038" s="6" t="s">
        <v>52</v>
      </c>
      <c r="Q1038" s="6" t="s">
        <v>2158</v>
      </c>
      <c r="R1038" s="41">
        <v>35000</v>
      </c>
      <c r="S1038" s="6">
        <f t="shared" si="15"/>
        <v>1800</v>
      </c>
      <c r="T1038" s="91">
        <v>46172</v>
      </c>
      <c r="U1038" s="40" t="s">
        <v>3642</v>
      </c>
      <c r="W1038" s="6"/>
      <c r="X1038" s="53" t="s">
        <v>3643</v>
      </c>
      <c r="Y1038" s="53" t="s">
        <v>3644</v>
      </c>
      <c r="Z1038" s="53" t="s">
        <v>834</v>
      </c>
      <c r="AA1038" s="53" t="s">
        <v>834</v>
      </c>
    </row>
    <row r="1039" spans="1:27" s="40" customFormat="1">
      <c r="A1039" s="6">
        <v>1037</v>
      </c>
      <c r="B1039" s="40" t="s">
        <v>298</v>
      </c>
      <c r="C1039" s="7">
        <v>46160</v>
      </c>
      <c r="D1039" s="40" t="s">
        <v>226</v>
      </c>
      <c r="E1039" s="6" t="s">
        <v>2712</v>
      </c>
      <c r="F1039" s="40" t="s">
        <v>294</v>
      </c>
      <c r="G1039" s="41">
        <v>18</v>
      </c>
      <c r="H1039" s="42" t="s">
        <v>3645</v>
      </c>
      <c r="I1039" s="42" t="s">
        <v>3646</v>
      </c>
      <c r="J1039" s="43" t="s">
        <v>3647</v>
      </c>
      <c r="K1039" s="43" t="s">
        <v>3647</v>
      </c>
      <c r="L1039" s="82">
        <v>4130</v>
      </c>
      <c r="M1039" s="79">
        <v>4131</v>
      </c>
      <c r="N1039" s="7"/>
      <c r="O1039" s="6"/>
      <c r="P1039" s="6" t="s">
        <v>239</v>
      </c>
      <c r="Q1039" s="6" t="s">
        <v>298</v>
      </c>
      <c r="R1039" s="41"/>
      <c r="S1039" s="6">
        <f t="shared" si="15"/>
        <v>4131</v>
      </c>
      <c r="W1039" s="6" t="s">
        <v>298</v>
      </c>
      <c r="X1039" s="6" t="s">
        <v>3480</v>
      </c>
      <c r="Y1039" s="6" t="s">
        <v>3648</v>
      </c>
      <c r="Z1039" s="6" t="s">
        <v>3649</v>
      </c>
      <c r="AA1039" s="6" t="s">
        <v>235</v>
      </c>
    </row>
    <row r="1040" spans="1:27" s="40" customFormat="1">
      <c r="A1040" s="6">
        <v>1038</v>
      </c>
      <c r="B1040" s="40" t="s">
        <v>298</v>
      </c>
      <c r="C1040" s="7">
        <v>46160</v>
      </c>
      <c r="D1040" s="40" t="s">
        <v>226</v>
      </c>
      <c r="E1040" s="6" t="s">
        <v>2712</v>
      </c>
      <c r="F1040" s="40" t="s">
        <v>294</v>
      </c>
      <c r="G1040" s="41">
        <v>18</v>
      </c>
      <c r="H1040" s="42" t="s">
        <v>3650</v>
      </c>
      <c r="I1040" s="42" t="s">
        <v>3651</v>
      </c>
      <c r="J1040" s="43" t="s">
        <v>3652</v>
      </c>
      <c r="K1040" s="43" t="s">
        <v>3652</v>
      </c>
      <c r="L1040" s="82">
        <v>8480</v>
      </c>
      <c r="M1040" s="79">
        <v>8481</v>
      </c>
      <c r="N1040" s="7"/>
      <c r="O1040" s="6" t="s">
        <v>1222</v>
      </c>
      <c r="P1040" s="6" t="s">
        <v>52</v>
      </c>
      <c r="Q1040" s="6" t="s">
        <v>298</v>
      </c>
      <c r="R1040" s="41"/>
      <c r="S1040" s="6">
        <f t="shared" si="15"/>
        <v>8481</v>
      </c>
      <c r="W1040" s="6" t="s">
        <v>298</v>
      </c>
      <c r="X1040" s="6" t="s">
        <v>775</v>
      </c>
      <c r="Y1040" s="6" t="s">
        <v>3653</v>
      </c>
      <c r="Z1040" s="6" t="s">
        <v>166</v>
      </c>
      <c r="AA1040" s="6" t="s">
        <v>235</v>
      </c>
    </row>
    <row r="1041" spans="1:27" s="40" customFormat="1">
      <c r="A1041" s="6">
        <v>1039</v>
      </c>
      <c r="B1041" s="40" t="s">
        <v>298</v>
      </c>
      <c r="C1041" s="7">
        <v>46160</v>
      </c>
      <c r="D1041" s="40" t="s">
        <v>226</v>
      </c>
      <c r="E1041" s="6" t="s">
        <v>2712</v>
      </c>
      <c r="F1041" s="40" t="s">
        <v>294</v>
      </c>
      <c r="G1041" s="41">
        <v>18</v>
      </c>
      <c r="H1041" s="42" t="s">
        <v>3654</v>
      </c>
      <c r="I1041" s="42" t="s">
        <v>3655</v>
      </c>
      <c r="J1041" s="43" t="s">
        <v>3656</v>
      </c>
      <c r="K1041" s="43" t="s">
        <v>3656</v>
      </c>
      <c r="L1041" s="82">
        <v>12680</v>
      </c>
      <c r="M1041" s="79">
        <v>12681</v>
      </c>
      <c r="N1041" s="7"/>
      <c r="O1041" s="6" t="s">
        <v>2442</v>
      </c>
      <c r="P1041" s="6" t="s">
        <v>52</v>
      </c>
      <c r="Q1041" s="6" t="s">
        <v>298</v>
      </c>
      <c r="R1041" s="41"/>
      <c r="S1041" s="6">
        <f t="shared" si="15"/>
        <v>12681</v>
      </c>
      <c r="W1041" s="6" t="s">
        <v>298</v>
      </c>
      <c r="X1041" s="6" t="s">
        <v>660</v>
      </c>
      <c r="Y1041" s="6" t="s">
        <v>3657</v>
      </c>
      <c r="Z1041" s="6" t="s">
        <v>2301</v>
      </c>
      <c r="AA1041" s="6" t="s">
        <v>235</v>
      </c>
    </row>
    <row r="1042" spans="1:27" s="40" customFormat="1">
      <c r="A1042" s="6">
        <v>1040</v>
      </c>
      <c r="B1042" s="40" t="s">
        <v>298</v>
      </c>
      <c r="C1042" s="7">
        <v>46160</v>
      </c>
      <c r="D1042" s="40" t="s">
        <v>226</v>
      </c>
      <c r="E1042" s="6" t="s">
        <v>2712</v>
      </c>
      <c r="F1042" s="40" t="s">
        <v>294</v>
      </c>
      <c r="G1042" s="41">
        <v>18</v>
      </c>
      <c r="H1042" s="42" t="s">
        <v>2427</v>
      </c>
      <c r="I1042" s="42" t="s">
        <v>2428</v>
      </c>
      <c r="J1042" s="43" t="s">
        <v>2429</v>
      </c>
      <c r="K1042" s="43" t="s">
        <v>2429</v>
      </c>
      <c r="L1042" s="82">
        <v>16718</v>
      </c>
      <c r="M1042" s="82">
        <v>16718</v>
      </c>
      <c r="N1042" s="7"/>
      <c r="O1042" s="6" t="s">
        <v>855</v>
      </c>
      <c r="P1042" s="6" t="s">
        <v>52</v>
      </c>
      <c r="Q1042" s="6" t="s">
        <v>298</v>
      </c>
      <c r="R1042" s="41"/>
      <c r="S1042" s="6">
        <f t="shared" si="15"/>
        <v>16718</v>
      </c>
      <c r="W1042" s="6" t="s">
        <v>298</v>
      </c>
      <c r="X1042" s="6" t="s">
        <v>1229</v>
      </c>
      <c r="Y1042" s="6" t="s">
        <v>3658</v>
      </c>
      <c r="Z1042" s="6" t="s">
        <v>857</v>
      </c>
      <c r="AA1042" s="6" t="s">
        <v>235</v>
      </c>
    </row>
    <row r="1043" spans="1:27" s="40" customFormat="1" ht="18.75">
      <c r="A1043" s="6">
        <v>1041</v>
      </c>
      <c r="B1043" s="40" t="s">
        <v>971</v>
      </c>
      <c r="C1043" s="7">
        <v>46160</v>
      </c>
      <c r="D1043" s="40" t="s">
        <v>933</v>
      </c>
      <c r="E1043" s="6" t="s">
        <v>2712</v>
      </c>
      <c r="F1043" s="40" t="s">
        <v>966</v>
      </c>
      <c r="G1043" s="41">
        <v>18</v>
      </c>
      <c r="H1043" s="75" t="s">
        <v>3659</v>
      </c>
      <c r="I1043" s="75" t="s">
        <v>3660</v>
      </c>
      <c r="J1043" s="92" t="s">
        <v>3661</v>
      </c>
      <c r="K1043" s="93" t="s">
        <v>3662</v>
      </c>
      <c r="L1043" s="94">
        <v>31910</v>
      </c>
      <c r="M1043" s="82">
        <v>3652</v>
      </c>
      <c r="N1043" s="7"/>
      <c r="O1043" s="6"/>
      <c r="P1043" s="6"/>
      <c r="Q1043" s="6" t="s">
        <v>971</v>
      </c>
      <c r="R1043" s="41"/>
      <c r="S1043" s="6">
        <f t="shared" si="15"/>
        <v>3652</v>
      </c>
      <c r="W1043" s="6" t="s">
        <v>2161</v>
      </c>
      <c r="X1043" s="75" t="s">
        <v>3663</v>
      </c>
      <c r="Y1043" s="75" t="s">
        <v>3664</v>
      </c>
      <c r="Z1043" s="6" t="s">
        <v>215</v>
      </c>
      <c r="AA1043" s="6" t="s">
        <v>235</v>
      </c>
    </row>
    <row r="1044" spans="1:27" s="40" customFormat="1" ht="18.75">
      <c r="A1044" s="6">
        <v>1042</v>
      </c>
      <c r="C1044" s="7">
        <v>46160</v>
      </c>
      <c r="D1044" s="40" t="s">
        <v>226</v>
      </c>
      <c r="E1044" s="6" t="s">
        <v>2712</v>
      </c>
      <c r="F1044" s="40" t="s">
        <v>364</v>
      </c>
      <c r="G1044" s="41">
        <v>18</v>
      </c>
      <c r="H1044" s="75" t="s">
        <v>3665</v>
      </c>
      <c r="I1044" s="75">
        <v>9963504477</v>
      </c>
      <c r="J1044" s="95" t="s">
        <v>3666</v>
      </c>
      <c r="K1044" s="95" t="s">
        <v>3666</v>
      </c>
      <c r="L1044" s="94">
        <v>114610</v>
      </c>
      <c r="M1044" s="94">
        <v>114610</v>
      </c>
      <c r="N1044" s="7">
        <v>46167</v>
      </c>
      <c r="O1044" s="6" t="s">
        <v>860</v>
      </c>
      <c r="P1044" s="6" t="s">
        <v>52</v>
      </c>
      <c r="Q1044" s="6" t="s">
        <v>665</v>
      </c>
      <c r="R1044" s="41">
        <f>15000+60000+30000+10000</f>
        <v>115000</v>
      </c>
      <c r="S1044" s="6">
        <f t="shared" si="15"/>
        <v>-390</v>
      </c>
      <c r="T1044" s="91">
        <v>46170</v>
      </c>
      <c r="U1044" s="40" t="s">
        <v>3667</v>
      </c>
      <c r="V1044" s="40" t="s">
        <v>54</v>
      </c>
      <c r="W1044" s="6"/>
      <c r="X1044" s="75"/>
      <c r="Y1044" s="75"/>
      <c r="Z1044" s="6"/>
      <c r="AA1044" s="6"/>
    </row>
    <row r="1045" spans="1:27" s="40" customFormat="1">
      <c r="A1045" s="6">
        <v>1043</v>
      </c>
      <c r="B1045" s="40" t="s">
        <v>225</v>
      </c>
      <c r="C1045" s="7">
        <v>46162</v>
      </c>
      <c r="D1045" s="40" t="s">
        <v>226</v>
      </c>
      <c r="E1045" s="6" t="s">
        <v>2712</v>
      </c>
      <c r="F1045" s="40" t="s">
        <v>746</v>
      </c>
      <c r="G1045" s="41">
        <v>20</v>
      </c>
      <c r="H1045" s="42" t="s">
        <v>3668</v>
      </c>
      <c r="I1045" s="42">
        <v>9449713529</v>
      </c>
      <c r="J1045" s="43" t="s">
        <v>3669</v>
      </c>
      <c r="K1045" s="43" t="s">
        <v>3669</v>
      </c>
      <c r="L1045" s="82">
        <v>1632</v>
      </c>
      <c r="M1045" s="82">
        <v>1632</v>
      </c>
      <c r="N1045" s="7" t="s">
        <v>239</v>
      </c>
      <c r="O1045" s="6" t="s">
        <v>239</v>
      </c>
      <c r="P1045" s="6" t="s">
        <v>239</v>
      </c>
      <c r="Q1045" s="6" t="s">
        <v>236</v>
      </c>
      <c r="R1045" s="41"/>
      <c r="S1045" s="6">
        <f t="shared" si="15"/>
        <v>1632</v>
      </c>
      <c r="W1045" s="6" t="s">
        <v>236</v>
      </c>
      <c r="X1045" s="6" t="s">
        <v>236</v>
      </c>
      <c r="Y1045" s="6" t="s">
        <v>236</v>
      </c>
      <c r="Z1045" s="6" t="s">
        <v>236</v>
      </c>
      <c r="AA1045" s="6" t="s">
        <v>236</v>
      </c>
    </row>
    <row r="1046" spans="1:27" s="40" customFormat="1">
      <c r="A1046" s="6">
        <v>1044</v>
      </c>
      <c r="B1046" s="40" t="s">
        <v>225</v>
      </c>
      <c r="C1046" s="7">
        <v>46162</v>
      </c>
      <c r="D1046" s="40" t="s">
        <v>226</v>
      </c>
      <c r="E1046" s="6" t="s">
        <v>2712</v>
      </c>
      <c r="F1046" s="40" t="s">
        <v>746</v>
      </c>
      <c r="G1046" s="41">
        <v>20</v>
      </c>
      <c r="H1046" s="42" t="s">
        <v>3670</v>
      </c>
      <c r="I1046" s="42">
        <v>9148668232</v>
      </c>
      <c r="J1046" s="43" t="s">
        <v>3671</v>
      </c>
      <c r="K1046" s="43" t="s">
        <v>3671</v>
      </c>
      <c r="L1046" s="82">
        <v>1670</v>
      </c>
      <c r="M1046" s="82">
        <v>1670</v>
      </c>
      <c r="N1046" s="7" t="s">
        <v>239</v>
      </c>
      <c r="O1046" s="6" t="s">
        <v>239</v>
      </c>
      <c r="P1046" s="6" t="s">
        <v>239</v>
      </c>
      <c r="Q1046" s="6" t="s">
        <v>236</v>
      </c>
      <c r="R1046" s="41"/>
      <c r="S1046" s="6">
        <f t="shared" ref="S1046:S1109" si="16">M1046-R1046</f>
        <v>1670</v>
      </c>
      <c r="W1046" s="6" t="s">
        <v>236</v>
      </c>
      <c r="X1046" s="6" t="s">
        <v>236</v>
      </c>
      <c r="Y1046" s="6" t="s">
        <v>236</v>
      </c>
      <c r="Z1046" s="6" t="s">
        <v>236</v>
      </c>
      <c r="AA1046" s="6" t="s">
        <v>236</v>
      </c>
    </row>
    <row r="1047" spans="1:27" s="40" customFormat="1">
      <c r="A1047" s="6">
        <v>1045</v>
      </c>
      <c r="B1047" s="40" t="s">
        <v>298</v>
      </c>
      <c r="C1047" s="7">
        <v>46162</v>
      </c>
      <c r="D1047" s="40" t="s">
        <v>226</v>
      </c>
      <c r="E1047" s="6" t="s">
        <v>2712</v>
      </c>
      <c r="F1047" s="40" t="s">
        <v>746</v>
      </c>
      <c r="G1047" s="41">
        <v>20</v>
      </c>
      <c r="H1047" s="42" t="s">
        <v>3672</v>
      </c>
      <c r="I1047" s="42">
        <v>9994760322</v>
      </c>
      <c r="J1047" s="43" t="s">
        <v>3673</v>
      </c>
      <c r="K1047" s="43" t="s">
        <v>3673</v>
      </c>
      <c r="L1047" s="82">
        <v>870</v>
      </c>
      <c r="M1047" s="82">
        <v>870</v>
      </c>
      <c r="N1047" s="7" t="s">
        <v>239</v>
      </c>
      <c r="O1047" s="6" t="s">
        <v>239</v>
      </c>
      <c r="P1047" s="6" t="s">
        <v>239</v>
      </c>
      <c r="Q1047" s="6" t="s">
        <v>236</v>
      </c>
      <c r="R1047" s="41"/>
      <c r="S1047" s="6">
        <f t="shared" si="16"/>
        <v>870</v>
      </c>
      <c r="W1047" s="6" t="s">
        <v>236</v>
      </c>
      <c r="X1047" s="6" t="s">
        <v>236</v>
      </c>
      <c r="Y1047" s="6" t="s">
        <v>236</v>
      </c>
      <c r="Z1047" s="6" t="s">
        <v>236</v>
      </c>
      <c r="AA1047" s="6" t="s">
        <v>236</v>
      </c>
    </row>
    <row r="1048" spans="1:27" s="40" customFormat="1">
      <c r="A1048" s="6">
        <v>1046</v>
      </c>
      <c r="B1048" s="40" t="s">
        <v>225</v>
      </c>
      <c r="C1048" s="7">
        <v>46162</v>
      </c>
      <c r="D1048" s="40" t="s">
        <v>226</v>
      </c>
      <c r="E1048" s="6" t="s">
        <v>2712</v>
      </c>
      <c r="F1048" s="40" t="s">
        <v>746</v>
      </c>
      <c r="G1048" s="41">
        <v>20</v>
      </c>
      <c r="H1048" s="42" t="s">
        <v>3674</v>
      </c>
      <c r="I1048" s="42">
        <v>9849831701</v>
      </c>
      <c r="J1048" s="43" t="s">
        <v>3675</v>
      </c>
      <c r="K1048" s="43" t="s">
        <v>3675</v>
      </c>
      <c r="L1048" s="82">
        <v>1088</v>
      </c>
      <c r="M1048" s="82">
        <v>1088</v>
      </c>
      <c r="N1048" s="7" t="s">
        <v>239</v>
      </c>
      <c r="O1048" s="6" t="s">
        <v>239</v>
      </c>
      <c r="P1048" s="6" t="s">
        <v>239</v>
      </c>
      <c r="Q1048" s="6" t="s">
        <v>236</v>
      </c>
      <c r="R1048" s="41"/>
      <c r="S1048" s="6">
        <f t="shared" si="16"/>
        <v>1088</v>
      </c>
      <c r="W1048" s="6" t="s">
        <v>236</v>
      </c>
      <c r="X1048" s="6" t="s">
        <v>236</v>
      </c>
      <c r="Y1048" s="6" t="s">
        <v>236</v>
      </c>
      <c r="Z1048" s="6" t="s">
        <v>236</v>
      </c>
      <c r="AA1048" s="6" t="s">
        <v>236</v>
      </c>
    </row>
    <row r="1049" spans="1:27" s="40" customFormat="1">
      <c r="A1049" s="6">
        <v>1047</v>
      </c>
      <c r="B1049" s="40" t="s">
        <v>225</v>
      </c>
      <c r="C1049" s="7">
        <v>46162</v>
      </c>
      <c r="D1049" s="40" t="s">
        <v>226</v>
      </c>
      <c r="E1049" s="6" t="s">
        <v>2712</v>
      </c>
      <c r="F1049" s="40" t="s">
        <v>746</v>
      </c>
      <c r="G1049" s="41">
        <v>20</v>
      </c>
      <c r="H1049" s="42" t="s">
        <v>3676</v>
      </c>
      <c r="I1049" s="42">
        <v>9480609238</v>
      </c>
      <c r="J1049" s="43" t="s">
        <v>3677</v>
      </c>
      <c r="K1049" s="43" t="s">
        <v>3677</v>
      </c>
      <c r="L1049" s="82">
        <v>1220</v>
      </c>
      <c r="M1049" s="82">
        <v>1220</v>
      </c>
      <c r="N1049" s="7" t="s">
        <v>239</v>
      </c>
      <c r="O1049" s="6" t="s">
        <v>239</v>
      </c>
      <c r="P1049" s="6" t="s">
        <v>239</v>
      </c>
      <c r="Q1049" s="6" t="s">
        <v>236</v>
      </c>
      <c r="R1049" s="41"/>
      <c r="S1049" s="6">
        <f t="shared" si="16"/>
        <v>1220</v>
      </c>
      <c r="W1049" s="6" t="s">
        <v>236</v>
      </c>
      <c r="X1049" s="6" t="s">
        <v>236</v>
      </c>
      <c r="Y1049" s="6" t="s">
        <v>236</v>
      </c>
      <c r="Z1049" s="6" t="s">
        <v>236</v>
      </c>
      <c r="AA1049" s="6" t="s">
        <v>236</v>
      </c>
    </row>
    <row r="1050" spans="1:27" s="40" customFormat="1">
      <c r="A1050" s="6">
        <v>1048</v>
      </c>
      <c r="B1050" s="40" t="s">
        <v>225</v>
      </c>
      <c r="C1050" s="7">
        <v>46162</v>
      </c>
      <c r="D1050" s="40" t="s">
        <v>226</v>
      </c>
      <c r="E1050" s="6" t="s">
        <v>2712</v>
      </c>
      <c r="F1050" s="40" t="s">
        <v>240</v>
      </c>
      <c r="G1050" s="41">
        <v>20</v>
      </c>
      <c r="H1050" s="42" t="s">
        <v>3678</v>
      </c>
      <c r="I1050" s="42">
        <v>9482509566</v>
      </c>
      <c r="J1050" s="43" t="s">
        <v>3679</v>
      </c>
      <c r="K1050" s="43" t="s">
        <v>3679</v>
      </c>
      <c r="L1050" s="82">
        <v>3270</v>
      </c>
      <c r="M1050" s="82">
        <v>3270</v>
      </c>
      <c r="N1050" s="7" t="s">
        <v>239</v>
      </c>
      <c r="O1050" s="6" t="s">
        <v>239</v>
      </c>
      <c r="P1050" s="6" t="s">
        <v>239</v>
      </c>
      <c r="Q1050" s="6" t="s">
        <v>236</v>
      </c>
      <c r="R1050" s="41"/>
      <c r="S1050" s="6">
        <f t="shared" si="16"/>
        <v>3270</v>
      </c>
      <c r="W1050" s="6" t="s">
        <v>236</v>
      </c>
      <c r="X1050" s="6" t="s">
        <v>236</v>
      </c>
      <c r="Y1050" s="6" t="s">
        <v>236</v>
      </c>
      <c r="Z1050" s="6" t="s">
        <v>236</v>
      </c>
      <c r="AA1050" s="6" t="s">
        <v>236</v>
      </c>
    </row>
    <row r="1051" spans="1:27" s="40" customFormat="1">
      <c r="A1051" s="6">
        <v>1049</v>
      </c>
      <c r="B1051" s="40" t="s">
        <v>225</v>
      </c>
      <c r="C1051" s="7">
        <v>46162</v>
      </c>
      <c r="D1051" s="40" t="s">
        <v>226</v>
      </c>
      <c r="E1051" s="6" t="s">
        <v>2712</v>
      </c>
      <c r="F1051" s="40" t="s">
        <v>240</v>
      </c>
      <c r="G1051" s="41">
        <v>20</v>
      </c>
      <c r="H1051" s="42" t="s">
        <v>3680</v>
      </c>
      <c r="I1051" s="42">
        <v>9581986516</v>
      </c>
      <c r="J1051" s="43" t="s">
        <v>3681</v>
      </c>
      <c r="K1051" s="43" t="s">
        <v>3681</v>
      </c>
      <c r="L1051" s="82">
        <v>6020</v>
      </c>
      <c r="M1051" s="82">
        <v>6020</v>
      </c>
      <c r="N1051" s="7" t="s">
        <v>239</v>
      </c>
      <c r="O1051" s="6" t="s">
        <v>239</v>
      </c>
      <c r="P1051" s="6" t="s">
        <v>239</v>
      </c>
      <c r="Q1051" s="6" t="s">
        <v>236</v>
      </c>
      <c r="R1051" s="41"/>
      <c r="S1051" s="6">
        <f t="shared" si="16"/>
        <v>6020</v>
      </c>
      <c r="W1051" s="6" t="s">
        <v>236</v>
      </c>
      <c r="X1051" s="6" t="s">
        <v>236</v>
      </c>
      <c r="Y1051" s="6" t="s">
        <v>236</v>
      </c>
      <c r="Z1051" s="6" t="s">
        <v>236</v>
      </c>
      <c r="AA1051" s="6" t="s">
        <v>236</v>
      </c>
    </row>
    <row r="1052" spans="1:27" s="40" customFormat="1">
      <c r="A1052" s="6">
        <v>1050</v>
      </c>
      <c r="B1052" s="40" t="s">
        <v>225</v>
      </c>
      <c r="C1052" s="7">
        <v>46162</v>
      </c>
      <c r="D1052" s="40" t="s">
        <v>226</v>
      </c>
      <c r="E1052" s="6" t="s">
        <v>2712</v>
      </c>
      <c r="F1052" s="40" t="s">
        <v>240</v>
      </c>
      <c r="G1052" s="41">
        <v>20</v>
      </c>
      <c r="H1052" s="42" t="s">
        <v>3682</v>
      </c>
      <c r="I1052" s="42">
        <v>9014511830</v>
      </c>
      <c r="J1052" s="43" t="s">
        <v>3683</v>
      </c>
      <c r="K1052" s="43" t="s">
        <v>3683</v>
      </c>
      <c r="L1052" s="82">
        <v>3090</v>
      </c>
      <c r="M1052" s="82">
        <v>3090</v>
      </c>
      <c r="N1052" s="7" t="s">
        <v>239</v>
      </c>
      <c r="O1052" s="6" t="s">
        <v>239</v>
      </c>
      <c r="P1052" s="6" t="s">
        <v>239</v>
      </c>
      <c r="Q1052" s="6" t="s">
        <v>236</v>
      </c>
      <c r="R1052" s="41"/>
      <c r="S1052" s="6">
        <f t="shared" si="16"/>
        <v>3090</v>
      </c>
      <c r="W1052" s="6" t="s">
        <v>236</v>
      </c>
      <c r="X1052" s="6" t="s">
        <v>236</v>
      </c>
      <c r="Y1052" s="6" t="s">
        <v>236</v>
      </c>
      <c r="Z1052" s="6" t="s">
        <v>236</v>
      </c>
      <c r="AA1052" s="6" t="s">
        <v>236</v>
      </c>
    </row>
    <row r="1053" spans="1:27" s="40" customFormat="1">
      <c r="A1053" s="6">
        <v>1051</v>
      </c>
      <c r="B1053" s="40" t="s">
        <v>225</v>
      </c>
      <c r="C1053" s="7">
        <v>46162</v>
      </c>
      <c r="D1053" s="40" t="s">
        <v>226</v>
      </c>
      <c r="E1053" s="6" t="s">
        <v>2712</v>
      </c>
      <c r="F1053" s="40" t="s">
        <v>240</v>
      </c>
      <c r="G1053" s="41">
        <v>20</v>
      </c>
      <c r="H1053" s="42" t="s">
        <v>3684</v>
      </c>
      <c r="I1053" s="42">
        <v>9346277709</v>
      </c>
      <c r="J1053" s="43" t="s">
        <v>3685</v>
      </c>
      <c r="K1053" s="43" t="s">
        <v>3685</v>
      </c>
      <c r="L1053" s="82">
        <v>1920</v>
      </c>
      <c r="M1053" s="82">
        <v>1920</v>
      </c>
      <c r="N1053" s="7" t="s">
        <v>239</v>
      </c>
      <c r="O1053" s="6" t="s">
        <v>239</v>
      </c>
      <c r="P1053" s="6" t="s">
        <v>239</v>
      </c>
      <c r="Q1053" s="6" t="s">
        <v>236</v>
      </c>
      <c r="R1053" s="41"/>
      <c r="S1053" s="6">
        <f t="shared" si="16"/>
        <v>1920</v>
      </c>
      <c r="W1053" s="6" t="s">
        <v>236</v>
      </c>
      <c r="X1053" s="6" t="s">
        <v>236</v>
      </c>
      <c r="Y1053" s="6" t="s">
        <v>236</v>
      </c>
      <c r="Z1053" s="6" t="s">
        <v>236</v>
      </c>
      <c r="AA1053" s="6" t="s">
        <v>236</v>
      </c>
    </row>
    <row r="1054" spans="1:27" s="40" customFormat="1">
      <c r="A1054" s="6">
        <v>1052</v>
      </c>
      <c r="B1054" s="40" t="s">
        <v>225</v>
      </c>
      <c r="C1054" s="7">
        <v>46162</v>
      </c>
      <c r="D1054" s="40" t="s">
        <v>226</v>
      </c>
      <c r="E1054" s="6" t="s">
        <v>2712</v>
      </c>
      <c r="F1054" s="40" t="s">
        <v>240</v>
      </c>
      <c r="G1054" s="41">
        <v>20</v>
      </c>
      <c r="H1054" s="42" t="s">
        <v>3686</v>
      </c>
      <c r="I1054" s="42">
        <v>9966521162</v>
      </c>
      <c r="J1054" s="43" t="s">
        <v>3687</v>
      </c>
      <c r="K1054" s="43" t="s">
        <v>3687</v>
      </c>
      <c r="L1054" s="82">
        <v>1740</v>
      </c>
      <c r="M1054" s="82">
        <v>1740</v>
      </c>
      <c r="N1054" s="7" t="s">
        <v>239</v>
      </c>
      <c r="O1054" s="6" t="s">
        <v>239</v>
      </c>
      <c r="P1054" s="6" t="s">
        <v>239</v>
      </c>
      <c r="Q1054" s="6" t="s">
        <v>236</v>
      </c>
      <c r="R1054" s="41"/>
      <c r="S1054" s="6">
        <f t="shared" si="16"/>
        <v>1740</v>
      </c>
      <c r="W1054" s="6" t="s">
        <v>236</v>
      </c>
      <c r="X1054" s="6" t="s">
        <v>236</v>
      </c>
      <c r="Y1054" s="6" t="s">
        <v>236</v>
      </c>
      <c r="Z1054" s="6" t="s">
        <v>236</v>
      </c>
      <c r="AA1054" s="6" t="s">
        <v>236</v>
      </c>
    </row>
    <row r="1055" spans="1:27" s="40" customFormat="1">
      <c r="A1055" s="6">
        <v>1053</v>
      </c>
      <c r="B1055" s="40" t="s">
        <v>346</v>
      </c>
      <c r="C1055" s="7">
        <v>46162</v>
      </c>
      <c r="D1055" s="40" t="s">
        <v>226</v>
      </c>
      <c r="E1055" s="6" t="s">
        <v>2712</v>
      </c>
      <c r="F1055" s="40" t="s">
        <v>240</v>
      </c>
      <c r="G1055" s="41">
        <v>20</v>
      </c>
      <c r="H1055" s="42" t="s">
        <v>3688</v>
      </c>
      <c r="I1055" s="42">
        <v>9945179999</v>
      </c>
      <c r="J1055" s="43" t="s">
        <v>3689</v>
      </c>
      <c r="K1055" s="43" t="s">
        <v>3689</v>
      </c>
      <c r="L1055" s="82">
        <v>1340</v>
      </c>
      <c r="M1055" s="82">
        <v>1340</v>
      </c>
      <c r="N1055" s="7" t="s">
        <v>239</v>
      </c>
      <c r="O1055" s="6" t="s">
        <v>239</v>
      </c>
      <c r="P1055" s="6" t="s">
        <v>239</v>
      </c>
      <c r="Q1055" s="6" t="s">
        <v>236</v>
      </c>
      <c r="R1055" s="41"/>
      <c r="S1055" s="6">
        <f t="shared" si="16"/>
        <v>1340</v>
      </c>
      <c r="W1055" s="6" t="s">
        <v>236</v>
      </c>
      <c r="X1055" s="6" t="s">
        <v>236</v>
      </c>
      <c r="Y1055" s="6" t="s">
        <v>236</v>
      </c>
      <c r="Z1055" s="6" t="s">
        <v>236</v>
      </c>
      <c r="AA1055" s="6" t="s">
        <v>236</v>
      </c>
    </row>
    <row r="1056" spans="1:27" s="40" customFormat="1">
      <c r="A1056" s="6">
        <v>1054</v>
      </c>
      <c r="B1056" s="40" t="s">
        <v>225</v>
      </c>
      <c r="C1056" s="7">
        <v>46162</v>
      </c>
      <c r="D1056" s="40" t="s">
        <v>226</v>
      </c>
      <c r="E1056" s="6" t="s">
        <v>2712</v>
      </c>
      <c r="F1056" s="40" t="s">
        <v>240</v>
      </c>
      <c r="G1056" s="41">
        <v>20</v>
      </c>
      <c r="H1056" s="42" t="s">
        <v>3690</v>
      </c>
      <c r="I1056" s="42">
        <v>9949621014</v>
      </c>
      <c r="J1056" s="43" t="s">
        <v>3691</v>
      </c>
      <c r="K1056" s="43" t="s">
        <v>3691</v>
      </c>
      <c r="L1056" s="82">
        <v>1370</v>
      </c>
      <c r="M1056" s="82">
        <v>1370</v>
      </c>
      <c r="N1056" s="7" t="s">
        <v>239</v>
      </c>
      <c r="O1056" s="6" t="s">
        <v>239</v>
      </c>
      <c r="P1056" s="6" t="s">
        <v>239</v>
      </c>
      <c r="Q1056" s="6" t="s">
        <v>236</v>
      </c>
      <c r="R1056" s="41"/>
      <c r="S1056" s="6">
        <f t="shared" si="16"/>
        <v>1370</v>
      </c>
      <c r="W1056" s="6" t="s">
        <v>236</v>
      </c>
      <c r="X1056" s="6" t="s">
        <v>236</v>
      </c>
      <c r="Y1056" s="6" t="s">
        <v>236</v>
      </c>
      <c r="Z1056" s="6" t="s">
        <v>236</v>
      </c>
      <c r="AA1056" s="6" t="s">
        <v>236</v>
      </c>
    </row>
    <row r="1057" spans="1:27" s="40" customFormat="1">
      <c r="A1057" s="6">
        <v>1055</v>
      </c>
      <c r="B1057" s="40" t="s">
        <v>225</v>
      </c>
      <c r="C1057" s="7">
        <v>46162</v>
      </c>
      <c r="D1057" s="40" t="s">
        <v>226</v>
      </c>
      <c r="E1057" s="6" t="s">
        <v>2712</v>
      </c>
      <c r="F1057" s="40" t="s">
        <v>240</v>
      </c>
      <c r="G1057" s="41">
        <v>20</v>
      </c>
      <c r="H1057" s="42" t="s">
        <v>3692</v>
      </c>
      <c r="I1057" s="42">
        <v>9159435186</v>
      </c>
      <c r="J1057" s="43" t="s">
        <v>3693</v>
      </c>
      <c r="K1057" s="43" t="s">
        <v>3693</v>
      </c>
      <c r="L1057" s="82">
        <v>1340</v>
      </c>
      <c r="M1057" s="82">
        <v>1340</v>
      </c>
      <c r="N1057" s="7" t="s">
        <v>239</v>
      </c>
      <c r="O1057" s="6" t="s">
        <v>239</v>
      </c>
      <c r="P1057" s="6" t="s">
        <v>239</v>
      </c>
      <c r="Q1057" s="6" t="s">
        <v>236</v>
      </c>
      <c r="R1057" s="41"/>
      <c r="S1057" s="6">
        <f t="shared" si="16"/>
        <v>1340</v>
      </c>
      <c r="W1057" s="6" t="s">
        <v>236</v>
      </c>
      <c r="X1057" s="6" t="s">
        <v>236</v>
      </c>
      <c r="Y1057" s="6" t="s">
        <v>236</v>
      </c>
      <c r="Z1057" s="6" t="s">
        <v>236</v>
      </c>
      <c r="AA1057" s="6" t="s">
        <v>236</v>
      </c>
    </row>
    <row r="1058" spans="1:27" s="40" customFormat="1">
      <c r="A1058" s="6">
        <v>1056</v>
      </c>
      <c r="B1058" s="40" t="s">
        <v>225</v>
      </c>
      <c r="C1058" s="7">
        <v>46162</v>
      </c>
      <c r="D1058" s="40" t="s">
        <v>226</v>
      </c>
      <c r="E1058" s="6" t="s">
        <v>2712</v>
      </c>
      <c r="F1058" s="40" t="s">
        <v>240</v>
      </c>
      <c r="G1058" s="41">
        <v>20</v>
      </c>
      <c r="H1058" s="42" t="s">
        <v>3694</v>
      </c>
      <c r="I1058" s="42">
        <v>9591924277</v>
      </c>
      <c r="J1058" s="43" t="s">
        <v>3695</v>
      </c>
      <c r="K1058" s="43" t="s">
        <v>3695</v>
      </c>
      <c r="L1058" s="82">
        <v>1170</v>
      </c>
      <c r="M1058" s="82">
        <v>1170</v>
      </c>
      <c r="N1058" s="7" t="s">
        <v>239</v>
      </c>
      <c r="O1058" s="6" t="s">
        <v>239</v>
      </c>
      <c r="P1058" s="6" t="s">
        <v>239</v>
      </c>
      <c r="Q1058" s="6" t="s">
        <v>236</v>
      </c>
      <c r="R1058" s="41"/>
      <c r="S1058" s="6">
        <f t="shared" si="16"/>
        <v>1170</v>
      </c>
      <c r="W1058" s="6" t="s">
        <v>236</v>
      </c>
      <c r="X1058" s="6" t="s">
        <v>236</v>
      </c>
      <c r="Y1058" s="6" t="s">
        <v>236</v>
      </c>
      <c r="Z1058" s="6" t="s">
        <v>236</v>
      </c>
      <c r="AA1058" s="6" t="s">
        <v>236</v>
      </c>
    </row>
    <row r="1059" spans="1:27" s="40" customFormat="1">
      <c r="A1059" s="6">
        <v>1057</v>
      </c>
      <c r="B1059" s="40" t="s">
        <v>225</v>
      </c>
      <c r="C1059" s="7">
        <v>46162</v>
      </c>
      <c r="D1059" s="40" t="s">
        <v>226</v>
      </c>
      <c r="E1059" s="6" t="s">
        <v>2712</v>
      </c>
      <c r="F1059" s="40" t="s">
        <v>240</v>
      </c>
      <c r="G1059" s="41">
        <v>20</v>
      </c>
      <c r="H1059" s="42" t="s">
        <v>3696</v>
      </c>
      <c r="I1059" s="42">
        <v>9074758699</v>
      </c>
      <c r="J1059" s="43" t="s">
        <v>3697</v>
      </c>
      <c r="K1059" s="43" t="s">
        <v>3697</v>
      </c>
      <c r="L1059" s="82">
        <v>1100</v>
      </c>
      <c r="M1059" s="82">
        <v>1100</v>
      </c>
      <c r="N1059" s="7" t="s">
        <v>239</v>
      </c>
      <c r="O1059" s="6" t="s">
        <v>239</v>
      </c>
      <c r="P1059" s="6" t="s">
        <v>239</v>
      </c>
      <c r="Q1059" s="6" t="s">
        <v>236</v>
      </c>
      <c r="R1059" s="41"/>
      <c r="S1059" s="6">
        <f t="shared" si="16"/>
        <v>1100</v>
      </c>
      <c r="W1059" s="6" t="s">
        <v>236</v>
      </c>
      <c r="X1059" s="6" t="s">
        <v>236</v>
      </c>
      <c r="Y1059" s="6" t="s">
        <v>236</v>
      </c>
      <c r="Z1059" s="6" t="s">
        <v>236</v>
      </c>
      <c r="AA1059" s="6" t="s">
        <v>236</v>
      </c>
    </row>
    <row r="1060" spans="1:27" s="40" customFormat="1">
      <c r="A1060" s="6">
        <v>1058</v>
      </c>
      <c r="B1060" s="40" t="s">
        <v>298</v>
      </c>
      <c r="C1060" s="7">
        <v>46162</v>
      </c>
      <c r="D1060" s="40" t="s">
        <v>226</v>
      </c>
      <c r="E1060" s="6" t="s">
        <v>2712</v>
      </c>
      <c r="F1060" s="40" t="s">
        <v>240</v>
      </c>
      <c r="G1060" s="41">
        <v>20</v>
      </c>
      <c r="H1060" s="42" t="s">
        <v>3698</v>
      </c>
      <c r="I1060" s="42">
        <v>6304470461</v>
      </c>
      <c r="J1060" s="43" t="s">
        <v>3699</v>
      </c>
      <c r="K1060" s="43" t="s">
        <v>3699</v>
      </c>
      <c r="L1060" s="82">
        <v>800</v>
      </c>
      <c r="M1060" s="82">
        <v>800</v>
      </c>
      <c r="N1060" s="7" t="s">
        <v>239</v>
      </c>
      <c r="O1060" s="6" t="s">
        <v>239</v>
      </c>
      <c r="P1060" s="6" t="s">
        <v>239</v>
      </c>
      <c r="Q1060" s="6" t="s">
        <v>236</v>
      </c>
      <c r="R1060" s="41"/>
      <c r="S1060" s="6">
        <f t="shared" si="16"/>
        <v>800</v>
      </c>
      <c r="W1060" s="6" t="s">
        <v>236</v>
      </c>
      <c r="X1060" s="6" t="s">
        <v>236</v>
      </c>
      <c r="Y1060" s="6" t="s">
        <v>236</v>
      </c>
      <c r="Z1060" s="6" t="s">
        <v>236</v>
      </c>
      <c r="AA1060" s="6" t="s">
        <v>236</v>
      </c>
    </row>
    <row r="1061" spans="1:27" s="40" customFormat="1">
      <c r="A1061" s="6">
        <v>1059</v>
      </c>
      <c r="B1061" s="40" t="s">
        <v>298</v>
      </c>
      <c r="C1061" s="7">
        <v>46162</v>
      </c>
      <c r="D1061" s="40" t="s">
        <v>226</v>
      </c>
      <c r="E1061" s="6" t="s">
        <v>2712</v>
      </c>
      <c r="F1061" s="40" t="s">
        <v>240</v>
      </c>
      <c r="G1061" s="41">
        <v>20</v>
      </c>
      <c r="H1061" s="42" t="s">
        <v>3700</v>
      </c>
      <c r="I1061" s="42">
        <v>9995598818</v>
      </c>
      <c r="J1061" s="43" t="s">
        <v>3701</v>
      </c>
      <c r="K1061" s="43" t="s">
        <v>3701</v>
      </c>
      <c r="L1061" s="82">
        <v>280</v>
      </c>
      <c r="M1061" s="82">
        <v>280</v>
      </c>
      <c r="N1061" s="7" t="s">
        <v>239</v>
      </c>
      <c r="O1061" s="6" t="s">
        <v>239</v>
      </c>
      <c r="P1061" s="6" t="s">
        <v>239</v>
      </c>
      <c r="Q1061" s="6" t="s">
        <v>236</v>
      </c>
      <c r="R1061" s="41"/>
      <c r="S1061" s="6">
        <f t="shared" si="16"/>
        <v>280</v>
      </c>
      <c r="W1061" s="6" t="s">
        <v>236</v>
      </c>
      <c r="X1061" s="6" t="s">
        <v>236</v>
      </c>
      <c r="Y1061" s="6" t="s">
        <v>236</v>
      </c>
      <c r="Z1061" s="6" t="s">
        <v>236</v>
      </c>
      <c r="AA1061" s="6" t="s">
        <v>236</v>
      </c>
    </row>
    <row r="1062" spans="1:27" s="40" customFormat="1">
      <c r="A1062" s="6">
        <v>1060</v>
      </c>
      <c r="B1062" s="40" t="s">
        <v>298</v>
      </c>
      <c r="C1062" s="7">
        <v>46162</v>
      </c>
      <c r="D1062" s="40" t="s">
        <v>226</v>
      </c>
      <c r="E1062" s="6" t="s">
        <v>2712</v>
      </c>
      <c r="F1062" s="40" t="s">
        <v>240</v>
      </c>
      <c r="G1062" s="41">
        <v>20</v>
      </c>
      <c r="H1062" s="42" t="s">
        <v>3702</v>
      </c>
      <c r="I1062" s="42">
        <v>9443444094</v>
      </c>
      <c r="J1062" s="43" t="s">
        <v>3703</v>
      </c>
      <c r="K1062" s="43" t="s">
        <v>3703</v>
      </c>
      <c r="L1062" s="82">
        <v>230</v>
      </c>
      <c r="M1062" s="82">
        <v>230</v>
      </c>
      <c r="N1062" s="7" t="s">
        <v>239</v>
      </c>
      <c r="O1062" s="6" t="s">
        <v>239</v>
      </c>
      <c r="P1062" s="6" t="s">
        <v>239</v>
      </c>
      <c r="Q1062" s="6" t="s">
        <v>236</v>
      </c>
      <c r="R1062" s="41"/>
      <c r="S1062" s="6">
        <f t="shared" si="16"/>
        <v>230</v>
      </c>
      <c r="W1062" s="6" t="s">
        <v>236</v>
      </c>
      <c r="X1062" s="6" t="s">
        <v>236</v>
      </c>
      <c r="Y1062" s="6" t="s">
        <v>236</v>
      </c>
      <c r="Z1062" s="6" t="s">
        <v>236</v>
      </c>
      <c r="AA1062" s="6" t="s">
        <v>236</v>
      </c>
    </row>
    <row r="1063" spans="1:27" s="40" customFormat="1">
      <c r="A1063" s="6">
        <v>1061</v>
      </c>
      <c r="B1063" s="40" t="s">
        <v>298</v>
      </c>
      <c r="C1063" s="7">
        <v>46162</v>
      </c>
      <c r="D1063" s="40" t="s">
        <v>226</v>
      </c>
      <c r="E1063" s="6" t="s">
        <v>2712</v>
      </c>
      <c r="F1063" s="40" t="s">
        <v>240</v>
      </c>
      <c r="G1063" s="41">
        <v>20</v>
      </c>
      <c r="H1063" s="42" t="s">
        <v>3704</v>
      </c>
      <c r="I1063" s="42">
        <v>8943446098</v>
      </c>
      <c r="J1063" s="43" t="s">
        <v>3705</v>
      </c>
      <c r="K1063" s="43" t="s">
        <v>3705</v>
      </c>
      <c r="L1063" s="82">
        <v>80</v>
      </c>
      <c r="M1063" s="82">
        <v>80</v>
      </c>
      <c r="N1063" s="7" t="s">
        <v>239</v>
      </c>
      <c r="O1063" s="6" t="s">
        <v>239</v>
      </c>
      <c r="P1063" s="6" t="s">
        <v>239</v>
      </c>
      <c r="Q1063" s="6" t="s">
        <v>236</v>
      </c>
      <c r="R1063" s="41"/>
      <c r="S1063" s="6">
        <f t="shared" si="16"/>
        <v>80</v>
      </c>
      <c r="W1063" s="6" t="s">
        <v>236</v>
      </c>
      <c r="X1063" s="6" t="s">
        <v>236</v>
      </c>
      <c r="Y1063" s="6" t="s">
        <v>236</v>
      </c>
      <c r="Z1063" s="6" t="s">
        <v>236</v>
      </c>
      <c r="AA1063" s="6" t="s">
        <v>236</v>
      </c>
    </row>
    <row r="1064" spans="1:27" s="40" customFormat="1">
      <c r="A1064" s="6">
        <v>1062</v>
      </c>
      <c r="B1064" s="40" t="s">
        <v>298</v>
      </c>
      <c r="C1064" s="7">
        <v>46162</v>
      </c>
      <c r="D1064" s="40" t="s">
        <v>226</v>
      </c>
      <c r="E1064" s="6" t="s">
        <v>2712</v>
      </c>
      <c r="F1064" s="40" t="s">
        <v>240</v>
      </c>
      <c r="G1064" s="41">
        <v>20</v>
      </c>
      <c r="H1064" s="42" t="s">
        <v>3706</v>
      </c>
      <c r="I1064" s="42">
        <v>7396751706</v>
      </c>
      <c r="J1064" s="43" t="s">
        <v>3707</v>
      </c>
      <c r="K1064" s="43" t="s">
        <v>3707</v>
      </c>
      <c r="L1064" s="82">
        <v>40</v>
      </c>
      <c r="M1064" s="82">
        <v>40</v>
      </c>
      <c r="N1064" s="7" t="s">
        <v>239</v>
      </c>
      <c r="O1064" s="6" t="s">
        <v>239</v>
      </c>
      <c r="P1064" s="6" t="s">
        <v>239</v>
      </c>
      <c r="Q1064" s="6" t="s">
        <v>236</v>
      </c>
      <c r="R1064" s="41"/>
      <c r="S1064" s="6">
        <f t="shared" si="16"/>
        <v>40</v>
      </c>
      <c r="W1064" s="6" t="s">
        <v>236</v>
      </c>
      <c r="X1064" s="6" t="s">
        <v>236</v>
      </c>
      <c r="Y1064" s="6" t="s">
        <v>236</v>
      </c>
      <c r="Z1064" s="6" t="s">
        <v>236</v>
      </c>
      <c r="AA1064" s="6" t="s">
        <v>236</v>
      </c>
    </row>
    <row r="1065" spans="1:27" s="40" customFormat="1">
      <c r="A1065" s="6">
        <v>1063</v>
      </c>
      <c r="B1065" s="40" t="s">
        <v>298</v>
      </c>
      <c r="C1065" s="7">
        <v>46162</v>
      </c>
      <c r="D1065" s="40" t="s">
        <v>226</v>
      </c>
      <c r="E1065" s="6" t="s">
        <v>2712</v>
      </c>
      <c r="F1065" s="40" t="s">
        <v>240</v>
      </c>
      <c r="G1065" s="41">
        <v>20</v>
      </c>
      <c r="H1065" s="42" t="s">
        <v>3708</v>
      </c>
      <c r="I1065" s="42">
        <v>7012588932</v>
      </c>
      <c r="J1065" s="43" t="s">
        <v>3709</v>
      </c>
      <c r="K1065" s="43" t="s">
        <v>3709</v>
      </c>
      <c r="L1065" s="82">
        <v>50</v>
      </c>
      <c r="M1065" s="82">
        <v>50</v>
      </c>
      <c r="N1065" s="7" t="s">
        <v>239</v>
      </c>
      <c r="O1065" s="6" t="s">
        <v>239</v>
      </c>
      <c r="P1065" s="6" t="s">
        <v>239</v>
      </c>
      <c r="Q1065" s="6" t="s">
        <v>236</v>
      </c>
      <c r="R1065" s="41"/>
      <c r="S1065" s="6">
        <f t="shared" si="16"/>
        <v>50</v>
      </c>
      <c r="W1065" s="6" t="s">
        <v>236</v>
      </c>
      <c r="X1065" s="6" t="s">
        <v>236</v>
      </c>
      <c r="Y1065" s="6" t="s">
        <v>236</v>
      </c>
      <c r="Z1065" s="6" t="s">
        <v>236</v>
      </c>
      <c r="AA1065" s="6" t="s">
        <v>236</v>
      </c>
    </row>
    <row r="1066" spans="1:27" s="40" customFormat="1">
      <c r="A1066" s="6">
        <v>1064</v>
      </c>
      <c r="B1066" s="40" t="s">
        <v>225</v>
      </c>
      <c r="C1066" s="7">
        <v>46162</v>
      </c>
      <c r="D1066" s="40" t="s">
        <v>226</v>
      </c>
      <c r="E1066" s="6" t="s">
        <v>2712</v>
      </c>
      <c r="F1066" s="40" t="s">
        <v>310</v>
      </c>
      <c r="G1066" s="41">
        <v>20</v>
      </c>
      <c r="H1066" s="42" t="s">
        <v>3710</v>
      </c>
      <c r="I1066" s="42" t="s">
        <v>3711</v>
      </c>
      <c r="J1066" s="43" t="s">
        <v>3712</v>
      </c>
      <c r="K1066" s="43" t="s">
        <v>3712</v>
      </c>
      <c r="L1066" s="82">
        <v>20720</v>
      </c>
      <c r="M1066" s="82">
        <v>20720</v>
      </c>
      <c r="N1066" s="7"/>
      <c r="O1066" s="6" t="s">
        <v>3643</v>
      </c>
      <c r="P1066" s="6" t="s">
        <v>52</v>
      </c>
      <c r="Q1066" s="6" t="s">
        <v>2158</v>
      </c>
      <c r="R1066" s="41">
        <v>20720</v>
      </c>
      <c r="S1066" s="6">
        <f t="shared" si="16"/>
        <v>0</v>
      </c>
      <c r="U1066" s="40" t="s">
        <v>3713</v>
      </c>
      <c r="V1066" s="40" t="s">
        <v>54</v>
      </c>
      <c r="W1066" s="6" t="s">
        <v>315</v>
      </c>
      <c r="X1066" s="6" t="s">
        <v>3714</v>
      </c>
      <c r="Y1066" s="6" t="s">
        <v>3715</v>
      </c>
      <c r="Z1066" s="6" t="s">
        <v>309</v>
      </c>
      <c r="AA1066" s="6" t="s">
        <v>40</v>
      </c>
    </row>
    <row r="1067" spans="1:27" s="40" customFormat="1">
      <c r="A1067" s="6">
        <v>1065</v>
      </c>
      <c r="B1067" s="40" t="s">
        <v>225</v>
      </c>
      <c r="C1067" s="7">
        <v>46162</v>
      </c>
      <c r="D1067" s="40" t="s">
        <v>226</v>
      </c>
      <c r="E1067" s="6" t="s">
        <v>2712</v>
      </c>
      <c r="F1067" s="40" t="s">
        <v>310</v>
      </c>
      <c r="G1067" s="41">
        <v>20</v>
      </c>
      <c r="H1067" s="42" t="s">
        <v>3716</v>
      </c>
      <c r="I1067" s="42" t="s">
        <v>3717</v>
      </c>
      <c r="J1067" s="43" t="s">
        <v>3718</v>
      </c>
      <c r="K1067" s="43" t="s">
        <v>3718</v>
      </c>
      <c r="L1067" s="82">
        <v>12150</v>
      </c>
      <c r="M1067" s="82">
        <v>12150</v>
      </c>
      <c r="N1067" s="7"/>
      <c r="O1067" s="6" t="s">
        <v>3719</v>
      </c>
      <c r="P1067" s="6" t="s">
        <v>52</v>
      </c>
      <c r="Q1067" s="6" t="s">
        <v>2158</v>
      </c>
      <c r="R1067" s="41"/>
      <c r="S1067" s="6">
        <f t="shared" si="16"/>
        <v>12150</v>
      </c>
      <c r="W1067" s="6" t="s">
        <v>315</v>
      </c>
      <c r="X1067" s="6" t="s">
        <v>300</v>
      </c>
      <c r="Y1067" s="6" t="s">
        <v>3720</v>
      </c>
      <c r="Z1067" s="6" t="s">
        <v>302</v>
      </c>
      <c r="AA1067" s="6" t="s">
        <v>40</v>
      </c>
    </row>
    <row r="1068" spans="1:27" s="40" customFormat="1">
      <c r="A1068" s="6">
        <v>1066</v>
      </c>
      <c r="B1068" s="40" t="s">
        <v>225</v>
      </c>
      <c r="C1068" s="7">
        <v>46162</v>
      </c>
      <c r="D1068" s="40" t="s">
        <v>226</v>
      </c>
      <c r="E1068" s="6" t="s">
        <v>2712</v>
      </c>
      <c r="F1068" s="40" t="s">
        <v>310</v>
      </c>
      <c r="G1068" s="41">
        <v>20</v>
      </c>
      <c r="H1068" s="42" t="s">
        <v>3721</v>
      </c>
      <c r="I1068" s="42" t="s">
        <v>3722</v>
      </c>
      <c r="J1068" s="43" t="s">
        <v>3723</v>
      </c>
      <c r="K1068" s="43" t="s">
        <v>3723</v>
      </c>
      <c r="L1068" s="82">
        <v>12410</v>
      </c>
      <c r="M1068" s="82">
        <v>12410</v>
      </c>
      <c r="N1068" s="7"/>
      <c r="O1068" s="6" t="s">
        <v>855</v>
      </c>
      <c r="P1068" s="6" t="s">
        <v>52</v>
      </c>
      <c r="Q1068" s="6" t="s">
        <v>2158</v>
      </c>
      <c r="R1068" s="41">
        <v>12410</v>
      </c>
      <c r="S1068" s="6">
        <f t="shared" si="16"/>
        <v>0</v>
      </c>
      <c r="U1068" s="40" t="s">
        <v>3724</v>
      </c>
      <c r="V1068" s="40" t="s">
        <v>54</v>
      </c>
      <c r="W1068" s="6" t="s">
        <v>315</v>
      </c>
      <c r="X1068" s="6" t="s">
        <v>1229</v>
      </c>
      <c r="Y1068" s="6" t="s">
        <v>3725</v>
      </c>
      <c r="Z1068" s="6" t="s">
        <v>857</v>
      </c>
      <c r="AA1068" s="6" t="s">
        <v>40</v>
      </c>
    </row>
    <row r="1069" spans="1:27" s="40" customFormat="1">
      <c r="A1069" s="6">
        <v>1067</v>
      </c>
      <c r="B1069" s="40" t="s">
        <v>2158</v>
      </c>
      <c r="C1069" s="7">
        <v>46162</v>
      </c>
      <c r="D1069" s="40" t="s">
        <v>933</v>
      </c>
      <c r="E1069" s="6" t="s">
        <v>2712</v>
      </c>
      <c r="F1069" s="40" t="s">
        <v>3726</v>
      </c>
      <c r="G1069" s="41">
        <v>20</v>
      </c>
      <c r="H1069" s="42" t="s">
        <v>3727</v>
      </c>
      <c r="I1069" s="42" t="s">
        <v>3728</v>
      </c>
      <c r="J1069" s="43" t="s">
        <v>3729</v>
      </c>
      <c r="K1069" s="43" t="s">
        <v>3730</v>
      </c>
      <c r="L1069" s="82">
        <v>34387.370000000003</v>
      </c>
      <c r="M1069" s="82">
        <v>24000</v>
      </c>
      <c r="N1069" s="7">
        <v>46168</v>
      </c>
      <c r="O1069" s="6" t="s">
        <v>3580</v>
      </c>
      <c r="P1069" s="6" t="s">
        <v>52</v>
      </c>
      <c r="Q1069" s="6" t="s">
        <v>1398</v>
      </c>
      <c r="R1069" s="41">
        <v>10000</v>
      </c>
      <c r="S1069" s="6">
        <f t="shared" si="16"/>
        <v>14000</v>
      </c>
      <c r="T1069" s="91">
        <v>46168</v>
      </c>
      <c r="U1069" s="40" t="s">
        <v>3731</v>
      </c>
      <c r="W1069" s="6" t="s">
        <v>1398</v>
      </c>
      <c r="X1069" s="6" t="s">
        <v>225</v>
      </c>
      <c r="Y1069" s="6" t="s">
        <v>3732</v>
      </c>
      <c r="Z1069" s="6" t="s">
        <v>692</v>
      </c>
      <c r="AA1069" s="6" t="s">
        <v>40</v>
      </c>
    </row>
    <row r="1070" spans="1:27" s="40" customFormat="1">
      <c r="A1070" s="6">
        <v>1068</v>
      </c>
      <c r="B1070" s="40" t="s">
        <v>2158</v>
      </c>
      <c r="C1070" s="7">
        <v>46162</v>
      </c>
      <c r="D1070" s="40" t="s">
        <v>933</v>
      </c>
      <c r="E1070" s="6" t="s">
        <v>2712</v>
      </c>
      <c r="F1070" s="40" t="s">
        <v>3726</v>
      </c>
      <c r="G1070" s="41">
        <v>20</v>
      </c>
      <c r="H1070" s="42" t="s">
        <v>3733</v>
      </c>
      <c r="I1070" s="42" t="s">
        <v>3734</v>
      </c>
      <c r="J1070" s="43" t="s">
        <v>3735</v>
      </c>
      <c r="K1070" s="43" t="s">
        <v>3736</v>
      </c>
      <c r="L1070" s="82">
        <v>9835</v>
      </c>
      <c r="M1070" s="82">
        <v>9836</v>
      </c>
      <c r="N1070" s="7">
        <v>46175</v>
      </c>
      <c r="O1070" s="6" t="s">
        <v>3580</v>
      </c>
      <c r="P1070" s="6" t="s">
        <v>52</v>
      </c>
      <c r="Q1070" s="6" t="s">
        <v>3737</v>
      </c>
      <c r="R1070" s="41">
        <v>9836</v>
      </c>
      <c r="S1070" s="6">
        <f t="shared" si="16"/>
        <v>0</v>
      </c>
      <c r="T1070" s="91">
        <v>46175</v>
      </c>
      <c r="U1070" s="40" t="s">
        <v>3738</v>
      </c>
      <c r="V1070" s="40" t="s">
        <v>54</v>
      </c>
      <c r="W1070" s="6" t="s">
        <v>3737</v>
      </c>
      <c r="X1070" s="6" t="s">
        <v>1294</v>
      </c>
      <c r="Y1070" s="6" t="s">
        <v>3739</v>
      </c>
      <c r="Z1070" s="6" t="s">
        <v>3740</v>
      </c>
      <c r="AA1070" s="6" t="s">
        <v>40</v>
      </c>
    </row>
    <row r="1071" spans="1:27" s="40" customFormat="1">
      <c r="A1071" s="6">
        <v>1069</v>
      </c>
      <c r="B1071" s="40" t="s">
        <v>2158</v>
      </c>
      <c r="C1071" s="7">
        <v>46162</v>
      </c>
      <c r="D1071" s="40" t="s">
        <v>933</v>
      </c>
      <c r="E1071" s="6" t="s">
        <v>2712</v>
      </c>
      <c r="F1071" s="40" t="s">
        <v>3726</v>
      </c>
      <c r="G1071" s="41">
        <v>20</v>
      </c>
      <c r="H1071" s="42" t="s">
        <v>3741</v>
      </c>
      <c r="I1071" s="42" t="s">
        <v>3742</v>
      </c>
      <c r="J1071" s="43" t="s">
        <v>3743</v>
      </c>
      <c r="K1071" s="43" t="s">
        <v>3744</v>
      </c>
      <c r="L1071" s="82">
        <v>12552</v>
      </c>
      <c r="M1071" s="82">
        <v>12553</v>
      </c>
      <c r="N1071" s="7" t="s">
        <v>239</v>
      </c>
      <c r="O1071" s="6" t="s">
        <v>239</v>
      </c>
      <c r="P1071" s="6" t="s">
        <v>239</v>
      </c>
      <c r="Q1071" s="6" t="s">
        <v>3737</v>
      </c>
      <c r="R1071" s="41"/>
      <c r="S1071" s="6">
        <f t="shared" si="16"/>
        <v>12553</v>
      </c>
      <c r="W1071" s="6" t="s">
        <v>3737</v>
      </c>
      <c r="X1071" s="6" t="s">
        <v>1409</v>
      </c>
      <c r="Y1071" s="6" t="s">
        <v>3745</v>
      </c>
      <c r="Z1071" s="6" t="s">
        <v>3746</v>
      </c>
      <c r="AA1071" s="6" t="s">
        <v>40</v>
      </c>
    </row>
    <row r="1072" spans="1:27" s="40" customFormat="1">
      <c r="A1072" s="6">
        <v>1070</v>
      </c>
      <c r="B1072" s="40" t="s">
        <v>2158</v>
      </c>
      <c r="C1072" s="7">
        <v>46162</v>
      </c>
      <c r="D1072" s="40" t="s">
        <v>933</v>
      </c>
      <c r="E1072" s="6" t="s">
        <v>2712</v>
      </c>
      <c r="F1072" s="40" t="s">
        <v>3726</v>
      </c>
      <c r="G1072" s="41">
        <v>20</v>
      </c>
      <c r="H1072" s="42" t="s">
        <v>3747</v>
      </c>
      <c r="I1072" s="42" t="s">
        <v>3748</v>
      </c>
      <c r="J1072" s="43" t="s">
        <v>3749</v>
      </c>
      <c r="K1072" s="43" t="s">
        <v>3750</v>
      </c>
      <c r="L1072" s="82">
        <v>1064</v>
      </c>
      <c r="M1072" s="82">
        <v>1065</v>
      </c>
      <c r="N1072" s="7" t="s">
        <v>239</v>
      </c>
      <c r="O1072" s="6" t="s">
        <v>239</v>
      </c>
      <c r="P1072" s="6" t="s">
        <v>239</v>
      </c>
      <c r="Q1072" s="6" t="s">
        <v>3737</v>
      </c>
      <c r="R1072" s="41"/>
      <c r="S1072" s="6">
        <f t="shared" si="16"/>
        <v>1065</v>
      </c>
      <c r="W1072" s="6" t="s">
        <v>3737</v>
      </c>
      <c r="X1072" s="6" t="s">
        <v>1403</v>
      </c>
      <c r="Y1072" s="6" t="s">
        <v>3751</v>
      </c>
      <c r="Z1072" s="6" t="s">
        <v>215</v>
      </c>
      <c r="AA1072" s="6" t="s">
        <v>40</v>
      </c>
    </row>
    <row r="1073" spans="1:27" s="40" customFormat="1">
      <c r="A1073" s="6">
        <v>1071</v>
      </c>
      <c r="B1073" s="40" t="s">
        <v>2158</v>
      </c>
      <c r="C1073" s="7">
        <v>46162</v>
      </c>
      <c r="D1073" s="40" t="s">
        <v>933</v>
      </c>
      <c r="E1073" s="6" t="s">
        <v>2712</v>
      </c>
      <c r="F1073" s="40" t="s">
        <v>3726</v>
      </c>
      <c r="G1073" s="41">
        <v>20</v>
      </c>
      <c r="H1073" s="42" t="s">
        <v>3752</v>
      </c>
      <c r="I1073" s="42" t="s">
        <v>3753</v>
      </c>
      <c r="J1073" s="43" t="s">
        <v>3754</v>
      </c>
      <c r="K1073" s="43" t="s">
        <v>3755</v>
      </c>
      <c r="L1073" s="82">
        <v>403</v>
      </c>
      <c r="M1073" s="82">
        <v>404</v>
      </c>
      <c r="N1073" s="7" t="s">
        <v>239</v>
      </c>
      <c r="O1073" s="6" t="s">
        <v>239</v>
      </c>
      <c r="P1073" s="6" t="s">
        <v>239</v>
      </c>
      <c r="Q1073" s="6" t="s">
        <v>3737</v>
      </c>
      <c r="R1073" s="41"/>
      <c r="S1073" s="6">
        <f t="shared" si="16"/>
        <v>404</v>
      </c>
      <c r="W1073" s="6" t="s">
        <v>3737</v>
      </c>
      <c r="X1073" s="6" t="s">
        <v>1409</v>
      </c>
      <c r="Y1073" s="6" t="s">
        <v>3756</v>
      </c>
      <c r="Z1073" s="6" t="s">
        <v>126</v>
      </c>
      <c r="AA1073" s="6" t="s">
        <v>40</v>
      </c>
    </row>
    <row r="1074" spans="1:27" s="40" customFormat="1">
      <c r="A1074" s="6">
        <v>1072</v>
      </c>
      <c r="B1074" s="40" t="s">
        <v>2158</v>
      </c>
      <c r="C1074" s="7">
        <v>46162</v>
      </c>
      <c r="D1074" s="40" t="s">
        <v>933</v>
      </c>
      <c r="E1074" s="6" t="s">
        <v>2712</v>
      </c>
      <c r="F1074" s="40" t="s">
        <v>3726</v>
      </c>
      <c r="G1074" s="41">
        <v>20</v>
      </c>
      <c r="H1074" s="42" t="s">
        <v>3757</v>
      </c>
      <c r="I1074" s="42" t="s">
        <v>3758</v>
      </c>
      <c r="J1074" s="43" t="s">
        <v>3759</v>
      </c>
      <c r="K1074" s="43" t="s">
        <v>3760</v>
      </c>
      <c r="L1074" s="82">
        <v>3708</v>
      </c>
      <c r="M1074" s="82">
        <v>3709</v>
      </c>
      <c r="N1074" s="7" t="s">
        <v>239</v>
      </c>
      <c r="O1074" s="6" t="s">
        <v>239</v>
      </c>
      <c r="P1074" s="6" t="s">
        <v>239</v>
      </c>
      <c r="Q1074" s="6" t="s">
        <v>3737</v>
      </c>
      <c r="R1074" s="41"/>
      <c r="S1074" s="6">
        <f t="shared" si="16"/>
        <v>3709</v>
      </c>
      <c r="W1074" s="6" t="s">
        <v>3737</v>
      </c>
      <c r="X1074" s="6" t="s">
        <v>3761</v>
      </c>
      <c r="Y1074" s="6" t="s">
        <v>3762</v>
      </c>
      <c r="Z1074" s="6" t="s">
        <v>3763</v>
      </c>
      <c r="AA1074" s="6" t="s">
        <v>40</v>
      </c>
    </row>
    <row r="1075" spans="1:27" s="40" customFormat="1">
      <c r="A1075" s="6">
        <v>1073</v>
      </c>
      <c r="B1075" s="40" t="s">
        <v>346</v>
      </c>
      <c r="C1075" s="7">
        <v>46162</v>
      </c>
      <c r="D1075" s="40" t="s">
        <v>226</v>
      </c>
      <c r="E1075" s="6" t="s">
        <v>2712</v>
      </c>
      <c r="F1075" s="40" t="s">
        <v>364</v>
      </c>
      <c r="G1075" s="41">
        <v>20</v>
      </c>
      <c r="H1075" s="42" t="s">
        <v>3764</v>
      </c>
      <c r="I1075" s="42" t="s">
        <v>3765</v>
      </c>
      <c r="J1075" s="43" t="s">
        <v>3766</v>
      </c>
      <c r="K1075" s="43" t="s">
        <v>3766</v>
      </c>
      <c r="L1075" s="82">
        <v>39400</v>
      </c>
      <c r="M1075" s="82">
        <v>19401</v>
      </c>
      <c r="N1075" s="7">
        <v>46173</v>
      </c>
      <c r="O1075" s="6" t="s">
        <v>1733</v>
      </c>
      <c r="P1075" s="6" t="s">
        <v>52</v>
      </c>
      <c r="Q1075" s="6" t="s">
        <v>665</v>
      </c>
      <c r="R1075" s="41">
        <v>19400</v>
      </c>
      <c r="S1075" s="6">
        <f t="shared" si="16"/>
        <v>1</v>
      </c>
      <c r="T1075" s="91">
        <v>46173</v>
      </c>
      <c r="U1075" s="40" t="s">
        <v>3767</v>
      </c>
      <c r="V1075" s="40" t="s">
        <v>54</v>
      </c>
      <c r="W1075" s="6" t="s">
        <v>1398</v>
      </c>
      <c r="X1075" s="6" t="s">
        <v>1733</v>
      </c>
      <c r="Y1075" s="6" t="s">
        <v>3768</v>
      </c>
      <c r="Z1075" s="6" t="s">
        <v>373</v>
      </c>
      <c r="AA1075" s="6" t="s">
        <v>373</v>
      </c>
    </row>
    <row r="1076" spans="1:27" s="40" customFormat="1">
      <c r="A1076" s="6">
        <v>1074</v>
      </c>
      <c r="B1076" s="40" t="s">
        <v>939</v>
      </c>
      <c r="C1076" s="7">
        <v>46162</v>
      </c>
      <c r="D1076" s="40" t="s">
        <v>933</v>
      </c>
      <c r="E1076" s="6" t="s">
        <v>2712</v>
      </c>
      <c r="F1076" s="40" t="s">
        <v>3726</v>
      </c>
      <c r="G1076" s="41">
        <v>20</v>
      </c>
      <c r="H1076" s="42" t="s">
        <v>3769</v>
      </c>
      <c r="I1076" s="42" t="s">
        <v>3770</v>
      </c>
      <c r="J1076" s="43" t="s">
        <v>3771</v>
      </c>
      <c r="K1076" s="43" t="s">
        <v>3772</v>
      </c>
      <c r="L1076" s="82">
        <v>3408</v>
      </c>
      <c r="M1076" s="82">
        <v>1100</v>
      </c>
      <c r="N1076" s="7">
        <v>46176</v>
      </c>
      <c r="O1076" s="6" t="s">
        <v>825</v>
      </c>
      <c r="P1076" s="6" t="s">
        <v>52</v>
      </c>
      <c r="Q1076" s="6" t="s">
        <v>939</v>
      </c>
      <c r="R1076" s="41">
        <v>1100</v>
      </c>
      <c r="S1076" s="6">
        <f t="shared" si="16"/>
        <v>0</v>
      </c>
      <c r="T1076" s="91">
        <v>46176</v>
      </c>
      <c r="U1076" s="40" t="s">
        <v>3773</v>
      </c>
      <c r="V1076" s="40" t="s">
        <v>54</v>
      </c>
      <c r="W1076" s="6" t="s">
        <v>1095</v>
      </c>
      <c r="X1076" s="6" t="s">
        <v>825</v>
      </c>
      <c r="Y1076" s="6" t="s">
        <v>3774</v>
      </c>
      <c r="Z1076" s="6" t="s">
        <v>3775</v>
      </c>
      <c r="AA1076" s="6" t="s">
        <v>235</v>
      </c>
    </row>
    <row r="1077" spans="1:27" s="40" customFormat="1">
      <c r="A1077" s="6">
        <v>1075</v>
      </c>
      <c r="B1077" s="40" t="s">
        <v>225</v>
      </c>
      <c r="C1077" s="7">
        <v>46163</v>
      </c>
      <c r="D1077" s="40" t="s">
        <v>226</v>
      </c>
      <c r="E1077" s="6" t="s">
        <v>2712</v>
      </c>
      <c r="F1077" s="40" t="s">
        <v>3612</v>
      </c>
      <c r="G1077" s="41">
        <v>21</v>
      </c>
      <c r="H1077" s="42" t="s">
        <v>3776</v>
      </c>
      <c r="I1077" s="42">
        <v>9701893376</v>
      </c>
      <c r="J1077" s="43" t="s">
        <v>3777</v>
      </c>
      <c r="K1077" s="43" t="s">
        <v>3777</v>
      </c>
      <c r="L1077" s="82">
        <v>31035</v>
      </c>
      <c r="M1077" s="82">
        <v>31035</v>
      </c>
      <c r="N1077" s="7"/>
      <c r="O1077" s="6" t="s">
        <v>3641</v>
      </c>
      <c r="P1077" s="6" t="s">
        <v>52</v>
      </c>
      <c r="Q1077" s="6" t="s">
        <v>2158</v>
      </c>
      <c r="R1077" s="41"/>
      <c r="S1077" s="6">
        <f t="shared" si="16"/>
        <v>31035</v>
      </c>
      <c r="W1077" s="6"/>
      <c r="X1077" s="6"/>
      <c r="Y1077" s="6" t="s">
        <v>3778</v>
      </c>
      <c r="Z1077" s="6" t="s">
        <v>851</v>
      </c>
      <c r="AA1077" s="6" t="s">
        <v>834</v>
      </c>
    </row>
    <row r="1078" spans="1:27" s="40" customFormat="1">
      <c r="A1078" s="6">
        <v>1076</v>
      </c>
      <c r="B1078" s="40" t="s">
        <v>225</v>
      </c>
      <c r="C1078" s="7">
        <v>46163</v>
      </c>
      <c r="D1078" s="40" t="s">
        <v>226</v>
      </c>
      <c r="E1078" s="6" t="s">
        <v>2712</v>
      </c>
      <c r="F1078" s="40" t="s">
        <v>3612</v>
      </c>
      <c r="G1078" s="41">
        <v>21</v>
      </c>
      <c r="H1078" s="42" t="s">
        <v>3779</v>
      </c>
      <c r="I1078" s="42">
        <v>9502115435</v>
      </c>
      <c r="J1078" s="43" t="s">
        <v>3780</v>
      </c>
      <c r="K1078" s="43" t="s">
        <v>3780</v>
      </c>
      <c r="L1078" s="82">
        <v>19390</v>
      </c>
      <c r="M1078" s="82">
        <v>19390</v>
      </c>
      <c r="N1078" s="7"/>
      <c r="O1078" s="6" t="s">
        <v>780</v>
      </c>
      <c r="P1078" s="6" t="s">
        <v>52</v>
      </c>
      <c r="Q1078" s="6" t="s">
        <v>2158</v>
      </c>
      <c r="R1078" s="41"/>
      <c r="S1078" s="6">
        <f t="shared" si="16"/>
        <v>19390</v>
      </c>
      <c r="W1078" s="6"/>
      <c r="X1078" s="6"/>
      <c r="Y1078" s="6" t="s">
        <v>3781</v>
      </c>
      <c r="Z1078" s="6" t="s">
        <v>834</v>
      </c>
      <c r="AA1078" s="6" t="s">
        <v>834</v>
      </c>
    </row>
    <row r="1079" spans="1:27" s="40" customFormat="1">
      <c r="A1079" s="6">
        <v>1077</v>
      </c>
      <c r="B1079" s="40" t="s">
        <v>225</v>
      </c>
      <c r="C1079" s="7">
        <v>46163</v>
      </c>
      <c r="D1079" s="40" t="s">
        <v>226</v>
      </c>
      <c r="E1079" s="6" t="s">
        <v>2712</v>
      </c>
      <c r="F1079" s="40" t="s">
        <v>3612</v>
      </c>
      <c r="G1079" s="41">
        <v>21</v>
      </c>
      <c r="H1079" s="42" t="s">
        <v>3782</v>
      </c>
      <c r="I1079" s="42">
        <v>9052534616</v>
      </c>
      <c r="J1079" s="43" t="s">
        <v>3783</v>
      </c>
      <c r="K1079" s="43" t="s">
        <v>3783</v>
      </c>
      <c r="L1079" s="82">
        <v>6260</v>
      </c>
      <c r="M1079" s="82">
        <v>6260</v>
      </c>
      <c r="N1079" s="7">
        <v>46173</v>
      </c>
      <c r="O1079" s="6" t="s">
        <v>3641</v>
      </c>
      <c r="P1079" s="6" t="s">
        <v>52</v>
      </c>
      <c r="Q1079" s="6" t="s">
        <v>2158</v>
      </c>
      <c r="R1079" s="41">
        <v>6260</v>
      </c>
      <c r="S1079" s="6">
        <f t="shared" si="16"/>
        <v>0</v>
      </c>
      <c r="T1079" s="91">
        <v>46173</v>
      </c>
      <c r="U1079" s="40" t="s">
        <v>3784</v>
      </c>
      <c r="V1079" s="40" t="s">
        <v>54</v>
      </c>
      <c r="W1079" s="6"/>
      <c r="X1079" s="6"/>
      <c r="Y1079" s="6" t="s">
        <v>3785</v>
      </c>
      <c r="Z1079" s="6" t="s">
        <v>834</v>
      </c>
      <c r="AA1079" s="6" t="s">
        <v>834</v>
      </c>
    </row>
    <row r="1080" spans="1:27" s="40" customFormat="1">
      <c r="A1080" s="6">
        <v>1078</v>
      </c>
      <c r="B1080" s="40" t="s">
        <v>225</v>
      </c>
      <c r="C1080" s="7">
        <v>46163</v>
      </c>
      <c r="D1080" s="40" t="s">
        <v>226</v>
      </c>
      <c r="E1080" s="6" t="s">
        <v>2712</v>
      </c>
      <c r="F1080" s="40" t="s">
        <v>3612</v>
      </c>
      <c r="G1080" s="41">
        <v>21</v>
      </c>
      <c r="H1080" s="42" t="s">
        <v>3786</v>
      </c>
      <c r="I1080" s="42">
        <v>9949737832</v>
      </c>
      <c r="J1080" s="43" t="s">
        <v>3787</v>
      </c>
      <c r="K1080" s="43" t="s">
        <v>3787</v>
      </c>
      <c r="L1080" s="82">
        <v>8290</v>
      </c>
      <c r="M1080" s="82">
        <v>8290</v>
      </c>
      <c r="N1080" s="7"/>
      <c r="O1080" s="6" t="s">
        <v>780</v>
      </c>
      <c r="P1080" s="6" t="s">
        <v>52</v>
      </c>
      <c r="Q1080" s="6" t="s">
        <v>2158</v>
      </c>
      <c r="R1080" s="41"/>
      <c r="S1080" s="6">
        <f t="shared" si="16"/>
        <v>8290</v>
      </c>
      <c r="W1080" s="6"/>
      <c r="X1080" s="6"/>
      <c r="Y1080" s="6" t="s">
        <v>3788</v>
      </c>
      <c r="Z1080" s="6" t="s">
        <v>851</v>
      </c>
      <c r="AA1080" s="6" t="s">
        <v>834</v>
      </c>
    </row>
    <row r="1081" spans="1:27" s="40" customFormat="1">
      <c r="A1081" s="6">
        <v>1079</v>
      </c>
      <c r="B1081" s="40" t="s">
        <v>225</v>
      </c>
      <c r="C1081" s="7">
        <v>46163</v>
      </c>
      <c r="D1081" s="40" t="s">
        <v>226</v>
      </c>
      <c r="E1081" s="6" t="s">
        <v>2712</v>
      </c>
      <c r="F1081" s="40" t="s">
        <v>3612</v>
      </c>
      <c r="G1081" s="41">
        <v>21</v>
      </c>
      <c r="H1081" s="42" t="s">
        <v>3789</v>
      </c>
      <c r="I1081" s="42">
        <v>9908518146</v>
      </c>
      <c r="J1081" s="43" t="s">
        <v>3790</v>
      </c>
      <c r="K1081" s="43" t="s">
        <v>3790</v>
      </c>
      <c r="L1081" s="82">
        <v>7430</v>
      </c>
      <c r="M1081" s="82">
        <v>7430</v>
      </c>
      <c r="N1081" s="7"/>
      <c r="O1081" s="6" t="s">
        <v>3641</v>
      </c>
      <c r="P1081" s="6" t="s">
        <v>52</v>
      </c>
      <c r="Q1081" s="6" t="s">
        <v>2158</v>
      </c>
      <c r="R1081" s="41"/>
      <c r="S1081" s="6">
        <f t="shared" si="16"/>
        <v>7430</v>
      </c>
      <c r="W1081" s="6"/>
      <c r="X1081" s="6"/>
      <c r="Y1081" s="6" t="s">
        <v>3791</v>
      </c>
      <c r="Z1081" s="6" t="s">
        <v>834</v>
      </c>
      <c r="AA1081" s="6" t="s">
        <v>834</v>
      </c>
    </row>
    <row r="1082" spans="1:27" s="40" customFormat="1">
      <c r="A1082" s="6">
        <v>1080</v>
      </c>
      <c r="B1082" s="40" t="s">
        <v>225</v>
      </c>
      <c r="C1082" s="7">
        <v>46163</v>
      </c>
      <c r="D1082" s="40" t="s">
        <v>226</v>
      </c>
      <c r="E1082" s="6" t="s">
        <v>2712</v>
      </c>
      <c r="F1082" s="40" t="s">
        <v>294</v>
      </c>
      <c r="G1082" s="41">
        <v>21</v>
      </c>
      <c r="H1082" s="42" t="s">
        <v>3792</v>
      </c>
      <c r="I1082" s="42" t="s">
        <v>3793</v>
      </c>
      <c r="J1082" s="43" t="s">
        <v>3794</v>
      </c>
      <c r="K1082" s="43" t="s">
        <v>3794</v>
      </c>
      <c r="L1082" s="82">
        <v>4310</v>
      </c>
      <c r="M1082" s="82">
        <v>4310</v>
      </c>
      <c r="N1082" s="7" t="s">
        <v>239</v>
      </c>
      <c r="O1082" s="6" t="s">
        <v>239</v>
      </c>
      <c r="P1082" s="6" t="s">
        <v>239</v>
      </c>
      <c r="Q1082" s="6" t="s">
        <v>298</v>
      </c>
      <c r="R1082" s="41"/>
      <c r="S1082" s="6">
        <f t="shared" si="16"/>
        <v>4310</v>
      </c>
      <c r="W1082" s="6" t="s">
        <v>1089</v>
      </c>
      <c r="X1082" s="6" t="s">
        <v>329</v>
      </c>
      <c r="Y1082" s="6" t="s">
        <v>3795</v>
      </c>
      <c r="Z1082" s="6" t="s">
        <v>57</v>
      </c>
      <c r="AA1082" s="6" t="s">
        <v>235</v>
      </c>
    </row>
    <row r="1083" spans="1:27" s="40" customFormat="1">
      <c r="A1083" s="6">
        <v>1081</v>
      </c>
      <c r="B1083" s="40" t="s">
        <v>225</v>
      </c>
      <c r="C1083" s="7">
        <v>46163</v>
      </c>
      <c r="D1083" s="40" t="s">
        <v>226</v>
      </c>
      <c r="E1083" s="6" t="s">
        <v>2712</v>
      </c>
      <c r="F1083" s="40" t="s">
        <v>294</v>
      </c>
      <c r="G1083" s="41">
        <v>21</v>
      </c>
      <c r="H1083" s="42" t="s">
        <v>3796</v>
      </c>
      <c r="I1083" s="42" t="s">
        <v>3797</v>
      </c>
      <c r="J1083" s="43" t="s">
        <v>3798</v>
      </c>
      <c r="K1083" s="43" t="s">
        <v>3798</v>
      </c>
      <c r="L1083" s="82">
        <v>5520</v>
      </c>
      <c r="M1083" s="82">
        <v>5520</v>
      </c>
      <c r="N1083" s="7">
        <v>46176</v>
      </c>
      <c r="O1083" s="6" t="s">
        <v>1089</v>
      </c>
      <c r="P1083" s="6" t="s">
        <v>52</v>
      </c>
      <c r="Q1083" s="6" t="s">
        <v>298</v>
      </c>
      <c r="R1083" s="41">
        <v>5520</v>
      </c>
      <c r="S1083" s="6">
        <f t="shared" si="16"/>
        <v>0</v>
      </c>
      <c r="T1083" s="7">
        <v>46176</v>
      </c>
      <c r="U1083" s="40" t="s">
        <v>3799</v>
      </c>
      <c r="V1083" s="40" t="s">
        <v>54</v>
      </c>
      <c r="W1083" s="6" t="s">
        <v>1089</v>
      </c>
      <c r="X1083" s="6" t="s">
        <v>3427</v>
      </c>
      <c r="Y1083" s="6" t="s">
        <v>3800</v>
      </c>
      <c r="Z1083" s="6" t="s">
        <v>363</v>
      </c>
      <c r="AA1083" s="6" t="s">
        <v>235</v>
      </c>
    </row>
    <row r="1084" spans="1:27" s="40" customFormat="1">
      <c r="A1084" s="6">
        <v>1082</v>
      </c>
      <c r="B1084" s="40" t="s">
        <v>225</v>
      </c>
      <c r="C1084" s="7">
        <v>46163</v>
      </c>
      <c r="D1084" s="40" t="s">
        <v>226</v>
      </c>
      <c r="E1084" s="6" t="s">
        <v>2712</v>
      </c>
      <c r="F1084" s="40" t="s">
        <v>294</v>
      </c>
      <c r="G1084" s="41">
        <v>21</v>
      </c>
      <c r="H1084" s="42" t="s">
        <v>3801</v>
      </c>
      <c r="I1084" s="42" t="s">
        <v>3802</v>
      </c>
      <c r="J1084" s="43" t="s">
        <v>3803</v>
      </c>
      <c r="K1084" s="43" t="s">
        <v>3803</v>
      </c>
      <c r="L1084" s="82">
        <v>1920</v>
      </c>
      <c r="M1084" s="82">
        <v>1920</v>
      </c>
      <c r="N1084" s="7" t="s">
        <v>239</v>
      </c>
      <c r="O1084" s="6" t="s">
        <v>239</v>
      </c>
      <c r="P1084" s="6" t="s">
        <v>239</v>
      </c>
      <c r="Q1084" s="6" t="s">
        <v>298</v>
      </c>
      <c r="R1084" s="41"/>
      <c r="S1084" s="6">
        <f t="shared" si="16"/>
        <v>1920</v>
      </c>
      <c r="W1084" s="6" t="s">
        <v>2306</v>
      </c>
      <c r="X1084" s="6" t="s">
        <v>3480</v>
      </c>
      <c r="Y1084" s="6" t="s">
        <v>3804</v>
      </c>
      <c r="Z1084" s="6" t="s">
        <v>234</v>
      </c>
      <c r="AA1084" s="6" t="s">
        <v>235</v>
      </c>
    </row>
    <row r="1085" spans="1:27" s="40" customFormat="1">
      <c r="A1085" s="6">
        <v>1083</v>
      </c>
      <c r="B1085" s="40" t="s">
        <v>225</v>
      </c>
      <c r="C1085" s="7">
        <v>46163</v>
      </c>
      <c r="D1085" s="40" t="s">
        <v>226</v>
      </c>
      <c r="E1085" s="6" t="s">
        <v>2712</v>
      </c>
      <c r="F1085" s="40" t="s">
        <v>746</v>
      </c>
      <c r="G1085" s="41">
        <v>21</v>
      </c>
      <c r="H1085" s="42" t="s">
        <v>3805</v>
      </c>
      <c r="I1085" s="42">
        <v>8197943487</v>
      </c>
      <c r="J1085" s="43" t="s">
        <v>3806</v>
      </c>
      <c r="K1085" s="43" t="s">
        <v>3806</v>
      </c>
      <c r="L1085" s="82">
        <v>1681</v>
      </c>
      <c r="M1085" s="82">
        <v>1681</v>
      </c>
      <c r="N1085" s="7" t="s">
        <v>239</v>
      </c>
      <c r="O1085" s="6" t="s">
        <v>239</v>
      </c>
      <c r="P1085" s="6" t="s">
        <v>239</v>
      </c>
      <c r="Q1085" s="6" t="s">
        <v>236</v>
      </c>
      <c r="R1085" s="41"/>
      <c r="S1085" s="6">
        <f t="shared" si="16"/>
        <v>1681</v>
      </c>
      <c r="W1085" s="6" t="s">
        <v>236</v>
      </c>
      <c r="X1085" s="6" t="s">
        <v>236</v>
      </c>
      <c r="Y1085" s="6" t="s">
        <v>236</v>
      </c>
      <c r="Z1085" s="6" t="s">
        <v>236</v>
      </c>
      <c r="AA1085" s="6" t="s">
        <v>236</v>
      </c>
    </row>
    <row r="1086" spans="1:27" s="40" customFormat="1">
      <c r="A1086" s="6">
        <v>1084</v>
      </c>
      <c r="B1086" s="40" t="s">
        <v>225</v>
      </c>
      <c r="C1086" s="7">
        <v>46163</v>
      </c>
      <c r="D1086" s="40" t="s">
        <v>226</v>
      </c>
      <c r="E1086" s="6" t="s">
        <v>2712</v>
      </c>
      <c r="F1086" s="40" t="s">
        <v>746</v>
      </c>
      <c r="G1086" s="41">
        <v>21</v>
      </c>
      <c r="H1086" s="42" t="s">
        <v>3807</v>
      </c>
      <c r="I1086" s="42">
        <v>9156566867</v>
      </c>
      <c r="J1086" s="43" t="s">
        <v>3808</v>
      </c>
      <c r="K1086" s="43" t="s">
        <v>3808</v>
      </c>
      <c r="L1086" s="82">
        <v>1900</v>
      </c>
      <c r="M1086" s="82">
        <v>1900</v>
      </c>
      <c r="N1086" s="7" t="s">
        <v>239</v>
      </c>
      <c r="O1086" s="6" t="s">
        <v>239</v>
      </c>
      <c r="P1086" s="6" t="s">
        <v>239</v>
      </c>
      <c r="Q1086" s="6" t="s">
        <v>236</v>
      </c>
      <c r="R1086" s="41"/>
      <c r="S1086" s="6">
        <f t="shared" si="16"/>
        <v>1900</v>
      </c>
      <c r="W1086" s="6" t="s">
        <v>236</v>
      </c>
      <c r="X1086" s="6" t="s">
        <v>236</v>
      </c>
      <c r="Y1086" s="6" t="s">
        <v>236</v>
      </c>
      <c r="Z1086" s="6" t="s">
        <v>236</v>
      </c>
      <c r="AA1086" s="6" t="s">
        <v>236</v>
      </c>
    </row>
    <row r="1087" spans="1:27" s="40" customFormat="1">
      <c r="A1087" s="6">
        <v>1085</v>
      </c>
      <c r="B1087" s="40" t="s">
        <v>225</v>
      </c>
      <c r="C1087" s="7">
        <v>46163</v>
      </c>
      <c r="D1087" s="40" t="s">
        <v>226</v>
      </c>
      <c r="E1087" s="6" t="s">
        <v>2712</v>
      </c>
      <c r="F1087" s="40" t="s">
        <v>746</v>
      </c>
      <c r="G1087" s="41">
        <v>21</v>
      </c>
      <c r="H1087" s="42" t="s">
        <v>3809</v>
      </c>
      <c r="I1087" s="42">
        <v>9677112765</v>
      </c>
      <c r="J1087" s="43" t="s">
        <v>3810</v>
      </c>
      <c r="K1087" s="43" t="s">
        <v>3810</v>
      </c>
      <c r="L1087" s="82">
        <v>364</v>
      </c>
      <c r="M1087" s="82">
        <v>364</v>
      </c>
      <c r="N1087" s="7" t="s">
        <v>239</v>
      </c>
      <c r="O1087" s="6" t="s">
        <v>239</v>
      </c>
      <c r="P1087" s="6" t="s">
        <v>239</v>
      </c>
      <c r="Q1087" s="6" t="s">
        <v>236</v>
      </c>
      <c r="R1087" s="41"/>
      <c r="S1087" s="6">
        <f t="shared" si="16"/>
        <v>364</v>
      </c>
      <c r="W1087" s="6" t="s">
        <v>236</v>
      </c>
      <c r="X1087" s="6" t="s">
        <v>236</v>
      </c>
      <c r="Y1087" s="6" t="s">
        <v>236</v>
      </c>
      <c r="Z1087" s="6" t="s">
        <v>236</v>
      </c>
      <c r="AA1087" s="6" t="s">
        <v>236</v>
      </c>
    </row>
    <row r="1088" spans="1:27" s="40" customFormat="1">
      <c r="A1088" s="6">
        <v>1086</v>
      </c>
      <c r="B1088" s="40" t="s">
        <v>225</v>
      </c>
      <c r="C1088" s="7">
        <v>46163</v>
      </c>
      <c r="D1088" s="40" t="s">
        <v>226</v>
      </c>
      <c r="E1088" s="6" t="s">
        <v>2712</v>
      </c>
      <c r="F1088" s="40" t="s">
        <v>746</v>
      </c>
      <c r="G1088" s="41">
        <v>21</v>
      </c>
      <c r="H1088" s="42" t="s">
        <v>3811</v>
      </c>
      <c r="I1088" s="42">
        <v>8431403196</v>
      </c>
      <c r="J1088" s="43" t="s">
        <v>3812</v>
      </c>
      <c r="K1088" s="43" t="s">
        <v>3812</v>
      </c>
      <c r="L1088" s="82">
        <v>762</v>
      </c>
      <c r="M1088" s="82">
        <v>762</v>
      </c>
      <c r="N1088" s="7" t="s">
        <v>239</v>
      </c>
      <c r="O1088" s="6" t="s">
        <v>239</v>
      </c>
      <c r="P1088" s="6" t="s">
        <v>239</v>
      </c>
      <c r="Q1088" s="6" t="s">
        <v>236</v>
      </c>
      <c r="R1088" s="41"/>
      <c r="S1088" s="6">
        <f t="shared" si="16"/>
        <v>762</v>
      </c>
      <c r="W1088" s="6" t="s">
        <v>236</v>
      </c>
      <c r="X1088" s="6" t="s">
        <v>236</v>
      </c>
      <c r="Y1088" s="6" t="s">
        <v>236</v>
      </c>
      <c r="Z1088" s="6" t="s">
        <v>236</v>
      </c>
      <c r="AA1088" s="6" t="s">
        <v>236</v>
      </c>
    </row>
    <row r="1089" spans="1:27" s="40" customFormat="1">
      <c r="A1089" s="6">
        <v>1087</v>
      </c>
      <c r="C1089" s="7">
        <v>46163</v>
      </c>
      <c r="D1089" s="40" t="s">
        <v>226</v>
      </c>
      <c r="E1089" s="6" t="s">
        <v>2712</v>
      </c>
      <c r="F1089" s="40" t="s">
        <v>746</v>
      </c>
      <c r="G1089" s="41">
        <v>21</v>
      </c>
      <c r="H1089" s="42" t="s">
        <v>3813</v>
      </c>
      <c r="I1089" s="42">
        <v>9962006547</v>
      </c>
      <c r="J1089" s="43" t="s">
        <v>3814</v>
      </c>
      <c r="K1089" s="43" t="s">
        <v>3814</v>
      </c>
      <c r="L1089" s="82">
        <v>1780</v>
      </c>
      <c r="M1089" s="82">
        <v>1780</v>
      </c>
      <c r="N1089" s="7" t="s">
        <v>239</v>
      </c>
      <c r="O1089" s="6" t="s">
        <v>239</v>
      </c>
      <c r="P1089" s="6" t="s">
        <v>239</v>
      </c>
      <c r="Q1089" s="6" t="s">
        <v>236</v>
      </c>
      <c r="R1089" s="41"/>
      <c r="S1089" s="6">
        <f t="shared" si="16"/>
        <v>1780</v>
      </c>
      <c r="W1089" s="6" t="s">
        <v>236</v>
      </c>
      <c r="X1089" s="6" t="s">
        <v>236</v>
      </c>
      <c r="Y1089" s="6" t="s">
        <v>236</v>
      </c>
      <c r="Z1089" s="6" t="s">
        <v>236</v>
      </c>
      <c r="AA1089" s="6" t="s">
        <v>236</v>
      </c>
    </row>
    <row r="1090" spans="1:27" s="40" customFormat="1">
      <c r="A1090" s="6">
        <v>1088</v>
      </c>
      <c r="B1090" s="40" t="s">
        <v>225</v>
      </c>
      <c r="C1090" s="7">
        <v>46163</v>
      </c>
      <c r="D1090" s="40" t="s">
        <v>226</v>
      </c>
      <c r="E1090" s="6" t="s">
        <v>2712</v>
      </c>
      <c r="F1090" s="40" t="s">
        <v>746</v>
      </c>
      <c r="G1090" s="41">
        <v>21</v>
      </c>
      <c r="H1090" s="42" t="s">
        <v>3815</v>
      </c>
      <c r="I1090" s="42">
        <v>9986746684</v>
      </c>
      <c r="J1090" s="43" t="s">
        <v>3816</v>
      </c>
      <c r="K1090" s="43" t="s">
        <v>3816</v>
      </c>
      <c r="L1090" s="82">
        <v>1355</v>
      </c>
      <c r="M1090" s="82">
        <v>1355</v>
      </c>
      <c r="N1090" s="7" t="s">
        <v>239</v>
      </c>
      <c r="O1090" s="6" t="s">
        <v>239</v>
      </c>
      <c r="P1090" s="6" t="s">
        <v>239</v>
      </c>
      <c r="Q1090" s="6" t="s">
        <v>236</v>
      </c>
      <c r="R1090" s="41"/>
      <c r="S1090" s="6">
        <f t="shared" si="16"/>
        <v>1355</v>
      </c>
      <c r="W1090" s="6" t="s">
        <v>236</v>
      </c>
      <c r="X1090" s="6" t="s">
        <v>236</v>
      </c>
      <c r="Y1090" s="6" t="s">
        <v>236</v>
      </c>
      <c r="Z1090" s="6" t="s">
        <v>236</v>
      </c>
      <c r="AA1090" s="6" t="s">
        <v>236</v>
      </c>
    </row>
    <row r="1091" spans="1:27" s="40" customFormat="1">
      <c r="A1091" s="6">
        <v>1089</v>
      </c>
      <c r="C1091" s="7">
        <v>46163</v>
      </c>
      <c r="D1091" s="40" t="s">
        <v>226</v>
      </c>
      <c r="E1091" s="6" t="s">
        <v>2712</v>
      </c>
      <c r="F1091" s="40" t="s">
        <v>746</v>
      </c>
      <c r="G1091" s="41">
        <v>21</v>
      </c>
      <c r="H1091" s="42" t="s">
        <v>3817</v>
      </c>
      <c r="I1091" s="42">
        <v>9986746684</v>
      </c>
      <c r="J1091" s="43" t="s">
        <v>3818</v>
      </c>
      <c r="K1091" s="43" t="s">
        <v>3818</v>
      </c>
      <c r="L1091" s="82">
        <v>1184</v>
      </c>
      <c r="M1091" s="82">
        <v>1184</v>
      </c>
      <c r="N1091" s="7" t="s">
        <v>239</v>
      </c>
      <c r="O1091" s="6" t="s">
        <v>239</v>
      </c>
      <c r="P1091" s="6" t="s">
        <v>239</v>
      </c>
      <c r="Q1091" s="6" t="s">
        <v>236</v>
      </c>
      <c r="R1091" s="41"/>
      <c r="S1091" s="6">
        <f t="shared" si="16"/>
        <v>1184</v>
      </c>
      <c r="W1091" s="6" t="s">
        <v>236</v>
      </c>
      <c r="X1091" s="6" t="s">
        <v>236</v>
      </c>
      <c r="Y1091" s="6" t="s">
        <v>236</v>
      </c>
      <c r="Z1091" s="6" t="s">
        <v>236</v>
      </c>
      <c r="AA1091" s="6" t="s">
        <v>236</v>
      </c>
    </row>
    <row r="1092" spans="1:27" s="40" customFormat="1">
      <c r="A1092" s="6">
        <v>1090</v>
      </c>
      <c r="C1092" s="7">
        <v>46163</v>
      </c>
      <c r="D1092" s="40" t="s">
        <v>226</v>
      </c>
      <c r="E1092" s="6" t="s">
        <v>2712</v>
      </c>
      <c r="F1092" s="40" t="s">
        <v>746</v>
      </c>
      <c r="G1092" s="41">
        <v>21</v>
      </c>
      <c r="H1092" s="42" t="s">
        <v>3819</v>
      </c>
      <c r="I1092" s="42">
        <v>9986746684</v>
      </c>
      <c r="J1092" s="43" t="s">
        <v>3820</v>
      </c>
      <c r="K1092" s="43" t="s">
        <v>3820</v>
      </c>
      <c r="L1092" s="82">
        <v>880</v>
      </c>
      <c r="M1092" s="82">
        <v>880</v>
      </c>
      <c r="N1092" s="7" t="s">
        <v>239</v>
      </c>
      <c r="O1092" s="6" t="s">
        <v>239</v>
      </c>
      <c r="P1092" s="6" t="s">
        <v>239</v>
      </c>
      <c r="Q1092" s="6" t="s">
        <v>236</v>
      </c>
      <c r="R1092" s="41"/>
      <c r="S1092" s="6">
        <f t="shared" si="16"/>
        <v>880</v>
      </c>
      <c r="W1092" s="6" t="s">
        <v>236</v>
      </c>
      <c r="X1092" s="6" t="s">
        <v>236</v>
      </c>
      <c r="Y1092" s="6" t="s">
        <v>236</v>
      </c>
      <c r="Z1092" s="6" t="s">
        <v>236</v>
      </c>
      <c r="AA1092" s="6" t="s">
        <v>236</v>
      </c>
    </row>
    <row r="1093" spans="1:27" s="40" customFormat="1">
      <c r="A1093" s="6">
        <v>1091</v>
      </c>
      <c r="B1093" s="40" t="s">
        <v>225</v>
      </c>
      <c r="C1093" s="7">
        <v>46163</v>
      </c>
      <c r="D1093" s="40" t="s">
        <v>226</v>
      </c>
      <c r="E1093" s="6" t="s">
        <v>2712</v>
      </c>
      <c r="F1093" s="40" t="s">
        <v>746</v>
      </c>
      <c r="G1093" s="41">
        <v>21</v>
      </c>
      <c r="H1093" s="42" t="s">
        <v>3821</v>
      </c>
      <c r="I1093" s="42">
        <v>9964382800</v>
      </c>
      <c r="J1093" s="43" t="s">
        <v>3822</v>
      </c>
      <c r="K1093" s="43" t="s">
        <v>3822</v>
      </c>
      <c r="L1093" s="82">
        <v>1180</v>
      </c>
      <c r="M1093" s="82">
        <v>1180</v>
      </c>
      <c r="N1093" s="7" t="s">
        <v>239</v>
      </c>
      <c r="O1093" s="6" t="s">
        <v>239</v>
      </c>
      <c r="P1093" s="6" t="s">
        <v>239</v>
      </c>
      <c r="Q1093" s="6" t="s">
        <v>236</v>
      </c>
      <c r="R1093" s="41"/>
      <c r="S1093" s="6">
        <f t="shared" si="16"/>
        <v>1180</v>
      </c>
      <c r="W1093" s="6" t="s">
        <v>236</v>
      </c>
      <c r="X1093" s="6" t="s">
        <v>236</v>
      </c>
      <c r="Y1093" s="6" t="s">
        <v>236</v>
      </c>
      <c r="Z1093" s="6" t="s">
        <v>236</v>
      </c>
      <c r="AA1093" s="6" t="s">
        <v>236</v>
      </c>
    </row>
    <row r="1094" spans="1:27" s="40" customFormat="1" ht="18.75">
      <c r="A1094" s="6">
        <v>1092</v>
      </c>
      <c r="B1094" s="40" t="s">
        <v>298</v>
      </c>
      <c r="C1094" s="7">
        <v>46163</v>
      </c>
      <c r="D1094" s="40" t="s">
        <v>226</v>
      </c>
      <c r="E1094" s="6" t="s">
        <v>2712</v>
      </c>
      <c r="F1094" s="40" t="s">
        <v>294</v>
      </c>
      <c r="G1094" s="41">
        <v>21</v>
      </c>
      <c r="H1094" s="42" t="s">
        <v>3823</v>
      </c>
      <c r="I1094" s="42" t="s">
        <v>3824</v>
      </c>
      <c r="J1094" s="43" t="s">
        <v>3825</v>
      </c>
      <c r="K1094" s="43" t="s">
        <v>3825</v>
      </c>
      <c r="L1094" s="82">
        <v>46830</v>
      </c>
      <c r="M1094" s="82">
        <v>9831</v>
      </c>
      <c r="N1094" s="7">
        <v>46172</v>
      </c>
      <c r="O1094" s="6" t="s">
        <v>1089</v>
      </c>
      <c r="P1094" s="6" t="s">
        <v>52</v>
      </c>
      <c r="Q1094" s="6" t="s">
        <v>298</v>
      </c>
      <c r="R1094" s="41">
        <v>9831</v>
      </c>
      <c r="S1094" s="6">
        <f t="shared" si="16"/>
        <v>0</v>
      </c>
      <c r="T1094" s="7">
        <v>46172</v>
      </c>
      <c r="U1094" s="40" t="s">
        <v>3826</v>
      </c>
      <c r="V1094" s="40" t="s">
        <v>54</v>
      </c>
      <c r="W1094" s="6" t="s">
        <v>1089</v>
      </c>
      <c r="X1094" s="75" t="s">
        <v>3427</v>
      </c>
      <c r="Y1094" s="75" t="s">
        <v>3827</v>
      </c>
      <c r="Z1094" s="75" t="s">
        <v>363</v>
      </c>
      <c r="AA1094" s="6" t="s">
        <v>235</v>
      </c>
    </row>
    <row r="1095" spans="1:27" s="40" customFormat="1" ht="18.75">
      <c r="A1095" s="6">
        <v>1093</v>
      </c>
      <c r="B1095" s="40" t="s">
        <v>298</v>
      </c>
      <c r="C1095" s="7">
        <v>46163</v>
      </c>
      <c r="D1095" s="40" t="s">
        <v>226</v>
      </c>
      <c r="E1095" s="6" t="s">
        <v>2712</v>
      </c>
      <c r="F1095" s="40" t="s">
        <v>294</v>
      </c>
      <c r="G1095" s="41">
        <v>21</v>
      </c>
      <c r="H1095" s="42" t="s">
        <v>1246</v>
      </c>
      <c r="I1095" s="42" t="s">
        <v>1247</v>
      </c>
      <c r="J1095" s="43" t="s">
        <v>1248</v>
      </c>
      <c r="K1095" s="43" t="s">
        <v>1248</v>
      </c>
      <c r="L1095" s="82">
        <v>27259</v>
      </c>
      <c r="M1095" s="82">
        <v>27260</v>
      </c>
      <c r="N1095" s="7"/>
      <c r="O1095" s="6" t="s">
        <v>1089</v>
      </c>
      <c r="P1095" s="6" t="s">
        <v>52</v>
      </c>
      <c r="Q1095" s="6" t="s">
        <v>298</v>
      </c>
      <c r="R1095" s="41"/>
      <c r="S1095" s="6">
        <f t="shared" si="16"/>
        <v>27260</v>
      </c>
      <c r="W1095" s="6" t="s">
        <v>1089</v>
      </c>
      <c r="X1095" s="75" t="s">
        <v>3600</v>
      </c>
      <c r="Y1095" s="75" t="s">
        <v>3828</v>
      </c>
      <c r="Z1095" s="75" t="s">
        <v>821</v>
      </c>
      <c r="AA1095" s="6" t="s">
        <v>235</v>
      </c>
    </row>
    <row r="1096" spans="1:27" s="40" customFormat="1" ht="18.75">
      <c r="A1096" s="6">
        <v>1094</v>
      </c>
      <c r="B1096" s="40" t="s">
        <v>298</v>
      </c>
      <c r="C1096" s="7">
        <v>46163</v>
      </c>
      <c r="D1096" s="40" t="s">
        <v>226</v>
      </c>
      <c r="E1096" s="6" t="s">
        <v>2712</v>
      </c>
      <c r="F1096" s="40" t="s">
        <v>294</v>
      </c>
      <c r="G1096" s="41">
        <v>21</v>
      </c>
      <c r="H1096" s="42" t="s">
        <v>1241</v>
      </c>
      <c r="I1096" s="42" t="s">
        <v>1242</v>
      </c>
      <c r="J1096" s="43" t="s">
        <v>1243</v>
      </c>
      <c r="K1096" s="43" t="s">
        <v>1243</v>
      </c>
      <c r="L1096" s="82">
        <v>41505</v>
      </c>
      <c r="M1096" s="82">
        <v>41506</v>
      </c>
      <c r="N1096" s="7"/>
      <c r="O1096" s="6" t="s">
        <v>1222</v>
      </c>
      <c r="P1096" s="6" t="s">
        <v>52</v>
      </c>
      <c r="Q1096" s="6" t="s">
        <v>298</v>
      </c>
      <c r="R1096" s="41"/>
      <c r="S1096" s="6">
        <f t="shared" si="16"/>
        <v>41506</v>
      </c>
      <c r="W1096" s="6" t="s">
        <v>2306</v>
      </c>
      <c r="X1096" s="96" t="s">
        <v>178</v>
      </c>
      <c r="Y1096" s="75" t="s">
        <v>3829</v>
      </c>
      <c r="Z1096" s="75" t="s">
        <v>178</v>
      </c>
      <c r="AA1096" s="6" t="s">
        <v>235</v>
      </c>
    </row>
    <row r="1097" spans="1:27" s="40" customFormat="1" ht="18.75">
      <c r="A1097" s="6">
        <v>1095</v>
      </c>
      <c r="B1097" s="40" t="s">
        <v>298</v>
      </c>
      <c r="C1097" s="7">
        <v>46163</v>
      </c>
      <c r="D1097" s="40" t="s">
        <v>226</v>
      </c>
      <c r="E1097" s="6" t="s">
        <v>2712</v>
      </c>
      <c r="F1097" s="40" t="s">
        <v>294</v>
      </c>
      <c r="G1097" s="41">
        <v>21</v>
      </c>
      <c r="H1097" s="75" t="s">
        <v>3830</v>
      </c>
      <c r="I1097" s="75" t="s">
        <v>3831</v>
      </c>
      <c r="J1097" s="75" t="s">
        <v>3832</v>
      </c>
      <c r="K1097" s="75" t="s">
        <v>3832</v>
      </c>
      <c r="L1097" s="75">
        <v>14010</v>
      </c>
      <c r="M1097" s="75">
        <v>14011</v>
      </c>
      <c r="N1097" s="7"/>
      <c r="O1097" s="6" t="s">
        <v>3833</v>
      </c>
      <c r="P1097" s="6" t="s">
        <v>52</v>
      </c>
      <c r="Q1097" s="6" t="s">
        <v>298</v>
      </c>
      <c r="R1097" s="41">
        <v>14011</v>
      </c>
      <c r="S1097" s="6">
        <f t="shared" si="16"/>
        <v>0</v>
      </c>
      <c r="U1097" s="40" t="s">
        <v>3834</v>
      </c>
      <c r="V1097" s="40" t="s">
        <v>54</v>
      </c>
      <c r="W1097" s="6" t="s">
        <v>298</v>
      </c>
      <c r="X1097" s="75" t="s">
        <v>1082</v>
      </c>
      <c r="Y1097" s="75" t="s">
        <v>3835</v>
      </c>
      <c r="Z1097" s="75" t="s">
        <v>834</v>
      </c>
      <c r="AA1097" s="6" t="s">
        <v>235</v>
      </c>
    </row>
    <row r="1098" spans="1:27" s="40" customFormat="1" ht="18.75">
      <c r="A1098" s="6">
        <v>1096</v>
      </c>
      <c r="B1098" s="40" t="s">
        <v>225</v>
      </c>
      <c r="C1098" s="7">
        <v>46163</v>
      </c>
      <c r="D1098" s="40" t="s">
        <v>226</v>
      </c>
      <c r="E1098" s="6" t="s">
        <v>2712</v>
      </c>
      <c r="F1098" s="40" t="s">
        <v>310</v>
      </c>
      <c r="G1098" s="41">
        <v>21</v>
      </c>
      <c r="H1098" s="42" t="s">
        <v>3836</v>
      </c>
      <c r="I1098" s="42">
        <v>9502674824</v>
      </c>
      <c r="J1098" s="43" t="s">
        <v>3837</v>
      </c>
      <c r="K1098" s="43" t="s">
        <v>3837</v>
      </c>
      <c r="L1098" s="82">
        <v>10001</v>
      </c>
      <c r="M1098" s="82">
        <v>10001</v>
      </c>
      <c r="N1098" s="7"/>
      <c r="O1098" s="6" t="s">
        <v>972</v>
      </c>
      <c r="P1098" s="6" t="s">
        <v>52</v>
      </c>
      <c r="Q1098" s="6" t="s">
        <v>772</v>
      </c>
      <c r="R1098" s="41"/>
      <c r="S1098" s="6">
        <f t="shared" si="16"/>
        <v>10001</v>
      </c>
      <c r="W1098" s="6" t="s">
        <v>972</v>
      </c>
      <c r="X1098" s="75" t="s">
        <v>3838</v>
      </c>
      <c r="Y1098" s="75"/>
      <c r="Z1098" s="75" t="s">
        <v>363</v>
      </c>
      <c r="AA1098" s="6" t="s">
        <v>235</v>
      </c>
    </row>
    <row r="1099" spans="1:27" s="40" customFormat="1" ht="18.75">
      <c r="A1099" s="6">
        <v>1097</v>
      </c>
      <c r="B1099" s="40" t="s">
        <v>225</v>
      </c>
      <c r="C1099" s="7">
        <v>46167</v>
      </c>
      <c r="D1099" s="40" t="s">
        <v>226</v>
      </c>
      <c r="E1099" s="6" t="s">
        <v>2712</v>
      </c>
      <c r="F1099" s="40" t="s">
        <v>240</v>
      </c>
      <c r="G1099" s="41">
        <v>25</v>
      </c>
      <c r="H1099" s="42" t="s">
        <v>3839</v>
      </c>
      <c r="I1099" s="42">
        <v>9866149115</v>
      </c>
      <c r="J1099" s="43" t="s">
        <v>3840</v>
      </c>
      <c r="K1099" s="43" t="s">
        <v>3840</v>
      </c>
      <c r="L1099" s="82">
        <v>300</v>
      </c>
      <c r="M1099" s="82">
        <v>300</v>
      </c>
      <c r="N1099" s="7" t="s">
        <v>239</v>
      </c>
      <c r="O1099" s="6" t="s">
        <v>239</v>
      </c>
      <c r="P1099" s="6" t="s">
        <v>239</v>
      </c>
      <c r="Q1099" s="6" t="s">
        <v>236</v>
      </c>
      <c r="R1099" s="41"/>
      <c r="S1099" s="6">
        <f t="shared" si="16"/>
        <v>300</v>
      </c>
      <c r="W1099" s="6" t="s">
        <v>236</v>
      </c>
      <c r="X1099" s="96" t="s">
        <v>236</v>
      </c>
      <c r="Y1099" s="75" t="s">
        <v>236</v>
      </c>
      <c r="Z1099" s="75" t="s">
        <v>236</v>
      </c>
      <c r="AA1099" s="6" t="s">
        <v>236</v>
      </c>
    </row>
    <row r="1100" spans="1:27" s="40" customFormat="1" ht="18.75">
      <c r="A1100" s="6">
        <v>1098</v>
      </c>
      <c r="B1100" s="40" t="s">
        <v>298</v>
      </c>
      <c r="C1100" s="7">
        <v>46167</v>
      </c>
      <c r="D1100" s="40" t="s">
        <v>226</v>
      </c>
      <c r="E1100" s="6" t="s">
        <v>2712</v>
      </c>
      <c r="F1100" s="40" t="s">
        <v>294</v>
      </c>
      <c r="G1100" s="41">
        <v>28</v>
      </c>
      <c r="H1100" s="42" t="s">
        <v>1308</v>
      </c>
      <c r="I1100" s="42" t="s">
        <v>2599</v>
      </c>
      <c r="J1100" s="43" t="s">
        <v>1309</v>
      </c>
      <c r="K1100" s="43" t="s">
        <v>1309</v>
      </c>
      <c r="L1100" s="82">
        <v>40120</v>
      </c>
      <c r="M1100" s="82">
        <v>40121</v>
      </c>
      <c r="N1100" s="7"/>
      <c r="O1100" s="6" t="s">
        <v>813</v>
      </c>
      <c r="P1100" s="6" t="s">
        <v>52</v>
      </c>
      <c r="Q1100" s="6" t="s">
        <v>298</v>
      </c>
      <c r="R1100" s="41"/>
      <c r="S1100" s="6">
        <f t="shared" si="16"/>
        <v>40121</v>
      </c>
      <c r="W1100" s="6" t="s">
        <v>813</v>
      </c>
      <c r="X1100" s="96" t="s">
        <v>1334</v>
      </c>
      <c r="Y1100" s="75" t="s">
        <v>3841</v>
      </c>
      <c r="Z1100" s="75" t="s">
        <v>215</v>
      </c>
      <c r="AA1100" s="6" t="s">
        <v>235</v>
      </c>
    </row>
    <row r="1101" spans="1:27" s="40" customFormat="1" ht="18.75">
      <c r="A1101" s="6">
        <v>1099</v>
      </c>
      <c r="B1101" s="40" t="s">
        <v>298</v>
      </c>
      <c r="C1101" s="7">
        <v>46170</v>
      </c>
      <c r="D1101" s="40" t="s">
        <v>226</v>
      </c>
      <c r="E1101" s="6" t="s">
        <v>2712</v>
      </c>
      <c r="F1101" s="40" t="s">
        <v>294</v>
      </c>
      <c r="G1101" s="41">
        <v>28</v>
      </c>
      <c r="H1101" s="42" t="s">
        <v>3842</v>
      </c>
      <c r="I1101" s="42" t="s">
        <v>3843</v>
      </c>
      <c r="J1101" s="43" t="s">
        <v>3844</v>
      </c>
      <c r="K1101" s="43" t="s">
        <v>3844</v>
      </c>
      <c r="L1101" s="82">
        <v>6050</v>
      </c>
      <c r="M1101" s="82">
        <v>6051</v>
      </c>
      <c r="N1101" s="7"/>
      <c r="O1101" s="6"/>
      <c r="P1101" s="6" t="s">
        <v>3845</v>
      </c>
      <c r="Q1101" s="6" t="s">
        <v>298</v>
      </c>
      <c r="R1101" s="41"/>
      <c r="S1101" s="6">
        <f t="shared" si="16"/>
        <v>6051</v>
      </c>
      <c r="W1101" s="6" t="s">
        <v>1222</v>
      </c>
      <c r="X1101" s="96" t="s">
        <v>316</v>
      </c>
      <c r="Y1101" s="75" t="s">
        <v>3846</v>
      </c>
      <c r="Z1101" s="75" t="s">
        <v>172</v>
      </c>
      <c r="AA1101" s="6" t="s">
        <v>235</v>
      </c>
    </row>
    <row r="1102" spans="1:27" s="40" customFormat="1" ht="18.75">
      <c r="A1102" s="6">
        <v>1100</v>
      </c>
      <c r="B1102" s="40" t="s">
        <v>298</v>
      </c>
      <c r="C1102" s="7">
        <v>46170</v>
      </c>
      <c r="D1102" s="40" t="s">
        <v>226</v>
      </c>
      <c r="E1102" s="6" t="s">
        <v>2712</v>
      </c>
      <c r="F1102" s="40" t="s">
        <v>294</v>
      </c>
      <c r="G1102" s="41">
        <v>28</v>
      </c>
      <c r="H1102" s="42" t="s">
        <v>3847</v>
      </c>
      <c r="I1102" s="42" t="s">
        <v>3848</v>
      </c>
      <c r="J1102" s="43" t="s">
        <v>3849</v>
      </c>
      <c r="K1102" s="43" t="s">
        <v>3849</v>
      </c>
      <c r="L1102" s="82">
        <v>13792.33</v>
      </c>
      <c r="M1102" s="82">
        <v>13792.33</v>
      </c>
      <c r="N1102" s="7"/>
      <c r="O1102" s="6" t="s">
        <v>1222</v>
      </c>
      <c r="P1102" s="6" t="s">
        <v>52</v>
      </c>
      <c r="Q1102" s="6" t="s">
        <v>298</v>
      </c>
      <c r="R1102" s="41">
        <v>13793</v>
      </c>
      <c r="S1102" s="6">
        <f t="shared" si="16"/>
        <v>-0.67000000000007276</v>
      </c>
      <c r="T1102" s="40">
        <v>46172</v>
      </c>
      <c r="U1102" s="40" t="s">
        <v>3850</v>
      </c>
      <c r="V1102" s="40" t="s">
        <v>54</v>
      </c>
      <c r="W1102" s="6" t="s">
        <v>1222</v>
      </c>
      <c r="X1102" s="96" t="s">
        <v>1280</v>
      </c>
      <c r="Y1102" s="75" t="s">
        <v>3851</v>
      </c>
      <c r="Z1102" s="75" t="s">
        <v>215</v>
      </c>
      <c r="AA1102" s="6" t="s">
        <v>235</v>
      </c>
    </row>
    <row r="1103" spans="1:27" s="40" customFormat="1" ht="18.75">
      <c r="A1103" s="6">
        <v>1101</v>
      </c>
      <c r="C1103" s="7">
        <v>46173</v>
      </c>
      <c r="D1103" s="40" t="s">
        <v>3852</v>
      </c>
      <c r="E1103" s="6" t="s">
        <v>2712</v>
      </c>
      <c r="F1103" s="40" t="s">
        <v>30</v>
      </c>
      <c r="G1103" s="41" t="s">
        <v>3853</v>
      </c>
      <c r="H1103" s="42" t="s">
        <v>3854</v>
      </c>
      <c r="I1103" s="42">
        <v>9440610276</v>
      </c>
      <c r="J1103" s="43"/>
      <c r="K1103" s="43"/>
      <c r="L1103" s="82">
        <v>62950</v>
      </c>
      <c r="M1103" s="82">
        <v>11200</v>
      </c>
      <c r="N1103" s="7">
        <v>46183</v>
      </c>
      <c r="O1103" s="6" t="s">
        <v>3855</v>
      </c>
      <c r="P1103" s="6" t="s">
        <v>52</v>
      </c>
      <c r="Q1103" s="6" t="s">
        <v>3855</v>
      </c>
      <c r="R1103" s="41"/>
      <c r="S1103" s="6">
        <f t="shared" si="16"/>
        <v>11200</v>
      </c>
      <c r="W1103" s="6" t="s">
        <v>3856</v>
      </c>
      <c r="X1103" s="96" t="s">
        <v>3857</v>
      </c>
      <c r="Y1103" s="75" t="s">
        <v>3858</v>
      </c>
      <c r="Z1103" s="75" t="s">
        <v>3859</v>
      </c>
      <c r="AA1103" s="6" t="s">
        <v>40</v>
      </c>
    </row>
    <row r="1104" spans="1:27" s="40" customFormat="1" ht="18.75">
      <c r="A1104" s="6">
        <v>1102</v>
      </c>
      <c r="C1104" s="7">
        <v>46173</v>
      </c>
      <c r="D1104" s="40" t="s">
        <v>3852</v>
      </c>
      <c r="E1104" s="6" t="s">
        <v>2712</v>
      </c>
      <c r="F1104" s="40" t="s">
        <v>30</v>
      </c>
      <c r="G1104" s="41" t="s">
        <v>3853</v>
      </c>
      <c r="H1104" s="42" t="s">
        <v>3860</v>
      </c>
      <c r="I1104" s="42">
        <v>9949964437</v>
      </c>
      <c r="J1104" s="43"/>
      <c r="K1104" s="43"/>
      <c r="L1104" s="82">
        <v>55373</v>
      </c>
      <c r="M1104" s="82">
        <v>13006</v>
      </c>
      <c r="N1104" s="7">
        <v>46183</v>
      </c>
      <c r="O1104" s="6" t="s">
        <v>3855</v>
      </c>
      <c r="P1104" s="6" t="s">
        <v>52</v>
      </c>
      <c r="Q1104" s="6" t="s">
        <v>3855</v>
      </c>
      <c r="R1104" s="41"/>
      <c r="S1104" s="6">
        <f t="shared" si="16"/>
        <v>13006</v>
      </c>
      <c r="W1104" s="6" t="s">
        <v>3856</v>
      </c>
      <c r="X1104" s="96" t="s">
        <v>3857</v>
      </c>
      <c r="Y1104" s="75" t="s">
        <v>3861</v>
      </c>
      <c r="Z1104" s="75" t="s">
        <v>3859</v>
      </c>
      <c r="AA1104" s="6" t="s">
        <v>40</v>
      </c>
    </row>
    <row r="1105" spans="1:27" s="40" customFormat="1" ht="18.75">
      <c r="A1105" s="6">
        <v>1103</v>
      </c>
      <c r="C1105" s="7">
        <v>46173</v>
      </c>
      <c r="D1105" s="40" t="s">
        <v>3852</v>
      </c>
      <c r="E1105" s="6" t="s">
        <v>2712</v>
      </c>
      <c r="F1105" s="40" t="s">
        <v>30</v>
      </c>
      <c r="G1105" s="41" t="s">
        <v>3853</v>
      </c>
      <c r="H1105" s="42" t="s">
        <v>3862</v>
      </c>
      <c r="I1105" s="42">
        <v>9030350939</v>
      </c>
      <c r="J1105" s="43"/>
      <c r="K1105" s="43"/>
      <c r="L1105" s="82">
        <v>16350</v>
      </c>
      <c r="M1105" s="82">
        <v>1500</v>
      </c>
      <c r="N1105" s="7">
        <v>46178</v>
      </c>
      <c r="O1105" s="6" t="s">
        <v>3855</v>
      </c>
      <c r="P1105" s="6" t="s">
        <v>52</v>
      </c>
      <c r="Q1105" s="6" t="s">
        <v>3855</v>
      </c>
      <c r="R1105" s="41"/>
      <c r="S1105" s="6">
        <f t="shared" si="16"/>
        <v>1500</v>
      </c>
      <c r="W1105" s="6" t="s">
        <v>3856</v>
      </c>
      <c r="X1105" s="96" t="s">
        <v>3863</v>
      </c>
      <c r="Y1105" s="75" t="s">
        <v>3864</v>
      </c>
      <c r="Z1105" s="75" t="s">
        <v>91</v>
      </c>
      <c r="AA1105" s="6" t="s">
        <v>40</v>
      </c>
    </row>
    <row r="1106" spans="1:27" s="40" customFormat="1" ht="18.75">
      <c r="A1106" s="6">
        <v>1104</v>
      </c>
      <c r="C1106" s="7">
        <v>46173</v>
      </c>
      <c r="D1106" s="40" t="s">
        <v>3852</v>
      </c>
      <c r="E1106" s="6" t="s">
        <v>2712</v>
      </c>
      <c r="F1106" s="40" t="s">
        <v>30</v>
      </c>
      <c r="G1106" s="41" t="s">
        <v>3853</v>
      </c>
      <c r="H1106" s="42" t="s">
        <v>3865</v>
      </c>
      <c r="I1106" s="42">
        <v>9493623888</v>
      </c>
      <c r="J1106" s="43"/>
      <c r="K1106" s="43"/>
      <c r="L1106" s="82">
        <v>17200</v>
      </c>
      <c r="M1106" s="82">
        <v>6000</v>
      </c>
      <c r="N1106" s="7">
        <v>46175</v>
      </c>
      <c r="O1106" s="6" t="s">
        <v>3855</v>
      </c>
      <c r="P1106" s="6" t="s">
        <v>52</v>
      </c>
      <c r="Q1106" s="6" t="s">
        <v>3855</v>
      </c>
      <c r="R1106" s="41"/>
      <c r="S1106" s="6">
        <f t="shared" si="16"/>
        <v>6000</v>
      </c>
      <c r="W1106" s="6" t="s">
        <v>3856</v>
      </c>
      <c r="X1106" s="96" t="s">
        <v>3857</v>
      </c>
      <c r="Y1106" s="75" t="s">
        <v>3866</v>
      </c>
      <c r="Z1106" s="75" t="s">
        <v>3867</v>
      </c>
      <c r="AA1106" s="6" t="s">
        <v>40</v>
      </c>
    </row>
    <row r="1107" spans="1:27" s="40" customFormat="1" ht="18.75">
      <c r="A1107" s="6">
        <v>1105</v>
      </c>
      <c r="C1107" s="7">
        <v>46173</v>
      </c>
      <c r="D1107" s="40" t="s">
        <v>933</v>
      </c>
      <c r="E1107" s="6" t="s">
        <v>2712</v>
      </c>
      <c r="F1107" s="40" t="s">
        <v>3868</v>
      </c>
      <c r="G1107" s="41" t="s">
        <v>3853</v>
      </c>
      <c r="H1107" s="42" t="s">
        <v>3869</v>
      </c>
      <c r="I1107" s="42" t="s">
        <v>3870</v>
      </c>
      <c r="J1107" s="43" t="s">
        <v>3871</v>
      </c>
      <c r="K1107" s="43" t="s">
        <v>3871</v>
      </c>
      <c r="L1107" s="50">
        <v>15884</v>
      </c>
      <c r="M1107" s="50">
        <v>15884</v>
      </c>
      <c r="N1107" s="7"/>
      <c r="O1107" s="92" t="s">
        <v>1403</v>
      </c>
      <c r="P1107" s="50" t="s">
        <v>52</v>
      </c>
      <c r="Q1107" s="92" t="s">
        <v>1403</v>
      </c>
      <c r="R1107" s="41"/>
      <c r="S1107" s="6">
        <f t="shared" si="16"/>
        <v>15884</v>
      </c>
      <c r="W1107" s="51" t="s">
        <v>3872</v>
      </c>
      <c r="X1107" s="51" t="s">
        <v>3872</v>
      </c>
      <c r="Y1107" s="75" t="s">
        <v>3873</v>
      </c>
      <c r="Z1107" s="75" t="s">
        <v>373</v>
      </c>
      <c r="AA1107" s="75" t="s">
        <v>373</v>
      </c>
    </row>
    <row r="1108" spans="1:27" s="40" customFormat="1" ht="18.75">
      <c r="A1108" s="6">
        <v>1106</v>
      </c>
      <c r="C1108" s="7">
        <v>46173</v>
      </c>
      <c r="D1108" s="40" t="s">
        <v>933</v>
      </c>
      <c r="E1108" s="6" t="s">
        <v>2712</v>
      </c>
      <c r="F1108" s="40" t="s">
        <v>3868</v>
      </c>
      <c r="G1108" s="41" t="s">
        <v>3853</v>
      </c>
      <c r="H1108" s="42" t="s">
        <v>3874</v>
      </c>
      <c r="I1108" s="42" t="s">
        <v>3875</v>
      </c>
      <c r="J1108" s="43" t="s">
        <v>3876</v>
      </c>
      <c r="K1108" s="43" t="s">
        <v>3876</v>
      </c>
      <c r="L1108" s="50">
        <v>9306</v>
      </c>
      <c r="M1108" s="50">
        <v>9306</v>
      </c>
      <c r="N1108" s="7"/>
      <c r="O1108" s="92" t="s">
        <v>1403</v>
      </c>
      <c r="P1108" s="50" t="s">
        <v>52</v>
      </c>
      <c r="Q1108" s="92" t="s">
        <v>1403</v>
      </c>
      <c r="R1108" s="41"/>
      <c r="S1108" s="6">
        <f t="shared" si="16"/>
        <v>9306</v>
      </c>
      <c r="W1108" s="51" t="s">
        <v>3877</v>
      </c>
      <c r="X1108" s="51" t="s">
        <v>3877</v>
      </c>
      <c r="Y1108" s="75" t="s">
        <v>3878</v>
      </c>
      <c r="Z1108" s="75" t="s">
        <v>373</v>
      </c>
      <c r="AA1108" s="75" t="s">
        <v>373</v>
      </c>
    </row>
    <row r="1109" spans="1:27" s="40" customFormat="1" ht="18.75">
      <c r="A1109" s="6">
        <v>1107</v>
      </c>
      <c r="C1109" s="7">
        <v>46173</v>
      </c>
      <c r="D1109" s="40" t="s">
        <v>933</v>
      </c>
      <c r="E1109" s="6" t="s">
        <v>2712</v>
      </c>
      <c r="F1109" s="40" t="s">
        <v>3868</v>
      </c>
      <c r="G1109" s="41" t="s">
        <v>3853</v>
      </c>
      <c r="H1109" s="42" t="s">
        <v>3879</v>
      </c>
      <c r="I1109" s="42" t="s">
        <v>3880</v>
      </c>
      <c r="J1109" s="43" t="s">
        <v>3881</v>
      </c>
      <c r="K1109" s="43" t="s">
        <v>3881</v>
      </c>
      <c r="L1109" s="50">
        <v>7166</v>
      </c>
      <c r="M1109" s="50">
        <v>7166</v>
      </c>
      <c r="N1109" s="7"/>
      <c r="O1109" s="92" t="s">
        <v>1403</v>
      </c>
      <c r="P1109" s="50" t="s">
        <v>52</v>
      </c>
      <c r="Q1109" s="92" t="s">
        <v>1403</v>
      </c>
      <c r="R1109" s="41"/>
      <c r="S1109" s="6">
        <f t="shared" si="16"/>
        <v>7166</v>
      </c>
      <c r="W1109" s="51" t="s">
        <v>3882</v>
      </c>
      <c r="X1109" s="51" t="s">
        <v>3882</v>
      </c>
      <c r="Y1109" s="75" t="s">
        <v>3883</v>
      </c>
      <c r="Z1109" s="75" t="s">
        <v>373</v>
      </c>
      <c r="AA1109" s="75" t="s">
        <v>373</v>
      </c>
    </row>
    <row r="1110" spans="1:27" s="40" customFormat="1" ht="18.75">
      <c r="A1110" s="6">
        <v>1108</v>
      </c>
      <c r="C1110" s="7">
        <v>46173</v>
      </c>
      <c r="D1110" s="40" t="s">
        <v>933</v>
      </c>
      <c r="E1110" s="6" t="s">
        <v>2712</v>
      </c>
      <c r="F1110" s="40" t="s">
        <v>3868</v>
      </c>
      <c r="G1110" s="41" t="s">
        <v>3853</v>
      </c>
      <c r="H1110" s="42" t="s">
        <v>3884</v>
      </c>
      <c r="I1110" s="42" t="s">
        <v>3885</v>
      </c>
      <c r="J1110" s="43" t="s">
        <v>3886</v>
      </c>
      <c r="K1110" s="43" t="s">
        <v>3886</v>
      </c>
      <c r="L1110" s="50">
        <v>1217</v>
      </c>
      <c r="M1110" s="50">
        <v>1217</v>
      </c>
      <c r="N1110" s="7"/>
      <c r="O1110" s="92" t="s">
        <v>1403</v>
      </c>
      <c r="P1110" s="6" t="s">
        <v>3845</v>
      </c>
      <c r="Q1110" s="92" t="s">
        <v>1403</v>
      </c>
      <c r="R1110" s="41"/>
      <c r="S1110" s="6">
        <f t="shared" ref="S1110:S1173" si="17">M1110-R1110</f>
        <v>1217</v>
      </c>
      <c r="W1110" s="51" t="s">
        <v>1444</v>
      </c>
      <c r="X1110" s="51" t="s">
        <v>1444</v>
      </c>
      <c r="Y1110" s="75" t="s">
        <v>3887</v>
      </c>
      <c r="Z1110" s="75" t="s">
        <v>373</v>
      </c>
      <c r="AA1110" s="75" t="s">
        <v>373</v>
      </c>
    </row>
    <row r="1111" spans="1:27" s="40" customFormat="1" ht="18.75">
      <c r="A1111" s="6">
        <v>1109</v>
      </c>
      <c r="C1111" s="7">
        <v>46173</v>
      </c>
      <c r="D1111" s="40" t="s">
        <v>933</v>
      </c>
      <c r="E1111" s="6" t="s">
        <v>2712</v>
      </c>
      <c r="F1111" s="40" t="s">
        <v>3868</v>
      </c>
      <c r="G1111" s="41" t="s">
        <v>3853</v>
      </c>
      <c r="H1111" s="42" t="s">
        <v>3888</v>
      </c>
      <c r="I1111" s="42" t="s">
        <v>3889</v>
      </c>
      <c r="J1111" s="43" t="s">
        <v>3890</v>
      </c>
      <c r="K1111" s="43" t="s">
        <v>3890</v>
      </c>
      <c r="L1111" s="50">
        <v>2298</v>
      </c>
      <c r="M1111" s="50">
        <v>2298</v>
      </c>
      <c r="N1111" s="7"/>
      <c r="O1111" s="92" t="s">
        <v>1403</v>
      </c>
      <c r="P1111" s="6" t="s">
        <v>3845</v>
      </c>
      <c r="Q1111" s="92" t="s">
        <v>1403</v>
      </c>
      <c r="R1111" s="41"/>
      <c r="S1111" s="6">
        <f t="shared" si="17"/>
        <v>2298</v>
      </c>
      <c r="W1111" s="51" t="s">
        <v>1403</v>
      </c>
      <c r="X1111" s="51" t="s">
        <v>1403</v>
      </c>
      <c r="Y1111" s="75" t="s">
        <v>3891</v>
      </c>
      <c r="Z1111" s="75" t="s">
        <v>373</v>
      </c>
      <c r="AA1111" s="75" t="s">
        <v>373</v>
      </c>
    </row>
    <row r="1112" spans="1:27" s="40" customFormat="1" ht="18.75">
      <c r="A1112" s="6">
        <v>1110</v>
      </c>
      <c r="C1112" s="7">
        <v>46173</v>
      </c>
      <c r="D1112" s="40" t="s">
        <v>933</v>
      </c>
      <c r="E1112" s="6" t="s">
        <v>2712</v>
      </c>
      <c r="F1112" s="40" t="s">
        <v>3868</v>
      </c>
      <c r="G1112" s="41" t="s">
        <v>3853</v>
      </c>
      <c r="H1112" s="42" t="s">
        <v>3892</v>
      </c>
      <c r="I1112" s="42" t="s">
        <v>3893</v>
      </c>
      <c r="J1112" s="43" t="s">
        <v>3894</v>
      </c>
      <c r="K1112" s="43" t="s">
        <v>3894</v>
      </c>
      <c r="L1112" s="50">
        <v>58420</v>
      </c>
      <c r="M1112" s="50">
        <v>58420</v>
      </c>
      <c r="N1112" s="7"/>
      <c r="O1112" s="92" t="s">
        <v>1403</v>
      </c>
      <c r="P1112" s="50" t="s">
        <v>52</v>
      </c>
      <c r="Q1112" s="92" t="s">
        <v>1403</v>
      </c>
      <c r="R1112" s="41"/>
      <c r="S1112" s="6">
        <f t="shared" si="17"/>
        <v>58420</v>
      </c>
      <c r="W1112" s="51" t="s">
        <v>3895</v>
      </c>
      <c r="X1112" s="51" t="s">
        <v>3895</v>
      </c>
      <c r="Y1112" s="75" t="s">
        <v>3896</v>
      </c>
      <c r="Z1112" s="75" t="s">
        <v>373</v>
      </c>
      <c r="AA1112" s="75" t="s">
        <v>373</v>
      </c>
    </row>
    <row r="1113" spans="1:27" s="40" customFormat="1" ht="18.75">
      <c r="A1113" s="6">
        <v>1111</v>
      </c>
      <c r="C1113" s="7">
        <v>46173</v>
      </c>
      <c r="D1113" s="40" t="s">
        <v>933</v>
      </c>
      <c r="E1113" s="6" t="s">
        <v>2712</v>
      </c>
      <c r="F1113" s="40" t="s">
        <v>3868</v>
      </c>
      <c r="G1113" s="41" t="s">
        <v>3853</v>
      </c>
      <c r="H1113" s="42" t="s">
        <v>3897</v>
      </c>
      <c r="I1113" s="42" t="s">
        <v>3898</v>
      </c>
      <c r="J1113" s="43" t="s">
        <v>3899</v>
      </c>
      <c r="K1113" s="43" t="s">
        <v>3899</v>
      </c>
      <c r="L1113" s="50">
        <v>1192</v>
      </c>
      <c r="M1113" s="50">
        <v>1192</v>
      </c>
      <c r="N1113" s="7"/>
      <c r="O1113" s="92" t="s">
        <v>1403</v>
      </c>
      <c r="P1113" s="6" t="s">
        <v>3845</v>
      </c>
      <c r="Q1113" s="92" t="s">
        <v>1403</v>
      </c>
      <c r="R1113" s="41"/>
      <c r="S1113" s="6">
        <f t="shared" si="17"/>
        <v>1192</v>
      </c>
      <c r="W1113" s="51" t="s">
        <v>3900</v>
      </c>
      <c r="X1113" s="51" t="s">
        <v>3900</v>
      </c>
      <c r="Y1113" s="75" t="s">
        <v>3901</v>
      </c>
      <c r="Z1113" s="75" t="s">
        <v>373</v>
      </c>
      <c r="AA1113" s="75" t="s">
        <v>373</v>
      </c>
    </row>
    <row r="1114" spans="1:27" s="40" customFormat="1" ht="18.75">
      <c r="A1114" s="6">
        <v>1112</v>
      </c>
      <c r="C1114" s="7">
        <v>46173</v>
      </c>
      <c r="D1114" s="40" t="s">
        <v>933</v>
      </c>
      <c r="E1114" s="6" t="s">
        <v>2712</v>
      </c>
      <c r="F1114" s="40" t="s">
        <v>3868</v>
      </c>
      <c r="G1114" s="41" t="s">
        <v>3853</v>
      </c>
      <c r="H1114" s="42" t="s">
        <v>3902</v>
      </c>
      <c r="I1114" s="42" t="s">
        <v>3903</v>
      </c>
      <c r="J1114" s="43" t="s">
        <v>3904</v>
      </c>
      <c r="K1114" s="43" t="s">
        <v>3904</v>
      </c>
      <c r="L1114" s="50">
        <v>2762</v>
      </c>
      <c r="M1114" s="50">
        <v>2762</v>
      </c>
      <c r="N1114" s="7"/>
      <c r="O1114" s="92" t="s">
        <v>1403</v>
      </c>
      <c r="P1114" s="6" t="s">
        <v>3845</v>
      </c>
      <c r="Q1114" s="92" t="s">
        <v>1403</v>
      </c>
      <c r="R1114" s="41"/>
      <c r="S1114" s="6">
        <f t="shared" si="17"/>
        <v>2762</v>
      </c>
      <c r="W1114" s="51" t="s">
        <v>2711</v>
      </c>
      <c r="X1114" s="51" t="s">
        <v>2711</v>
      </c>
      <c r="Y1114" s="75" t="s">
        <v>3905</v>
      </c>
      <c r="Z1114" s="75" t="s">
        <v>373</v>
      </c>
      <c r="AA1114" s="75" t="s">
        <v>373</v>
      </c>
    </row>
    <row r="1115" spans="1:27" s="40" customFormat="1" ht="18.75">
      <c r="A1115" s="6">
        <v>1113</v>
      </c>
      <c r="C1115" s="7">
        <v>46173</v>
      </c>
      <c r="D1115" s="40" t="s">
        <v>933</v>
      </c>
      <c r="E1115" s="6" t="s">
        <v>2712</v>
      </c>
      <c r="F1115" s="40" t="s">
        <v>3868</v>
      </c>
      <c r="G1115" s="41" t="s">
        <v>3853</v>
      </c>
      <c r="H1115" s="42" t="s">
        <v>3906</v>
      </c>
      <c r="I1115" s="42" t="s">
        <v>3907</v>
      </c>
      <c r="J1115" s="43" t="s">
        <v>3908</v>
      </c>
      <c r="K1115" s="43" t="s">
        <v>3908</v>
      </c>
      <c r="L1115" s="50">
        <v>8117</v>
      </c>
      <c r="M1115" s="50">
        <v>8117</v>
      </c>
      <c r="N1115" s="7"/>
      <c r="O1115" s="92" t="s">
        <v>1403</v>
      </c>
      <c r="P1115" s="50" t="s">
        <v>52</v>
      </c>
      <c r="Q1115" s="92" t="s">
        <v>1403</v>
      </c>
      <c r="R1115" s="41"/>
      <c r="S1115" s="6">
        <f t="shared" si="17"/>
        <v>8117</v>
      </c>
      <c r="W1115" s="51" t="s">
        <v>3909</v>
      </c>
      <c r="X1115" s="51" t="s">
        <v>3909</v>
      </c>
      <c r="Y1115" s="75" t="s">
        <v>3910</v>
      </c>
      <c r="Z1115" s="75" t="s">
        <v>373</v>
      </c>
      <c r="AA1115" s="75" t="s">
        <v>373</v>
      </c>
    </row>
    <row r="1116" spans="1:27" s="40" customFormat="1" ht="18.75">
      <c r="A1116" s="6">
        <v>1114</v>
      </c>
      <c r="B1116" s="40" t="s">
        <v>225</v>
      </c>
      <c r="C1116" s="7">
        <v>46175</v>
      </c>
      <c r="D1116" s="40" t="s">
        <v>226</v>
      </c>
      <c r="E1116" s="6" t="s">
        <v>3911</v>
      </c>
      <c r="F1116" s="40" t="s">
        <v>227</v>
      </c>
      <c r="G1116" s="41">
        <v>2</v>
      </c>
      <c r="H1116" s="42" t="s">
        <v>3912</v>
      </c>
      <c r="I1116" s="42">
        <v>9912335408</v>
      </c>
      <c r="J1116" s="43" t="s">
        <v>3913</v>
      </c>
      <c r="K1116" s="43" t="s">
        <v>3913</v>
      </c>
      <c r="L1116" s="50">
        <v>15300</v>
      </c>
      <c r="M1116" s="50">
        <v>15300</v>
      </c>
      <c r="N1116" s="7"/>
      <c r="O1116" s="92"/>
      <c r="P1116" s="50"/>
      <c r="Q1116" s="92" t="s">
        <v>232</v>
      </c>
      <c r="R1116" s="41">
        <v>15300</v>
      </c>
      <c r="S1116" s="6">
        <f t="shared" si="17"/>
        <v>0</v>
      </c>
      <c r="T1116" s="91">
        <v>46176</v>
      </c>
      <c r="U1116" s="40" t="s">
        <v>3914</v>
      </c>
      <c r="V1116" s="40" t="s">
        <v>54</v>
      </c>
      <c r="W1116" s="51"/>
      <c r="X1116" s="51"/>
      <c r="Y1116" s="75"/>
      <c r="Z1116" s="75"/>
      <c r="AA1116" s="75"/>
    </row>
    <row r="1117" spans="1:27" s="40" customFormat="1" ht="18.75">
      <c r="A1117" s="6">
        <v>1115</v>
      </c>
      <c r="B1117" s="40" t="s">
        <v>225</v>
      </c>
      <c r="C1117" s="7">
        <v>46175</v>
      </c>
      <c r="D1117" s="40" t="s">
        <v>226</v>
      </c>
      <c r="E1117" s="6" t="s">
        <v>3911</v>
      </c>
      <c r="F1117" s="40" t="s">
        <v>364</v>
      </c>
      <c r="G1117" s="41">
        <v>2</v>
      </c>
      <c r="H1117" s="42" t="s">
        <v>3915</v>
      </c>
      <c r="I1117" s="42" t="s">
        <v>3916</v>
      </c>
      <c r="J1117" s="43" t="s">
        <v>3917</v>
      </c>
      <c r="K1117" s="43" t="s">
        <v>3917</v>
      </c>
      <c r="L1117" s="50">
        <v>37730</v>
      </c>
      <c r="M1117" s="50">
        <v>37800</v>
      </c>
      <c r="N1117" s="7"/>
      <c r="O1117" s="92" t="s">
        <v>2442</v>
      </c>
      <c r="P1117" s="50" t="s">
        <v>52</v>
      </c>
      <c r="Q1117" s="92" t="s">
        <v>665</v>
      </c>
      <c r="R1117" s="41">
        <v>17000</v>
      </c>
      <c r="S1117" s="6">
        <f t="shared" si="17"/>
        <v>20800</v>
      </c>
      <c r="T1117" s="91">
        <v>46177</v>
      </c>
      <c r="U1117" s="40" t="s">
        <v>3918</v>
      </c>
      <c r="W1117" s="51" t="s">
        <v>666</v>
      </c>
      <c r="X1117" s="51" t="s">
        <v>3919</v>
      </c>
      <c r="Y1117" s="75" t="s">
        <v>3920</v>
      </c>
      <c r="Z1117" s="75" t="s">
        <v>373</v>
      </c>
      <c r="AA1117" s="75" t="s">
        <v>373</v>
      </c>
    </row>
    <row r="1118" spans="1:27" s="40" customFormat="1" ht="18.75">
      <c r="A1118" s="6">
        <v>1116</v>
      </c>
      <c r="B1118" s="40" t="s">
        <v>225</v>
      </c>
      <c r="C1118" s="7">
        <v>46175</v>
      </c>
      <c r="D1118" s="40" t="s">
        <v>226</v>
      </c>
      <c r="E1118" s="6" t="s">
        <v>3911</v>
      </c>
      <c r="F1118" s="40" t="s">
        <v>336</v>
      </c>
      <c r="G1118" s="41">
        <v>2</v>
      </c>
      <c r="H1118" s="42" t="s">
        <v>3921</v>
      </c>
      <c r="I1118" s="42">
        <v>9581089958</v>
      </c>
      <c r="J1118" s="43" t="s">
        <v>3922</v>
      </c>
      <c r="K1118" s="43" t="s">
        <v>3922</v>
      </c>
      <c r="L1118" s="50"/>
      <c r="M1118" s="50">
        <v>1750</v>
      </c>
      <c r="N1118" s="7"/>
      <c r="O1118" s="92"/>
      <c r="P1118" s="50"/>
      <c r="Q1118" s="92"/>
      <c r="R1118" s="41"/>
      <c r="S1118" s="6">
        <f t="shared" si="17"/>
        <v>1750</v>
      </c>
      <c r="W1118" s="51"/>
      <c r="X1118" s="51"/>
      <c r="Y1118" s="75"/>
      <c r="Z1118" s="75"/>
      <c r="AA1118" s="75"/>
    </row>
    <row r="1119" spans="1:27" s="40" customFormat="1" ht="18.75">
      <c r="A1119" s="6">
        <v>1117</v>
      </c>
      <c r="B1119" s="40" t="s">
        <v>225</v>
      </c>
      <c r="C1119" s="7">
        <v>46175</v>
      </c>
      <c r="D1119" s="40" t="s">
        <v>226</v>
      </c>
      <c r="E1119" s="6" t="s">
        <v>3911</v>
      </c>
      <c r="F1119" s="40" t="s">
        <v>336</v>
      </c>
      <c r="G1119" s="41">
        <v>2</v>
      </c>
      <c r="H1119" s="42" t="s">
        <v>3923</v>
      </c>
      <c r="I1119" s="42">
        <v>8712368307</v>
      </c>
      <c r="J1119" s="43" t="s">
        <v>3924</v>
      </c>
      <c r="K1119" s="43" t="s">
        <v>3924</v>
      </c>
      <c r="L1119" s="50"/>
      <c r="M1119" s="50">
        <v>6870</v>
      </c>
      <c r="N1119" s="7"/>
      <c r="O1119" s="92"/>
      <c r="P1119" s="50"/>
      <c r="Q1119" s="92"/>
      <c r="R1119" s="41"/>
      <c r="S1119" s="6">
        <f t="shared" si="17"/>
        <v>6870</v>
      </c>
      <c r="W1119" s="51"/>
      <c r="X1119" s="51"/>
      <c r="Y1119" s="75"/>
      <c r="Z1119" s="75"/>
      <c r="AA1119" s="75"/>
    </row>
    <row r="1120" spans="1:27" s="40" customFormat="1" ht="18.75">
      <c r="A1120" s="6">
        <v>1118</v>
      </c>
      <c r="B1120" s="40" t="s">
        <v>225</v>
      </c>
      <c r="C1120" s="7">
        <v>46175</v>
      </c>
      <c r="D1120" s="40" t="s">
        <v>226</v>
      </c>
      <c r="E1120" s="6" t="s">
        <v>3911</v>
      </c>
      <c r="F1120" s="40" t="s">
        <v>336</v>
      </c>
      <c r="G1120" s="41">
        <v>2</v>
      </c>
      <c r="H1120" s="42" t="s">
        <v>3925</v>
      </c>
      <c r="I1120" s="42">
        <v>9533655830</v>
      </c>
      <c r="J1120" s="43" t="s">
        <v>3926</v>
      </c>
      <c r="K1120" s="43" t="s">
        <v>3926</v>
      </c>
      <c r="L1120" s="50"/>
      <c r="M1120" s="50">
        <v>2766</v>
      </c>
      <c r="N1120" s="7"/>
      <c r="O1120" s="92"/>
      <c r="P1120" s="50"/>
      <c r="Q1120" s="92"/>
      <c r="R1120" s="41"/>
      <c r="S1120" s="6">
        <f t="shared" si="17"/>
        <v>2766</v>
      </c>
      <c r="W1120" s="51"/>
      <c r="X1120" s="51"/>
      <c r="Y1120" s="75"/>
      <c r="Z1120" s="75"/>
      <c r="AA1120" s="75"/>
    </row>
    <row r="1121" spans="1:27" s="40" customFormat="1" ht="18.75">
      <c r="A1121" s="6">
        <v>1119</v>
      </c>
      <c r="B1121" s="40" t="s">
        <v>225</v>
      </c>
      <c r="C1121" s="7">
        <v>46175</v>
      </c>
      <c r="D1121" s="40" t="s">
        <v>226</v>
      </c>
      <c r="E1121" s="6" t="s">
        <v>3911</v>
      </c>
      <c r="F1121" s="40" t="s">
        <v>310</v>
      </c>
      <c r="G1121" s="41">
        <v>2</v>
      </c>
      <c r="H1121" s="42" t="s">
        <v>3927</v>
      </c>
      <c r="I1121" s="42">
        <v>9666736174</v>
      </c>
      <c r="J1121" s="43" t="s">
        <v>3928</v>
      </c>
      <c r="K1121" s="43" t="s">
        <v>3928</v>
      </c>
      <c r="L1121" s="50">
        <v>20680</v>
      </c>
      <c r="M1121" s="50">
        <v>20680</v>
      </c>
      <c r="N1121" s="7"/>
      <c r="O1121" s="92"/>
      <c r="P1121" s="50"/>
      <c r="Q1121" s="92"/>
      <c r="R1121" s="41"/>
      <c r="S1121" s="6">
        <f t="shared" si="17"/>
        <v>20680</v>
      </c>
      <c r="W1121" s="51"/>
      <c r="X1121" s="51"/>
      <c r="Y1121" s="75"/>
      <c r="Z1121" s="75"/>
      <c r="AA1121" s="75"/>
    </row>
    <row r="1122" spans="1:27" s="40" customFormat="1" ht="18.75">
      <c r="A1122" s="6">
        <v>1120</v>
      </c>
      <c r="B1122" s="40" t="s">
        <v>225</v>
      </c>
      <c r="C1122" s="7">
        <v>46175</v>
      </c>
      <c r="D1122" s="40" t="s">
        <v>226</v>
      </c>
      <c r="E1122" s="6" t="s">
        <v>3911</v>
      </c>
      <c r="F1122" s="40" t="s">
        <v>240</v>
      </c>
      <c r="G1122" s="41">
        <v>2</v>
      </c>
      <c r="H1122" s="42" t="s">
        <v>3929</v>
      </c>
      <c r="I1122" s="42">
        <v>8341277102</v>
      </c>
      <c r="J1122" s="43" t="s">
        <v>3930</v>
      </c>
      <c r="K1122" s="43" t="s">
        <v>3930</v>
      </c>
      <c r="L1122" s="50">
        <v>5200</v>
      </c>
      <c r="M1122" s="50">
        <v>5200</v>
      </c>
      <c r="N1122" s="7" t="s">
        <v>239</v>
      </c>
      <c r="O1122" s="6" t="s">
        <v>239</v>
      </c>
      <c r="P1122" s="6" t="s">
        <v>239</v>
      </c>
      <c r="Q1122" s="6" t="s">
        <v>236</v>
      </c>
      <c r="R1122" s="41"/>
      <c r="S1122" s="6">
        <f t="shared" si="17"/>
        <v>5200</v>
      </c>
      <c r="W1122" s="6" t="s">
        <v>236</v>
      </c>
      <c r="X1122" s="6" t="s">
        <v>236</v>
      </c>
      <c r="Y1122" s="6" t="s">
        <v>236</v>
      </c>
      <c r="Z1122" s="6" t="s">
        <v>236</v>
      </c>
      <c r="AA1122" s="6" t="s">
        <v>236</v>
      </c>
    </row>
    <row r="1123" spans="1:27" s="40" customFormat="1" ht="18.75">
      <c r="A1123" s="6">
        <v>1121</v>
      </c>
      <c r="B1123" s="40" t="s">
        <v>225</v>
      </c>
      <c r="C1123" s="7">
        <v>46175</v>
      </c>
      <c r="D1123" s="40" t="s">
        <v>226</v>
      </c>
      <c r="E1123" s="6" t="s">
        <v>3911</v>
      </c>
      <c r="F1123" s="40" t="s">
        <v>240</v>
      </c>
      <c r="G1123" s="41">
        <v>2</v>
      </c>
      <c r="H1123" s="42" t="s">
        <v>3931</v>
      </c>
      <c r="I1123" s="42">
        <v>8639956925</v>
      </c>
      <c r="J1123" s="43" t="s">
        <v>3932</v>
      </c>
      <c r="K1123" s="43" t="s">
        <v>3932</v>
      </c>
      <c r="L1123" s="50">
        <v>4270</v>
      </c>
      <c r="M1123" s="50">
        <v>4270</v>
      </c>
      <c r="N1123" s="7" t="s">
        <v>239</v>
      </c>
      <c r="O1123" s="6" t="s">
        <v>239</v>
      </c>
      <c r="P1123" s="6" t="s">
        <v>239</v>
      </c>
      <c r="Q1123" s="6" t="s">
        <v>236</v>
      </c>
      <c r="R1123" s="41"/>
      <c r="S1123" s="6">
        <f t="shared" si="17"/>
        <v>4270</v>
      </c>
      <c r="W1123" s="6" t="s">
        <v>236</v>
      </c>
      <c r="X1123" s="6" t="s">
        <v>236</v>
      </c>
      <c r="Y1123" s="6" t="s">
        <v>236</v>
      </c>
      <c r="Z1123" s="6" t="s">
        <v>236</v>
      </c>
      <c r="AA1123" s="6" t="s">
        <v>236</v>
      </c>
    </row>
    <row r="1124" spans="1:27" s="40" customFormat="1" ht="18.75">
      <c r="A1124" s="6">
        <v>1122</v>
      </c>
      <c r="B1124" s="40" t="s">
        <v>225</v>
      </c>
      <c r="C1124" s="7">
        <v>46175</v>
      </c>
      <c r="D1124" s="40" t="s">
        <v>226</v>
      </c>
      <c r="E1124" s="6" t="s">
        <v>3911</v>
      </c>
      <c r="F1124" s="40" t="s">
        <v>240</v>
      </c>
      <c r="G1124" s="41">
        <v>2</v>
      </c>
      <c r="H1124" s="42" t="s">
        <v>3933</v>
      </c>
      <c r="I1124" s="42">
        <v>7842345666</v>
      </c>
      <c r="J1124" s="43" t="s">
        <v>3934</v>
      </c>
      <c r="K1124" s="43" t="s">
        <v>3934</v>
      </c>
      <c r="L1124" s="50">
        <v>1600</v>
      </c>
      <c r="M1124" s="50">
        <v>1600</v>
      </c>
      <c r="N1124" s="7" t="s">
        <v>239</v>
      </c>
      <c r="O1124" s="6" t="s">
        <v>239</v>
      </c>
      <c r="P1124" s="6" t="s">
        <v>239</v>
      </c>
      <c r="Q1124" s="6" t="s">
        <v>236</v>
      </c>
      <c r="R1124" s="41"/>
      <c r="S1124" s="6">
        <f t="shared" si="17"/>
        <v>1600</v>
      </c>
      <c r="W1124" s="6" t="s">
        <v>236</v>
      </c>
      <c r="X1124" s="6" t="s">
        <v>236</v>
      </c>
      <c r="Y1124" s="6" t="s">
        <v>236</v>
      </c>
      <c r="Z1124" s="6" t="s">
        <v>236</v>
      </c>
      <c r="AA1124" s="6" t="s">
        <v>236</v>
      </c>
    </row>
    <row r="1125" spans="1:27" s="40" customFormat="1" ht="18.75">
      <c r="A1125" s="6">
        <v>1123</v>
      </c>
      <c r="B1125" s="40" t="s">
        <v>346</v>
      </c>
      <c r="C1125" s="7">
        <v>46175</v>
      </c>
      <c r="D1125" s="40" t="s">
        <v>226</v>
      </c>
      <c r="E1125" s="6" t="s">
        <v>3911</v>
      </c>
      <c r="F1125" s="40" t="s">
        <v>240</v>
      </c>
      <c r="G1125" s="41">
        <v>2</v>
      </c>
      <c r="H1125" s="42" t="s">
        <v>3935</v>
      </c>
      <c r="I1125" s="42">
        <v>9700008846</v>
      </c>
      <c r="J1125" s="43" t="s">
        <v>3936</v>
      </c>
      <c r="K1125" s="43" t="s">
        <v>3936</v>
      </c>
      <c r="L1125" s="97">
        <v>50</v>
      </c>
      <c r="M1125" s="50">
        <v>50</v>
      </c>
      <c r="N1125" s="7" t="s">
        <v>239</v>
      </c>
      <c r="O1125" s="6" t="s">
        <v>239</v>
      </c>
      <c r="P1125" s="6" t="s">
        <v>239</v>
      </c>
      <c r="Q1125" s="6" t="s">
        <v>236</v>
      </c>
      <c r="R1125" s="41"/>
      <c r="S1125" s="6">
        <f t="shared" si="17"/>
        <v>50</v>
      </c>
      <c r="W1125" s="6" t="s">
        <v>236</v>
      </c>
      <c r="X1125" s="6" t="s">
        <v>236</v>
      </c>
      <c r="Y1125" s="6" t="s">
        <v>236</v>
      </c>
      <c r="Z1125" s="6" t="s">
        <v>236</v>
      </c>
      <c r="AA1125" s="6" t="s">
        <v>236</v>
      </c>
    </row>
    <row r="1126" spans="1:27" s="40" customFormat="1" ht="18.75">
      <c r="A1126" s="6">
        <v>1124</v>
      </c>
      <c r="B1126" s="40" t="s">
        <v>225</v>
      </c>
      <c r="C1126" s="7">
        <v>46175</v>
      </c>
      <c r="D1126" s="40" t="s">
        <v>226</v>
      </c>
      <c r="E1126" s="6" t="s">
        <v>3911</v>
      </c>
      <c r="F1126" s="40" t="s">
        <v>240</v>
      </c>
      <c r="G1126" s="41">
        <v>2</v>
      </c>
      <c r="H1126" s="42" t="s">
        <v>3937</v>
      </c>
      <c r="I1126" s="42">
        <v>9840806906</v>
      </c>
      <c r="J1126" s="43" t="s">
        <v>3938</v>
      </c>
      <c r="K1126" s="43" t="s">
        <v>3938</v>
      </c>
      <c r="L1126" s="50">
        <v>1960</v>
      </c>
      <c r="M1126" s="50">
        <v>1960</v>
      </c>
      <c r="N1126" s="7" t="s">
        <v>239</v>
      </c>
      <c r="O1126" s="6" t="s">
        <v>239</v>
      </c>
      <c r="P1126" s="6" t="s">
        <v>239</v>
      </c>
      <c r="Q1126" s="6" t="s">
        <v>236</v>
      </c>
      <c r="R1126" s="41"/>
      <c r="S1126" s="6">
        <f t="shared" si="17"/>
        <v>1960</v>
      </c>
      <c r="W1126" s="6" t="s">
        <v>236</v>
      </c>
      <c r="X1126" s="6" t="s">
        <v>236</v>
      </c>
      <c r="Y1126" s="6" t="s">
        <v>236</v>
      </c>
      <c r="Z1126" s="6" t="s">
        <v>236</v>
      </c>
      <c r="AA1126" s="6" t="s">
        <v>236</v>
      </c>
    </row>
    <row r="1127" spans="1:27" s="40" customFormat="1" ht="18.75">
      <c r="A1127" s="6">
        <v>1125</v>
      </c>
      <c r="B1127" s="40" t="s">
        <v>346</v>
      </c>
      <c r="C1127" s="7">
        <v>46175</v>
      </c>
      <c r="D1127" s="40" t="s">
        <v>226</v>
      </c>
      <c r="E1127" s="6" t="s">
        <v>3911</v>
      </c>
      <c r="F1127" s="40" t="s">
        <v>240</v>
      </c>
      <c r="G1127" s="41">
        <v>2</v>
      </c>
      <c r="H1127" s="42" t="s">
        <v>3939</v>
      </c>
      <c r="I1127" s="42">
        <v>9177144663</v>
      </c>
      <c r="J1127" s="43" t="s">
        <v>3940</v>
      </c>
      <c r="K1127" s="43" t="s">
        <v>3940</v>
      </c>
      <c r="L1127" s="97">
        <v>930</v>
      </c>
      <c r="M1127" s="50">
        <v>930</v>
      </c>
      <c r="N1127" s="7" t="s">
        <v>239</v>
      </c>
      <c r="O1127" s="6" t="s">
        <v>239</v>
      </c>
      <c r="P1127" s="6" t="s">
        <v>239</v>
      </c>
      <c r="Q1127" s="6" t="s">
        <v>236</v>
      </c>
      <c r="R1127" s="41"/>
      <c r="S1127" s="6">
        <f t="shared" si="17"/>
        <v>930</v>
      </c>
      <c r="W1127" s="6" t="s">
        <v>236</v>
      </c>
      <c r="X1127" s="6" t="s">
        <v>236</v>
      </c>
      <c r="Y1127" s="6" t="s">
        <v>236</v>
      </c>
      <c r="Z1127" s="6" t="s">
        <v>236</v>
      </c>
      <c r="AA1127" s="6" t="s">
        <v>236</v>
      </c>
    </row>
    <row r="1128" spans="1:27" s="40" customFormat="1" ht="18.75">
      <c r="A1128" s="6">
        <v>1126</v>
      </c>
      <c r="B1128" s="40" t="s">
        <v>225</v>
      </c>
      <c r="C1128" s="7">
        <v>46175</v>
      </c>
      <c r="D1128" s="40" t="s">
        <v>226</v>
      </c>
      <c r="E1128" s="6" t="s">
        <v>3911</v>
      </c>
      <c r="F1128" s="40" t="s">
        <v>240</v>
      </c>
      <c r="G1128" s="41">
        <v>2</v>
      </c>
      <c r="H1128" s="42" t="s">
        <v>3941</v>
      </c>
      <c r="I1128" s="42">
        <v>9900474054</v>
      </c>
      <c r="J1128" s="43" t="s">
        <v>3942</v>
      </c>
      <c r="K1128" s="43" t="s">
        <v>3942</v>
      </c>
      <c r="L1128" s="50">
        <v>370</v>
      </c>
      <c r="M1128" s="50">
        <v>370</v>
      </c>
      <c r="N1128" s="7" t="s">
        <v>239</v>
      </c>
      <c r="O1128" s="6" t="s">
        <v>239</v>
      </c>
      <c r="P1128" s="6" t="s">
        <v>239</v>
      </c>
      <c r="Q1128" s="6" t="s">
        <v>236</v>
      </c>
      <c r="R1128" s="41"/>
      <c r="S1128" s="6">
        <f t="shared" si="17"/>
        <v>370</v>
      </c>
      <c r="W1128" s="6" t="s">
        <v>236</v>
      </c>
      <c r="X1128" s="6" t="s">
        <v>236</v>
      </c>
      <c r="Y1128" s="6" t="s">
        <v>236</v>
      </c>
      <c r="Z1128" s="6" t="s">
        <v>236</v>
      </c>
      <c r="AA1128" s="6" t="s">
        <v>236</v>
      </c>
    </row>
    <row r="1129" spans="1:27" s="40" customFormat="1" ht="18.75">
      <c r="A1129" s="6">
        <v>1127</v>
      </c>
      <c r="B1129" s="40" t="s">
        <v>346</v>
      </c>
      <c r="C1129" s="7">
        <v>46175</v>
      </c>
      <c r="D1129" s="40" t="s">
        <v>226</v>
      </c>
      <c r="E1129" s="6" t="s">
        <v>3911</v>
      </c>
      <c r="F1129" s="40" t="s">
        <v>240</v>
      </c>
      <c r="G1129" s="41">
        <v>2</v>
      </c>
      <c r="H1129" s="42" t="s">
        <v>3943</v>
      </c>
      <c r="I1129" s="42">
        <v>8142000982</v>
      </c>
      <c r="J1129" s="43" t="s">
        <v>3944</v>
      </c>
      <c r="K1129" s="43" t="s">
        <v>3944</v>
      </c>
      <c r="L1129" s="97">
        <v>80</v>
      </c>
      <c r="M1129" s="50">
        <v>80</v>
      </c>
      <c r="N1129" s="7" t="s">
        <v>239</v>
      </c>
      <c r="O1129" s="6" t="s">
        <v>239</v>
      </c>
      <c r="P1129" s="6" t="s">
        <v>239</v>
      </c>
      <c r="Q1129" s="6" t="s">
        <v>236</v>
      </c>
      <c r="R1129" s="41"/>
      <c r="S1129" s="6">
        <f t="shared" si="17"/>
        <v>80</v>
      </c>
      <c r="W1129" s="6" t="s">
        <v>236</v>
      </c>
      <c r="X1129" s="6" t="s">
        <v>236</v>
      </c>
      <c r="Y1129" s="6" t="s">
        <v>236</v>
      </c>
      <c r="Z1129" s="6" t="s">
        <v>236</v>
      </c>
      <c r="AA1129" s="6" t="s">
        <v>236</v>
      </c>
    </row>
    <row r="1130" spans="1:27" s="41" customFormat="1">
      <c r="A1130" s="6">
        <v>1128</v>
      </c>
      <c r="B1130" s="40" t="s">
        <v>225</v>
      </c>
      <c r="C1130" s="7">
        <v>46175</v>
      </c>
      <c r="D1130" s="41" t="s">
        <v>226</v>
      </c>
      <c r="E1130" s="6" t="s">
        <v>3911</v>
      </c>
      <c r="F1130" s="41" t="s">
        <v>267</v>
      </c>
      <c r="G1130" s="41">
        <v>2</v>
      </c>
      <c r="H1130" s="98" t="s">
        <v>3945</v>
      </c>
      <c r="I1130" s="98">
        <v>9961637515</v>
      </c>
      <c r="J1130" s="43" t="s">
        <v>3946</v>
      </c>
      <c r="K1130" s="43" t="s">
        <v>3946</v>
      </c>
      <c r="L1130" s="98">
        <v>4020</v>
      </c>
      <c r="M1130" s="98">
        <v>4020</v>
      </c>
      <c r="N1130" s="7" t="s">
        <v>239</v>
      </c>
      <c r="O1130" s="6" t="s">
        <v>239</v>
      </c>
      <c r="P1130" s="6" t="s">
        <v>239</v>
      </c>
      <c r="Q1130" s="6" t="s">
        <v>236</v>
      </c>
      <c r="S1130" s="6">
        <f t="shared" si="17"/>
        <v>4020</v>
      </c>
      <c r="W1130" s="6" t="s">
        <v>236</v>
      </c>
      <c r="X1130" s="6" t="s">
        <v>236</v>
      </c>
      <c r="Y1130" s="6" t="s">
        <v>236</v>
      </c>
      <c r="Z1130" s="6" t="s">
        <v>236</v>
      </c>
      <c r="AA1130" s="6" t="s">
        <v>236</v>
      </c>
    </row>
    <row r="1131" spans="1:27" s="41" customFormat="1">
      <c r="A1131" s="6">
        <v>1129</v>
      </c>
      <c r="B1131" s="40" t="s">
        <v>225</v>
      </c>
      <c r="C1131" s="7">
        <v>46175</v>
      </c>
      <c r="D1131" s="41" t="s">
        <v>226</v>
      </c>
      <c r="E1131" s="6" t="s">
        <v>3911</v>
      </c>
      <c r="F1131" s="41" t="s">
        <v>267</v>
      </c>
      <c r="G1131" s="41">
        <v>2</v>
      </c>
      <c r="H1131" s="98" t="s">
        <v>3947</v>
      </c>
      <c r="I1131" s="98">
        <v>9750561656</v>
      </c>
      <c r="J1131" s="43" t="s">
        <v>3948</v>
      </c>
      <c r="K1131" s="43" t="s">
        <v>3948</v>
      </c>
      <c r="L1131" s="98">
        <v>630</v>
      </c>
      <c r="M1131" s="98">
        <v>630</v>
      </c>
      <c r="N1131" s="7" t="s">
        <v>239</v>
      </c>
      <c r="O1131" s="6" t="s">
        <v>239</v>
      </c>
      <c r="P1131" s="6" t="s">
        <v>239</v>
      </c>
      <c r="Q1131" s="6" t="s">
        <v>236</v>
      </c>
      <c r="S1131" s="6">
        <f t="shared" si="17"/>
        <v>630</v>
      </c>
      <c r="W1131" s="6" t="s">
        <v>236</v>
      </c>
      <c r="X1131" s="6" t="s">
        <v>236</v>
      </c>
      <c r="Y1131" s="6" t="s">
        <v>236</v>
      </c>
      <c r="Z1131" s="6" t="s">
        <v>236</v>
      </c>
      <c r="AA1131" s="6" t="s">
        <v>236</v>
      </c>
    </row>
    <row r="1132" spans="1:27" s="41" customFormat="1">
      <c r="A1132" s="6">
        <v>1130</v>
      </c>
      <c r="B1132" s="40" t="s">
        <v>225</v>
      </c>
      <c r="C1132" s="7">
        <v>46175</v>
      </c>
      <c r="D1132" s="41" t="s">
        <v>226</v>
      </c>
      <c r="E1132" s="6" t="s">
        <v>3911</v>
      </c>
      <c r="F1132" s="41" t="s">
        <v>267</v>
      </c>
      <c r="G1132" s="41">
        <v>2</v>
      </c>
      <c r="H1132" s="98" t="s">
        <v>3949</v>
      </c>
      <c r="I1132" s="98">
        <v>6300285707</v>
      </c>
      <c r="J1132" s="43" t="s">
        <v>3950</v>
      </c>
      <c r="K1132" s="43" t="s">
        <v>3950</v>
      </c>
      <c r="L1132" s="98">
        <v>960</v>
      </c>
      <c r="M1132" s="98">
        <v>960</v>
      </c>
      <c r="N1132" s="7" t="s">
        <v>239</v>
      </c>
      <c r="O1132" s="6" t="s">
        <v>239</v>
      </c>
      <c r="P1132" s="6" t="s">
        <v>239</v>
      </c>
      <c r="Q1132" s="6" t="s">
        <v>236</v>
      </c>
      <c r="S1132" s="6">
        <f t="shared" si="17"/>
        <v>960</v>
      </c>
      <c r="W1132" s="6" t="s">
        <v>236</v>
      </c>
      <c r="X1132" s="6" t="s">
        <v>236</v>
      </c>
      <c r="Y1132" s="6" t="s">
        <v>236</v>
      </c>
      <c r="Z1132" s="6" t="s">
        <v>236</v>
      </c>
      <c r="AA1132" s="6" t="s">
        <v>236</v>
      </c>
    </row>
    <row r="1133" spans="1:27" s="41" customFormat="1">
      <c r="A1133" s="6">
        <v>1131</v>
      </c>
      <c r="B1133" s="40" t="s">
        <v>346</v>
      </c>
      <c r="C1133" s="7">
        <v>46175</v>
      </c>
      <c r="D1133" s="41" t="s">
        <v>226</v>
      </c>
      <c r="E1133" s="6" t="s">
        <v>3911</v>
      </c>
      <c r="F1133" s="41" t="s">
        <v>267</v>
      </c>
      <c r="G1133" s="41">
        <v>2</v>
      </c>
      <c r="H1133" s="98" t="s">
        <v>3951</v>
      </c>
      <c r="I1133" s="98">
        <v>9553833837</v>
      </c>
      <c r="J1133" s="43" t="s">
        <v>3952</v>
      </c>
      <c r="K1133" s="43" t="s">
        <v>3952</v>
      </c>
      <c r="L1133" s="99">
        <v>100</v>
      </c>
      <c r="M1133" s="98">
        <v>100</v>
      </c>
      <c r="N1133" s="7" t="s">
        <v>239</v>
      </c>
      <c r="O1133" s="6" t="s">
        <v>239</v>
      </c>
      <c r="P1133" s="6" t="s">
        <v>239</v>
      </c>
      <c r="Q1133" s="6" t="s">
        <v>236</v>
      </c>
      <c r="S1133" s="6">
        <f t="shared" si="17"/>
        <v>100</v>
      </c>
      <c r="W1133" s="6" t="s">
        <v>236</v>
      </c>
      <c r="X1133" s="6" t="s">
        <v>236</v>
      </c>
      <c r="Y1133" s="6" t="s">
        <v>236</v>
      </c>
      <c r="Z1133" s="6" t="s">
        <v>236</v>
      </c>
      <c r="AA1133" s="6" t="s">
        <v>236</v>
      </c>
    </row>
    <row r="1134" spans="1:27" s="41" customFormat="1">
      <c r="A1134" s="6">
        <v>1132</v>
      </c>
      <c r="B1134" s="40" t="s">
        <v>225</v>
      </c>
      <c r="C1134" s="7">
        <v>46175</v>
      </c>
      <c r="D1134" s="41" t="s">
        <v>226</v>
      </c>
      <c r="E1134" s="6" t="s">
        <v>3911</v>
      </c>
      <c r="F1134" s="41" t="s">
        <v>267</v>
      </c>
      <c r="G1134" s="41">
        <v>2</v>
      </c>
      <c r="H1134" s="98" t="s">
        <v>3953</v>
      </c>
      <c r="I1134" s="98">
        <v>9949739827</v>
      </c>
      <c r="J1134" s="43" t="s">
        <v>3954</v>
      </c>
      <c r="K1134" s="43" t="s">
        <v>3954</v>
      </c>
      <c r="L1134" s="98">
        <v>2190</v>
      </c>
      <c r="M1134" s="98">
        <v>2190</v>
      </c>
      <c r="N1134" s="7" t="s">
        <v>239</v>
      </c>
      <c r="O1134" s="6" t="s">
        <v>239</v>
      </c>
      <c r="P1134" s="6" t="s">
        <v>239</v>
      </c>
      <c r="Q1134" s="6" t="s">
        <v>236</v>
      </c>
      <c r="S1134" s="6">
        <f t="shared" si="17"/>
        <v>2190</v>
      </c>
      <c r="W1134" s="6" t="s">
        <v>236</v>
      </c>
      <c r="X1134" s="6" t="s">
        <v>236</v>
      </c>
      <c r="Y1134" s="6" t="s">
        <v>236</v>
      </c>
      <c r="Z1134" s="6" t="s">
        <v>236</v>
      </c>
      <c r="AA1134" s="6" t="s">
        <v>236</v>
      </c>
    </row>
    <row r="1135" spans="1:27" s="41" customFormat="1">
      <c r="A1135" s="6">
        <v>1133</v>
      </c>
      <c r="B1135" s="40" t="s">
        <v>225</v>
      </c>
      <c r="C1135" s="7">
        <v>46175</v>
      </c>
      <c r="D1135" s="41" t="s">
        <v>226</v>
      </c>
      <c r="E1135" s="6" t="s">
        <v>3911</v>
      </c>
      <c r="F1135" s="41" t="s">
        <v>267</v>
      </c>
      <c r="G1135" s="41">
        <v>2</v>
      </c>
      <c r="H1135" s="98" t="s">
        <v>3955</v>
      </c>
      <c r="I1135" s="98">
        <v>7892819547</v>
      </c>
      <c r="J1135" s="43" t="s">
        <v>3956</v>
      </c>
      <c r="K1135" s="43" t="s">
        <v>3956</v>
      </c>
      <c r="L1135" s="98">
        <v>1650</v>
      </c>
      <c r="M1135" s="98">
        <v>1650</v>
      </c>
      <c r="N1135" s="7" t="s">
        <v>239</v>
      </c>
      <c r="O1135" s="6" t="s">
        <v>239</v>
      </c>
      <c r="P1135" s="6" t="s">
        <v>239</v>
      </c>
      <c r="Q1135" s="6" t="s">
        <v>236</v>
      </c>
      <c r="S1135" s="6">
        <f t="shared" si="17"/>
        <v>1650</v>
      </c>
      <c r="W1135" s="6" t="s">
        <v>236</v>
      </c>
      <c r="X1135" s="6" t="s">
        <v>236</v>
      </c>
      <c r="Y1135" s="6" t="s">
        <v>236</v>
      </c>
      <c r="Z1135" s="6" t="s">
        <v>236</v>
      </c>
      <c r="AA1135" s="6" t="s">
        <v>236</v>
      </c>
    </row>
    <row r="1136" spans="1:27" s="41" customFormat="1">
      <c r="A1136" s="6">
        <v>1134</v>
      </c>
      <c r="B1136" s="40" t="s">
        <v>225</v>
      </c>
      <c r="C1136" s="7">
        <v>46175</v>
      </c>
      <c r="D1136" s="41" t="s">
        <v>226</v>
      </c>
      <c r="E1136" s="6" t="s">
        <v>3911</v>
      </c>
      <c r="F1136" s="41" t="s">
        <v>267</v>
      </c>
      <c r="G1136" s="41">
        <v>2</v>
      </c>
      <c r="H1136" s="98" t="s">
        <v>3957</v>
      </c>
      <c r="I1136" s="98">
        <v>9188734530</v>
      </c>
      <c r="J1136" s="43" t="s">
        <v>3958</v>
      </c>
      <c r="K1136" s="43" t="s">
        <v>3958</v>
      </c>
      <c r="L1136" s="98">
        <v>1729.89</v>
      </c>
      <c r="M1136" s="98">
        <v>1729.89</v>
      </c>
      <c r="N1136" s="7" t="s">
        <v>239</v>
      </c>
      <c r="O1136" s="6" t="s">
        <v>239</v>
      </c>
      <c r="P1136" s="6" t="s">
        <v>239</v>
      </c>
      <c r="Q1136" s="6" t="s">
        <v>236</v>
      </c>
      <c r="S1136" s="6">
        <f t="shared" si="17"/>
        <v>1729.89</v>
      </c>
      <c r="W1136" s="6" t="s">
        <v>236</v>
      </c>
      <c r="X1136" s="6" t="s">
        <v>236</v>
      </c>
      <c r="Y1136" s="6" t="s">
        <v>236</v>
      </c>
      <c r="Z1136" s="6" t="s">
        <v>236</v>
      </c>
      <c r="AA1136" s="6" t="s">
        <v>236</v>
      </c>
    </row>
    <row r="1137" spans="1:27" s="41" customFormat="1">
      <c r="A1137" s="6">
        <v>1135</v>
      </c>
      <c r="B1137" s="40" t="s">
        <v>225</v>
      </c>
      <c r="C1137" s="7">
        <v>46175</v>
      </c>
      <c r="D1137" s="41" t="s">
        <v>226</v>
      </c>
      <c r="E1137" s="6" t="s">
        <v>3911</v>
      </c>
      <c r="F1137" s="41" t="s">
        <v>267</v>
      </c>
      <c r="G1137" s="41">
        <v>2</v>
      </c>
      <c r="H1137" s="98" t="s">
        <v>3959</v>
      </c>
      <c r="I1137" s="98">
        <v>7330819994</v>
      </c>
      <c r="J1137" s="43" t="s">
        <v>3960</v>
      </c>
      <c r="K1137" s="43" t="s">
        <v>3960</v>
      </c>
      <c r="L1137" s="98">
        <v>1652.96</v>
      </c>
      <c r="M1137" s="98">
        <v>1652.96</v>
      </c>
      <c r="N1137" s="7" t="s">
        <v>239</v>
      </c>
      <c r="O1137" s="6" t="s">
        <v>239</v>
      </c>
      <c r="P1137" s="6" t="s">
        <v>239</v>
      </c>
      <c r="Q1137" s="6" t="s">
        <v>236</v>
      </c>
      <c r="S1137" s="6">
        <f t="shared" si="17"/>
        <v>1652.96</v>
      </c>
      <c r="W1137" s="6" t="s">
        <v>236</v>
      </c>
      <c r="X1137" s="6" t="s">
        <v>236</v>
      </c>
      <c r="Y1137" s="6" t="s">
        <v>236</v>
      </c>
      <c r="Z1137" s="6" t="s">
        <v>236</v>
      </c>
      <c r="AA1137" s="6" t="s">
        <v>236</v>
      </c>
    </row>
    <row r="1138" spans="1:27" s="41" customFormat="1">
      <c r="A1138" s="6">
        <v>1136</v>
      </c>
      <c r="B1138" s="40" t="s">
        <v>225</v>
      </c>
      <c r="C1138" s="7">
        <v>46175</v>
      </c>
      <c r="D1138" s="41" t="s">
        <v>226</v>
      </c>
      <c r="E1138" s="6" t="s">
        <v>3911</v>
      </c>
      <c r="F1138" s="41" t="s">
        <v>267</v>
      </c>
      <c r="G1138" s="41">
        <v>2</v>
      </c>
      <c r="H1138" s="98" t="s">
        <v>2988</v>
      </c>
      <c r="I1138" s="98">
        <v>9656812949</v>
      </c>
      <c r="J1138" s="43" t="s">
        <v>2989</v>
      </c>
      <c r="K1138" s="43" t="s">
        <v>2989</v>
      </c>
      <c r="L1138" s="98">
        <v>1760</v>
      </c>
      <c r="M1138" s="98">
        <v>1760</v>
      </c>
      <c r="N1138" s="7" t="s">
        <v>239</v>
      </c>
      <c r="O1138" s="6" t="s">
        <v>239</v>
      </c>
      <c r="P1138" s="6" t="s">
        <v>239</v>
      </c>
      <c r="Q1138" s="6" t="s">
        <v>236</v>
      </c>
      <c r="S1138" s="6">
        <f t="shared" si="17"/>
        <v>1760</v>
      </c>
      <c r="W1138" s="6" t="s">
        <v>236</v>
      </c>
      <c r="X1138" s="6" t="s">
        <v>236</v>
      </c>
      <c r="Y1138" s="6" t="s">
        <v>236</v>
      </c>
      <c r="Z1138" s="6" t="s">
        <v>236</v>
      </c>
      <c r="AA1138" s="6" t="s">
        <v>236</v>
      </c>
    </row>
    <row r="1139" spans="1:27" s="41" customFormat="1">
      <c r="A1139" s="6">
        <v>1137</v>
      </c>
      <c r="B1139" s="40" t="s">
        <v>225</v>
      </c>
      <c r="C1139" s="7">
        <v>46175</v>
      </c>
      <c r="D1139" s="41" t="s">
        <v>226</v>
      </c>
      <c r="E1139" s="6" t="s">
        <v>3911</v>
      </c>
      <c r="F1139" s="41" t="s">
        <v>267</v>
      </c>
      <c r="G1139" s="41">
        <v>2</v>
      </c>
      <c r="H1139" s="98" t="s">
        <v>3961</v>
      </c>
      <c r="I1139" s="98">
        <v>9495814976</v>
      </c>
      <c r="J1139" s="43" t="s">
        <v>3962</v>
      </c>
      <c r="K1139" s="43" t="s">
        <v>3962</v>
      </c>
      <c r="L1139" s="98">
        <v>1690</v>
      </c>
      <c r="M1139" s="98">
        <v>1690</v>
      </c>
      <c r="N1139" s="7" t="s">
        <v>239</v>
      </c>
      <c r="O1139" s="6" t="s">
        <v>239</v>
      </c>
      <c r="P1139" s="6" t="s">
        <v>239</v>
      </c>
      <c r="Q1139" s="6" t="s">
        <v>236</v>
      </c>
      <c r="S1139" s="6">
        <f t="shared" si="17"/>
        <v>1690</v>
      </c>
      <c r="W1139" s="6" t="s">
        <v>236</v>
      </c>
      <c r="X1139" s="6" t="s">
        <v>236</v>
      </c>
      <c r="Y1139" s="6" t="s">
        <v>236</v>
      </c>
      <c r="Z1139" s="6" t="s">
        <v>236</v>
      </c>
      <c r="AA1139" s="6" t="s">
        <v>236</v>
      </c>
    </row>
    <row r="1140" spans="1:27" s="41" customFormat="1">
      <c r="A1140" s="6">
        <v>1138</v>
      </c>
      <c r="B1140" s="40" t="s">
        <v>225</v>
      </c>
      <c r="C1140" s="7">
        <v>46175</v>
      </c>
      <c r="D1140" s="41" t="s">
        <v>226</v>
      </c>
      <c r="E1140" s="6" t="s">
        <v>3911</v>
      </c>
      <c r="F1140" s="41" t="s">
        <v>267</v>
      </c>
      <c r="G1140" s="41">
        <v>2</v>
      </c>
      <c r="H1140" s="98" t="s">
        <v>3963</v>
      </c>
      <c r="I1140" s="98">
        <v>9544012233</v>
      </c>
      <c r="J1140" s="43" t="s">
        <v>3964</v>
      </c>
      <c r="K1140" s="43" t="s">
        <v>3964</v>
      </c>
      <c r="L1140" s="98">
        <v>810</v>
      </c>
      <c r="M1140" s="98">
        <v>810</v>
      </c>
      <c r="N1140" s="7" t="s">
        <v>239</v>
      </c>
      <c r="O1140" s="6" t="s">
        <v>239</v>
      </c>
      <c r="P1140" s="6" t="s">
        <v>239</v>
      </c>
      <c r="Q1140" s="6" t="s">
        <v>236</v>
      </c>
      <c r="S1140" s="6">
        <f t="shared" si="17"/>
        <v>810</v>
      </c>
      <c r="W1140" s="6" t="s">
        <v>236</v>
      </c>
      <c r="X1140" s="6" t="s">
        <v>236</v>
      </c>
      <c r="Y1140" s="6" t="s">
        <v>236</v>
      </c>
      <c r="Z1140" s="6" t="s">
        <v>236</v>
      </c>
      <c r="AA1140" s="6" t="s">
        <v>236</v>
      </c>
    </row>
    <row r="1141" spans="1:27" s="41" customFormat="1">
      <c r="A1141" s="6">
        <v>1139</v>
      </c>
      <c r="B1141" s="40" t="s">
        <v>225</v>
      </c>
      <c r="C1141" s="7">
        <v>46175</v>
      </c>
      <c r="D1141" s="41" t="s">
        <v>226</v>
      </c>
      <c r="E1141" s="6" t="s">
        <v>3911</v>
      </c>
      <c r="F1141" s="41" t="s">
        <v>267</v>
      </c>
      <c r="G1141" s="41">
        <v>2</v>
      </c>
      <c r="H1141" s="98" t="s">
        <v>3965</v>
      </c>
      <c r="I1141" s="98">
        <v>9496689579</v>
      </c>
      <c r="J1141" s="43" t="s">
        <v>3966</v>
      </c>
      <c r="K1141" s="43" t="s">
        <v>3966</v>
      </c>
      <c r="L1141" s="98">
        <v>870</v>
      </c>
      <c r="M1141" s="98">
        <v>870</v>
      </c>
      <c r="N1141" s="7" t="s">
        <v>239</v>
      </c>
      <c r="O1141" s="6" t="s">
        <v>239</v>
      </c>
      <c r="P1141" s="6" t="s">
        <v>239</v>
      </c>
      <c r="Q1141" s="6" t="s">
        <v>236</v>
      </c>
      <c r="S1141" s="6">
        <f t="shared" si="17"/>
        <v>870</v>
      </c>
      <c r="W1141" s="6" t="s">
        <v>236</v>
      </c>
      <c r="X1141" s="6" t="s">
        <v>236</v>
      </c>
      <c r="Y1141" s="6" t="s">
        <v>236</v>
      </c>
      <c r="Z1141" s="6" t="s">
        <v>236</v>
      </c>
      <c r="AA1141" s="6" t="s">
        <v>236</v>
      </c>
    </row>
    <row r="1142" spans="1:27" s="41" customFormat="1">
      <c r="A1142" s="6">
        <v>1140</v>
      </c>
      <c r="B1142" s="40" t="s">
        <v>225</v>
      </c>
      <c r="C1142" s="7">
        <v>46175</v>
      </c>
      <c r="D1142" s="41" t="s">
        <v>226</v>
      </c>
      <c r="E1142" s="6" t="s">
        <v>3911</v>
      </c>
      <c r="F1142" s="41" t="s">
        <v>267</v>
      </c>
      <c r="G1142" s="41">
        <v>2</v>
      </c>
      <c r="H1142" s="98" t="s">
        <v>3967</v>
      </c>
      <c r="I1142" s="98">
        <v>9400002222</v>
      </c>
      <c r="J1142" s="43" t="s">
        <v>3968</v>
      </c>
      <c r="K1142" s="43" t="s">
        <v>3968</v>
      </c>
      <c r="L1142" s="98">
        <v>470</v>
      </c>
      <c r="M1142" s="98">
        <v>470</v>
      </c>
      <c r="N1142" s="7" t="s">
        <v>239</v>
      </c>
      <c r="O1142" s="6" t="s">
        <v>239</v>
      </c>
      <c r="P1142" s="6" t="s">
        <v>239</v>
      </c>
      <c r="Q1142" s="6" t="s">
        <v>236</v>
      </c>
      <c r="S1142" s="6">
        <f t="shared" si="17"/>
        <v>470</v>
      </c>
      <c r="W1142" s="6" t="s">
        <v>236</v>
      </c>
      <c r="X1142" s="6" t="s">
        <v>236</v>
      </c>
      <c r="Y1142" s="6" t="s">
        <v>236</v>
      </c>
      <c r="Z1142" s="6" t="s">
        <v>236</v>
      </c>
      <c r="AA1142" s="6" t="s">
        <v>236</v>
      </c>
    </row>
    <row r="1143" spans="1:27" s="41" customFormat="1">
      <c r="A1143" s="6">
        <v>1141</v>
      </c>
      <c r="B1143" s="40" t="s">
        <v>346</v>
      </c>
      <c r="C1143" s="7">
        <v>46175</v>
      </c>
      <c r="D1143" s="41" t="s">
        <v>226</v>
      </c>
      <c r="E1143" s="6" t="s">
        <v>3911</v>
      </c>
      <c r="F1143" s="41" t="s">
        <v>267</v>
      </c>
      <c r="G1143" s="41">
        <v>2</v>
      </c>
      <c r="H1143" s="98" t="s">
        <v>3969</v>
      </c>
      <c r="I1143" s="98">
        <v>6300657351</v>
      </c>
      <c r="J1143" s="43" t="s">
        <v>3970</v>
      </c>
      <c r="K1143" s="43" t="s">
        <v>3970</v>
      </c>
      <c r="L1143" s="99">
        <v>986</v>
      </c>
      <c r="M1143" s="98">
        <v>986</v>
      </c>
      <c r="N1143" s="7" t="s">
        <v>239</v>
      </c>
      <c r="O1143" s="6" t="s">
        <v>239</v>
      </c>
      <c r="P1143" s="6" t="s">
        <v>239</v>
      </c>
      <c r="Q1143" s="6" t="s">
        <v>236</v>
      </c>
      <c r="S1143" s="6">
        <f t="shared" si="17"/>
        <v>986</v>
      </c>
      <c r="W1143" s="6" t="s">
        <v>236</v>
      </c>
      <c r="X1143" s="6" t="s">
        <v>236</v>
      </c>
      <c r="Y1143" s="6" t="s">
        <v>236</v>
      </c>
      <c r="Z1143" s="6" t="s">
        <v>236</v>
      </c>
      <c r="AA1143" s="6" t="s">
        <v>236</v>
      </c>
    </row>
    <row r="1144" spans="1:27" s="41" customFormat="1">
      <c r="A1144" s="6">
        <v>1142</v>
      </c>
      <c r="B1144" s="40" t="s">
        <v>346</v>
      </c>
      <c r="C1144" s="7">
        <v>46175</v>
      </c>
      <c r="D1144" s="41" t="s">
        <v>226</v>
      </c>
      <c r="E1144" s="6" t="s">
        <v>3911</v>
      </c>
      <c r="F1144" s="41" t="s">
        <v>267</v>
      </c>
      <c r="G1144" s="41">
        <v>2</v>
      </c>
      <c r="H1144" s="98" t="s">
        <v>3971</v>
      </c>
      <c r="I1144" s="98">
        <v>9440356404</v>
      </c>
      <c r="J1144" s="43" t="s">
        <v>3972</v>
      </c>
      <c r="K1144" s="43" t="s">
        <v>3972</v>
      </c>
      <c r="L1144" s="99">
        <v>520</v>
      </c>
      <c r="M1144" s="98">
        <v>520</v>
      </c>
      <c r="N1144" s="7" t="s">
        <v>239</v>
      </c>
      <c r="O1144" s="6" t="s">
        <v>239</v>
      </c>
      <c r="P1144" s="6" t="s">
        <v>239</v>
      </c>
      <c r="Q1144" s="6" t="s">
        <v>236</v>
      </c>
      <c r="S1144" s="6">
        <f t="shared" si="17"/>
        <v>520</v>
      </c>
      <c r="W1144" s="6" t="s">
        <v>236</v>
      </c>
      <c r="X1144" s="6" t="s">
        <v>236</v>
      </c>
      <c r="Y1144" s="6" t="s">
        <v>236</v>
      </c>
      <c r="Z1144" s="6" t="s">
        <v>236</v>
      </c>
      <c r="AA1144" s="6" t="s">
        <v>236</v>
      </c>
    </row>
    <row r="1145" spans="1:27" s="41" customFormat="1">
      <c r="A1145" s="6">
        <v>1143</v>
      </c>
      <c r="B1145" s="40"/>
      <c r="C1145" s="7">
        <v>46175</v>
      </c>
      <c r="D1145" s="41" t="s">
        <v>28</v>
      </c>
      <c r="E1145" s="6" t="s">
        <v>3911</v>
      </c>
      <c r="F1145" s="41" t="s">
        <v>30</v>
      </c>
      <c r="G1145" s="100">
        <v>12</v>
      </c>
      <c r="H1145" s="98" t="s">
        <v>3973</v>
      </c>
      <c r="I1145" s="98" t="s">
        <v>3974</v>
      </c>
      <c r="J1145" s="43" t="s">
        <v>3975</v>
      </c>
      <c r="K1145" s="43" t="s">
        <v>3976</v>
      </c>
      <c r="L1145" s="99">
        <v>30401.43</v>
      </c>
      <c r="M1145" s="98">
        <v>30401.43</v>
      </c>
      <c r="N1145" s="7" t="s">
        <v>35</v>
      </c>
      <c r="O1145" s="6" t="s">
        <v>35</v>
      </c>
      <c r="P1145" s="6" t="s">
        <v>35</v>
      </c>
      <c r="Q1145" s="6" t="s">
        <v>27</v>
      </c>
      <c r="S1145" s="6">
        <f t="shared" si="17"/>
        <v>30401.43</v>
      </c>
      <c r="W1145" s="6" t="s">
        <v>444</v>
      </c>
      <c r="X1145" s="6" t="s">
        <v>444</v>
      </c>
      <c r="Y1145" s="6" t="s">
        <v>3977</v>
      </c>
      <c r="Z1145" s="6" t="s">
        <v>1336</v>
      </c>
      <c r="AA1145" s="6" t="s">
        <v>40</v>
      </c>
    </row>
    <row r="1146" spans="1:27" s="41" customFormat="1">
      <c r="A1146" s="6">
        <v>1144</v>
      </c>
      <c r="B1146" s="40"/>
      <c r="C1146" s="7">
        <v>46175</v>
      </c>
      <c r="D1146" s="41" t="s">
        <v>28</v>
      </c>
      <c r="E1146" s="6" t="s">
        <v>3911</v>
      </c>
      <c r="F1146" s="41" t="s">
        <v>30</v>
      </c>
      <c r="G1146" s="100">
        <v>12</v>
      </c>
      <c r="H1146" s="98" t="s">
        <v>216</v>
      </c>
      <c r="I1146" s="98" t="s">
        <v>1487</v>
      </c>
      <c r="J1146" s="43" t="s">
        <v>217</v>
      </c>
      <c r="K1146" s="43" t="s">
        <v>218</v>
      </c>
      <c r="L1146" s="99">
        <v>22115.4</v>
      </c>
      <c r="M1146" s="98">
        <v>22115.4</v>
      </c>
      <c r="N1146" s="7" t="s">
        <v>35</v>
      </c>
      <c r="O1146" s="6" t="s">
        <v>35</v>
      </c>
      <c r="P1146" s="6" t="s">
        <v>35</v>
      </c>
      <c r="Q1146" s="6" t="s">
        <v>27</v>
      </c>
      <c r="S1146" s="6">
        <f t="shared" si="17"/>
        <v>22115.4</v>
      </c>
      <c r="W1146" s="6" t="s">
        <v>3978</v>
      </c>
      <c r="X1146" s="6" t="s">
        <v>3978</v>
      </c>
      <c r="Y1146" s="6" t="s">
        <v>2713</v>
      </c>
      <c r="Z1146" s="6" t="s">
        <v>1336</v>
      </c>
      <c r="AA1146" s="6" t="s">
        <v>40</v>
      </c>
    </row>
    <row r="1147" spans="1:27" s="41" customFormat="1">
      <c r="A1147" s="6">
        <v>1145</v>
      </c>
      <c r="B1147" s="40"/>
      <c r="C1147" s="7">
        <v>46175</v>
      </c>
      <c r="D1147" s="41" t="s">
        <v>28</v>
      </c>
      <c r="E1147" s="6" t="s">
        <v>3911</v>
      </c>
      <c r="F1147" s="41" t="s">
        <v>30</v>
      </c>
      <c r="G1147" s="100">
        <v>12</v>
      </c>
      <c r="H1147" s="98" t="s">
        <v>3979</v>
      </c>
      <c r="I1147" s="98" t="s">
        <v>3980</v>
      </c>
      <c r="J1147" s="43" t="s">
        <v>3981</v>
      </c>
      <c r="K1147" s="43" t="s">
        <v>3982</v>
      </c>
      <c r="L1147" s="99">
        <v>14968.98</v>
      </c>
      <c r="M1147" s="98">
        <v>14968.98</v>
      </c>
      <c r="N1147" s="7" t="s">
        <v>35</v>
      </c>
      <c r="O1147" s="6" t="s">
        <v>35</v>
      </c>
      <c r="P1147" s="6" t="s">
        <v>35</v>
      </c>
      <c r="Q1147" s="6" t="s">
        <v>27</v>
      </c>
      <c r="S1147" s="6">
        <f t="shared" si="17"/>
        <v>14968.98</v>
      </c>
      <c r="W1147" s="6" t="s">
        <v>55</v>
      </c>
      <c r="X1147" s="6" t="s">
        <v>55</v>
      </c>
      <c r="Y1147" s="6" t="s">
        <v>3983</v>
      </c>
      <c r="Z1147" s="6" t="s">
        <v>1483</v>
      </c>
      <c r="AA1147" s="6" t="s">
        <v>40</v>
      </c>
    </row>
    <row r="1148" spans="1:27" s="41" customFormat="1">
      <c r="A1148" s="6">
        <v>1146</v>
      </c>
      <c r="B1148" s="40"/>
      <c r="C1148" s="7">
        <v>46175</v>
      </c>
      <c r="D1148" s="41" t="s">
        <v>28</v>
      </c>
      <c r="E1148" s="6" t="s">
        <v>3911</v>
      </c>
      <c r="F1148" s="41" t="s">
        <v>30</v>
      </c>
      <c r="G1148" s="100">
        <v>12</v>
      </c>
      <c r="H1148" s="98" t="s">
        <v>3984</v>
      </c>
      <c r="I1148" s="98" t="s">
        <v>3985</v>
      </c>
      <c r="J1148" s="43" t="s">
        <v>3986</v>
      </c>
      <c r="K1148" s="43" t="s">
        <v>3987</v>
      </c>
      <c r="L1148" s="99">
        <v>14947.98</v>
      </c>
      <c r="M1148" s="98">
        <v>14947.98</v>
      </c>
      <c r="N1148" s="7" t="s">
        <v>35</v>
      </c>
      <c r="O1148" s="6" t="s">
        <v>35</v>
      </c>
      <c r="P1148" s="6" t="s">
        <v>35</v>
      </c>
      <c r="Q1148" s="6" t="s">
        <v>27</v>
      </c>
      <c r="S1148" s="6">
        <f t="shared" si="17"/>
        <v>14947.98</v>
      </c>
      <c r="W1148" s="6" t="s">
        <v>117</v>
      </c>
      <c r="X1148" s="6" t="s">
        <v>117</v>
      </c>
      <c r="Y1148" s="6" t="s">
        <v>3988</v>
      </c>
      <c r="Z1148" s="6" t="s">
        <v>235</v>
      </c>
      <c r="AA1148" s="6" t="s">
        <v>40</v>
      </c>
    </row>
    <row r="1149" spans="1:27" s="41" customFormat="1">
      <c r="A1149" s="6">
        <v>1147</v>
      </c>
      <c r="B1149" s="40"/>
      <c r="C1149" s="7">
        <v>46175</v>
      </c>
      <c r="D1149" s="41" t="s">
        <v>28</v>
      </c>
      <c r="E1149" s="6" t="s">
        <v>3911</v>
      </c>
      <c r="F1149" s="41" t="s">
        <v>30</v>
      </c>
      <c r="G1149" s="100">
        <v>12</v>
      </c>
      <c r="H1149" s="98" t="s">
        <v>2785</v>
      </c>
      <c r="I1149" s="98" t="s">
        <v>2786</v>
      </c>
      <c r="J1149" s="43" t="s">
        <v>3989</v>
      </c>
      <c r="K1149" s="43" t="s">
        <v>3990</v>
      </c>
      <c r="L1149" s="99">
        <v>17223.78</v>
      </c>
      <c r="M1149" s="98">
        <v>17223.78</v>
      </c>
      <c r="N1149" s="7" t="s">
        <v>35</v>
      </c>
      <c r="O1149" s="6" t="s">
        <v>35</v>
      </c>
      <c r="P1149" s="6" t="s">
        <v>35</v>
      </c>
      <c r="Q1149" s="6" t="s">
        <v>27</v>
      </c>
      <c r="S1149" s="6">
        <f t="shared" si="17"/>
        <v>17223.78</v>
      </c>
      <c r="W1149" s="6" t="s">
        <v>37</v>
      </c>
      <c r="X1149" s="6" t="s">
        <v>37</v>
      </c>
      <c r="Y1149" s="6" t="s">
        <v>2789</v>
      </c>
      <c r="Z1149" s="6" t="s">
        <v>1646</v>
      </c>
      <c r="AA1149" s="6" t="s">
        <v>40</v>
      </c>
    </row>
    <row r="1150" spans="1:27" s="41" customFormat="1">
      <c r="A1150" s="6">
        <v>1148</v>
      </c>
      <c r="B1150" s="40"/>
      <c r="C1150" s="7">
        <v>46175</v>
      </c>
      <c r="D1150" s="41" t="s">
        <v>28</v>
      </c>
      <c r="E1150" s="6" t="s">
        <v>3911</v>
      </c>
      <c r="F1150" s="41" t="s">
        <v>30</v>
      </c>
      <c r="G1150" s="100">
        <v>12</v>
      </c>
      <c r="H1150" s="98" t="s">
        <v>3991</v>
      </c>
      <c r="I1150" s="98" t="s">
        <v>3992</v>
      </c>
      <c r="J1150" s="43" t="s">
        <v>3993</v>
      </c>
      <c r="K1150" s="43" t="s">
        <v>612</v>
      </c>
      <c r="L1150" s="99">
        <v>13130.34</v>
      </c>
      <c r="M1150" s="98">
        <v>13130.34</v>
      </c>
      <c r="N1150" s="7" t="s">
        <v>35</v>
      </c>
      <c r="O1150" s="6" t="s">
        <v>35</v>
      </c>
      <c r="P1150" s="6" t="s">
        <v>35</v>
      </c>
      <c r="Q1150" s="6" t="s">
        <v>27</v>
      </c>
      <c r="S1150" s="6">
        <f t="shared" si="17"/>
        <v>13130.34</v>
      </c>
      <c r="W1150" s="6" t="s">
        <v>69</v>
      </c>
      <c r="X1150" s="6" t="s">
        <v>69</v>
      </c>
      <c r="Y1150" s="6" t="s">
        <v>3994</v>
      </c>
      <c r="Z1150" s="6" t="s">
        <v>235</v>
      </c>
      <c r="AA1150" s="6" t="s">
        <v>40</v>
      </c>
    </row>
    <row r="1151" spans="1:27" s="41" customFormat="1">
      <c r="A1151" s="6">
        <v>1149</v>
      </c>
      <c r="B1151" s="40"/>
      <c r="C1151" s="7">
        <v>46175</v>
      </c>
      <c r="D1151" s="41" t="s">
        <v>28</v>
      </c>
      <c r="E1151" s="6" t="s">
        <v>3911</v>
      </c>
      <c r="F1151" s="41" t="s">
        <v>30</v>
      </c>
      <c r="G1151" s="100">
        <v>12</v>
      </c>
      <c r="H1151" s="98" t="s">
        <v>3995</v>
      </c>
      <c r="I1151" s="98" t="s">
        <v>3996</v>
      </c>
      <c r="J1151" s="43" t="s">
        <v>3997</v>
      </c>
      <c r="K1151" s="43" t="s">
        <v>3998</v>
      </c>
      <c r="L1151" s="99">
        <v>13624.54</v>
      </c>
      <c r="M1151" s="98">
        <v>13624.54</v>
      </c>
      <c r="N1151" s="7" t="s">
        <v>35</v>
      </c>
      <c r="O1151" s="6" t="s">
        <v>35</v>
      </c>
      <c r="P1151" s="6" t="s">
        <v>35</v>
      </c>
      <c r="Q1151" s="6" t="s">
        <v>27</v>
      </c>
      <c r="S1151" s="6">
        <f t="shared" si="17"/>
        <v>13624.54</v>
      </c>
      <c r="W1151" s="6" t="s">
        <v>3978</v>
      </c>
      <c r="X1151" s="6" t="s">
        <v>3978</v>
      </c>
      <c r="Y1151" s="6" t="s">
        <v>3999</v>
      </c>
      <c r="Z1151" s="6" t="s">
        <v>1555</v>
      </c>
      <c r="AA1151" s="6" t="s">
        <v>40</v>
      </c>
    </row>
    <row r="1152" spans="1:27" s="41" customFormat="1">
      <c r="A1152" s="6">
        <v>1150</v>
      </c>
      <c r="B1152" s="40"/>
      <c r="C1152" s="7">
        <v>46175</v>
      </c>
      <c r="D1152" s="41" t="s">
        <v>28</v>
      </c>
      <c r="E1152" s="6" t="s">
        <v>3911</v>
      </c>
      <c r="F1152" s="41" t="s">
        <v>30</v>
      </c>
      <c r="G1152" s="100">
        <v>12</v>
      </c>
      <c r="H1152" s="98" t="s">
        <v>197</v>
      </c>
      <c r="I1152" s="98" t="s">
        <v>1501</v>
      </c>
      <c r="J1152" s="43" t="s">
        <v>198</v>
      </c>
      <c r="K1152" s="43" t="s">
        <v>199</v>
      </c>
      <c r="L1152" s="99">
        <v>13710.78</v>
      </c>
      <c r="M1152" s="98">
        <v>13710.78</v>
      </c>
      <c r="N1152" s="7" t="s">
        <v>35</v>
      </c>
      <c r="O1152" s="6" t="s">
        <v>35</v>
      </c>
      <c r="P1152" s="6" t="s">
        <v>35</v>
      </c>
      <c r="Q1152" s="6" t="s">
        <v>27</v>
      </c>
      <c r="S1152" s="6">
        <f t="shared" si="17"/>
        <v>13710.78</v>
      </c>
      <c r="W1152" s="6" t="s">
        <v>69</v>
      </c>
      <c r="X1152" s="6" t="s">
        <v>69</v>
      </c>
      <c r="Y1152" s="6" t="s">
        <v>2724</v>
      </c>
      <c r="Z1152" s="6" t="s">
        <v>1577</v>
      </c>
      <c r="AA1152" s="6" t="s">
        <v>40</v>
      </c>
    </row>
    <row r="1153" spans="1:27" s="41" customFormat="1">
      <c r="A1153" s="6">
        <v>1151</v>
      </c>
      <c r="B1153" s="40"/>
      <c r="C1153" s="7">
        <v>46175</v>
      </c>
      <c r="D1153" s="41" t="s">
        <v>28</v>
      </c>
      <c r="E1153" s="6" t="s">
        <v>3911</v>
      </c>
      <c r="F1153" s="41" t="s">
        <v>30</v>
      </c>
      <c r="G1153" s="100">
        <v>12</v>
      </c>
      <c r="H1153" s="98" t="s">
        <v>2725</v>
      </c>
      <c r="I1153" s="98" t="s">
        <v>2726</v>
      </c>
      <c r="J1153" s="43" t="s">
        <v>2727</v>
      </c>
      <c r="K1153" s="43" t="s">
        <v>2728</v>
      </c>
      <c r="L1153" s="99">
        <v>12877.47</v>
      </c>
      <c r="M1153" s="98">
        <v>12877.47</v>
      </c>
      <c r="N1153" s="7" t="s">
        <v>35</v>
      </c>
      <c r="O1153" s="6" t="s">
        <v>35</v>
      </c>
      <c r="P1153" s="6" t="s">
        <v>35</v>
      </c>
      <c r="Q1153" s="6" t="s">
        <v>27</v>
      </c>
      <c r="S1153" s="6">
        <f t="shared" si="17"/>
        <v>12877.47</v>
      </c>
      <c r="W1153" s="6" t="s">
        <v>4000</v>
      </c>
      <c r="X1153" s="6" t="s">
        <v>4000</v>
      </c>
      <c r="Y1153" s="6" t="s">
        <v>2729</v>
      </c>
      <c r="Z1153" s="6" t="s">
        <v>1486</v>
      </c>
      <c r="AA1153" s="6" t="s">
        <v>40</v>
      </c>
    </row>
    <row r="1154" spans="1:27" s="41" customFormat="1">
      <c r="A1154" s="6">
        <v>1152</v>
      </c>
      <c r="B1154" s="40"/>
      <c r="C1154" s="7">
        <v>46175</v>
      </c>
      <c r="D1154" s="41" t="s">
        <v>28</v>
      </c>
      <c r="E1154" s="6" t="s">
        <v>3911</v>
      </c>
      <c r="F1154" s="41" t="s">
        <v>30</v>
      </c>
      <c r="G1154" s="100">
        <v>12</v>
      </c>
      <c r="H1154" s="98" t="s">
        <v>4001</v>
      </c>
      <c r="I1154" s="98" t="s">
        <v>4002</v>
      </c>
      <c r="J1154" s="43" t="s">
        <v>4003</v>
      </c>
      <c r="K1154" s="43" t="s">
        <v>4004</v>
      </c>
      <c r="L1154" s="99">
        <v>9581.49</v>
      </c>
      <c r="M1154" s="98">
        <v>9581.49</v>
      </c>
      <c r="N1154" s="7" t="s">
        <v>35</v>
      </c>
      <c r="O1154" s="6" t="s">
        <v>35</v>
      </c>
      <c r="P1154" s="6" t="s">
        <v>35</v>
      </c>
      <c r="Q1154" s="6" t="s">
        <v>27</v>
      </c>
      <c r="S1154" s="6">
        <f t="shared" si="17"/>
        <v>9581.49</v>
      </c>
      <c r="W1154" s="6" t="s">
        <v>4000</v>
      </c>
      <c r="X1154" s="6" t="s">
        <v>4000</v>
      </c>
      <c r="Y1154" s="6" t="s">
        <v>4005</v>
      </c>
      <c r="Z1154" s="6" t="s">
        <v>1208</v>
      </c>
      <c r="AA1154" s="6" t="s">
        <v>40</v>
      </c>
    </row>
    <row r="1155" spans="1:27" s="41" customFormat="1">
      <c r="A1155" s="6">
        <v>1153</v>
      </c>
      <c r="B1155" s="40"/>
      <c r="C1155" s="7">
        <v>46175</v>
      </c>
      <c r="D1155" s="41" t="s">
        <v>28</v>
      </c>
      <c r="E1155" s="6" t="s">
        <v>3911</v>
      </c>
      <c r="F1155" s="41" t="s">
        <v>30</v>
      </c>
      <c r="G1155" s="100">
        <v>12</v>
      </c>
      <c r="H1155" s="98" t="s">
        <v>4006</v>
      </c>
      <c r="I1155" s="98" t="s">
        <v>4007</v>
      </c>
      <c r="J1155" s="43" t="s">
        <v>4008</v>
      </c>
      <c r="K1155" s="43" t="s">
        <v>4009</v>
      </c>
      <c r="L1155" s="99">
        <v>15011.3</v>
      </c>
      <c r="M1155" s="98">
        <v>15011.3</v>
      </c>
      <c r="N1155" s="7" t="s">
        <v>35</v>
      </c>
      <c r="O1155" s="6" t="s">
        <v>35</v>
      </c>
      <c r="P1155" s="6" t="s">
        <v>35</v>
      </c>
      <c r="Q1155" s="6" t="s">
        <v>27</v>
      </c>
      <c r="S1155" s="6">
        <f t="shared" si="17"/>
        <v>15011.3</v>
      </c>
      <c r="W1155" s="6" t="s">
        <v>117</v>
      </c>
      <c r="X1155" s="6" t="s">
        <v>117</v>
      </c>
      <c r="Y1155" s="6" t="s">
        <v>4010</v>
      </c>
      <c r="Z1155" s="6" t="s">
        <v>234</v>
      </c>
      <c r="AA1155" s="6" t="s">
        <v>40</v>
      </c>
    </row>
    <row r="1156" spans="1:27" s="41" customFormat="1">
      <c r="A1156" s="6">
        <v>1154</v>
      </c>
      <c r="B1156" s="40"/>
      <c r="C1156" s="7">
        <v>46175</v>
      </c>
      <c r="D1156" s="41" t="s">
        <v>28</v>
      </c>
      <c r="E1156" s="6" t="s">
        <v>3911</v>
      </c>
      <c r="F1156" s="41" t="s">
        <v>30</v>
      </c>
      <c r="G1156" s="100">
        <v>12</v>
      </c>
      <c r="H1156" s="98" t="s">
        <v>4011</v>
      </c>
      <c r="I1156" s="98" t="s">
        <v>4012</v>
      </c>
      <c r="J1156" s="43" t="s">
        <v>4013</v>
      </c>
      <c r="K1156" s="43" t="s">
        <v>4014</v>
      </c>
      <c r="L1156" s="99">
        <v>11359.98</v>
      </c>
      <c r="M1156" s="98">
        <v>11359.98</v>
      </c>
      <c r="N1156" s="7" t="s">
        <v>35</v>
      </c>
      <c r="O1156" s="6" t="s">
        <v>35</v>
      </c>
      <c r="P1156" s="6" t="s">
        <v>35</v>
      </c>
      <c r="Q1156" s="6" t="s">
        <v>27</v>
      </c>
      <c r="S1156" s="6">
        <f t="shared" si="17"/>
        <v>11359.98</v>
      </c>
      <c r="W1156" s="6" t="s">
        <v>82</v>
      </c>
      <c r="X1156" s="6" t="s">
        <v>82</v>
      </c>
      <c r="Y1156" s="6" t="s">
        <v>4015</v>
      </c>
      <c r="Z1156" s="6" t="s">
        <v>1577</v>
      </c>
      <c r="AA1156" s="6" t="s">
        <v>40</v>
      </c>
    </row>
    <row r="1157" spans="1:27" s="41" customFormat="1">
      <c r="A1157" s="6">
        <v>1155</v>
      </c>
      <c r="B1157" s="40"/>
      <c r="C1157" s="7">
        <v>46175</v>
      </c>
      <c r="D1157" s="41" t="s">
        <v>28</v>
      </c>
      <c r="E1157" s="6" t="s">
        <v>3911</v>
      </c>
      <c r="F1157" s="41" t="s">
        <v>30</v>
      </c>
      <c r="G1157" s="100">
        <v>12</v>
      </c>
      <c r="H1157" s="98" t="s">
        <v>191</v>
      </c>
      <c r="I1157" s="98" t="s">
        <v>192</v>
      </c>
      <c r="J1157" s="43" t="s">
        <v>193</v>
      </c>
      <c r="K1157" s="43" t="s">
        <v>194</v>
      </c>
      <c r="L1157" s="99">
        <v>10797.43</v>
      </c>
      <c r="M1157" s="98">
        <v>10797.43</v>
      </c>
      <c r="N1157" s="7" t="s">
        <v>35</v>
      </c>
      <c r="O1157" s="6" t="s">
        <v>35</v>
      </c>
      <c r="P1157" s="6" t="s">
        <v>35</v>
      </c>
      <c r="Q1157" s="6" t="s">
        <v>27</v>
      </c>
      <c r="S1157" s="6">
        <f t="shared" si="17"/>
        <v>10797.43</v>
      </c>
      <c r="W1157" s="6" t="s">
        <v>69</v>
      </c>
      <c r="X1157" s="6" t="s">
        <v>69</v>
      </c>
      <c r="Y1157" s="6" t="s">
        <v>4016</v>
      </c>
      <c r="Z1157" s="6" t="s">
        <v>1541</v>
      </c>
      <c r="AA1157" s="6" t="s">
        <v>40</v>
      </c>
    </row>
    <row r="1158" spans="1:27" s="41" customFormat="1">
      <c r="A1158" s="6">
        <v>1156</v>
      </c>
      <c r="B1158" s="40"/>
      <c r="C1158" s="7">
        <v>46175</v>
      </c>
      <c r="D1158" s="41" t="s">
        <v>28</v>
      </c>
      <c r="E1158" s="6" t="s">
        <v>3911</v>
      </c>
      <c r="F1158" s="41" t="s">
        <v>30</v>
      </c>
      <c r="G1158" s="100">
        <v>12</v>
      </c>
      <c r="H1158" s="98" t="s">
        <v>4017</v>
      </c>
      <c r="I1158" s="98" t="s">
        <v>4018</v>
      </c>
      <c r="J1158" s="43" t="s">
        <v>4019</v>
      </c>
      <c r="K1158" s="43" t="s">
        <v>4020</v>
      </c>
      <c r="L1158" s="99">
        <v>9637.8700000000008</v>
      </c>
      <c r="M1158" s="98">
        <v>9637.8700000000008</v>
      </c>
      <c r="N1158" s="7" t="s">
        <v>35</v>
      </c>
      <c r="O1158" s="6" t="s">
        <v>35</v>
      </c>
      <c r="P1158" s="6" t="s">
        <v>35</v>
      </c>
      <c r="Q1158" s="6" t="s">
        <v>27</v>
      </c>
      <c r="S1158" s="6">
        <f t="shared" si="17"/>
        <v>9637.8700000000008</v>
      </c>
      <c r="W1158" s="6" t="s">
        <v>117</v>
      </c>
      <c r="X1158" s="6" t="s">
        <v>117</v>
      </c>
      <c r="Y1158" s="6" t="s">
        <v>4021</v>
      </c>
      <c r="Z1158" s="6" t="s">
        <v>1577</v>
      </c>
      <c r="AA1158" s="6" t="s">
        <v>40</v>
      </c>
    </row>
    <row r="1159" spans="1:27" s="41" customFormat="1">
      <c r="A1159" s="6">
        <v>1157</v>
      </c>
      <c r="B1159" s="40"/>
      <c r="C1159" s="7">
        <v>46175</v>
      </c>
      <c r="D1159" s="41" t="s">
        <v>28</v>
      </c>
      <c r="E1159" s="6" t="s">
        <v>3911</v>
      </c>
      <c r="F1159" s="41" t="s">
        <v>30</v>
      </c>
      <c r="G1159" s="100">
        <v>12</v>
      </c>
      <c r="H1159" s="98" t="s">
        <v>1523</v>
      </c>
      <c r="I1159" s="98" t="s">
        <v>1524</v>
      </c>
      <c r="J1159" s="43" t="s">
        <v>1525</v>
      </c>
      <c r="K1159" s="43" t="s">
        <v>1526</v>
      </c>
      <c r="L1159" s="99">
        <v>12199.34</v>
      </c>
      <c r="M1159" s="98">
        <v>12199.34</v>
      </c>
      <c r="N1159" s="7" t="s">
        <v>35</v>
      </c>
      <c r="O1159" s="6" t="s">
        <v>35</v>
      </c>
      <c r="P1159" s="6" t="s">
        <v>35</v>
      </c>
      <c r="Q1159" s="6" t="s">
        <v>27</v>
      </c>
      <c r="S1159" s="6">
        <f t="shared" si="17"/>
        <v>12199.34</v>
      </c>
      <c r="W1159" s="6" t="s">
        <v>37</v>
      </c>
      <c r="X1159" s="6" t="s">
        <v>37</v>
      </c>
      <c r="Y1159" s="6" t="s">
        <v>2736</v>
      </c>
      <c r="Z1159" s="6" t="s">
        <v>1500</v>
      </c>
      <c r="AA1159" s="6" t="s">
        <v>40</v>
      </c>
    </row>
    <row r="1160" spans="1:27" s="41" customFormat="1">
      <c r="A1160" s="6">
        <v>1158</v>
      </c>
      <c r="B1160" s="40"/>
      <c r="C1160" s="7">
        <v>46175</v>
      </c>
      <c r="D1160" s="41" t="s">
        <v>28</v>
      </c>
      <c r="E1160" s="6" t="s">
        <v>3911</v>
      </c>
      <c r="F1160" s="41" t="s">
        <v>30</v>
      </c>
      <c r="G1160" s="100">
        <v>12</v>
      </c>
      <c r="H1160" s="98" t="s">
        <v>179</v>
      </c>
      <c r="I1160" s="98" t="s">
        <v>180</v>
      </c>
      <c r="J1160" s="43" t="s">
        <v>181</v>
      </c>
      <c r="K1160" s="43" t="s">
        <v>182</v>
      </c>
      <c r="L1160" s="99">
        <v>11469.21</v>
      </c>
      <c r="M1160" s="98">
        <v>11469.21</v>
      </c>
      <c r="N1160" s="7" t="s">
        <v>35</v>
      </c>
      <c r="O1160" s="6" t="s">
        <v>35</v>
      </c>
      <c r="P1160" s="6" t="s">
        <v>35</v>
      </c>
      <c r="Q1160" s="6" t="s">
        <v>27</v>
      </c>
      <c r="S1160" s="6">
        <f t="shared" si="17"/>
        <v>11469.21</v>
      </c>
      <c r="W1160" s="6" t="s">
        <v>55</v>
      </c>
      <c r="X1160" s="6" t="s">
        <v>55</v>
      </c>
      <c r="Y1160" s="6" t="s">
        <v>4022</v>
      </c>
      <c r="Z1160" s="6" t="s">
        <v>1500</v>
      </c>
      <c r="AA1160" s="6" t="s">
        <v>40</v>
      </c>
    </row>
    <row r="1161" spans="1:27" s="41" customFormat="1">
      <c r="A1161" s="6">
        <v>1159</v>
      </c>
      <c r="B1161" s="40"/>
      <c r="C1161" s="7">
        <v>46175</v>
      </c>
      <c r="D1161" s="41" t="s">
        <v>28</v>
      </c>
      <c r="E1161" s="6" t="s">
        <v>3911</v>
      </c>
      <c r="F1161" s="41" t="s">
        <v>30</v>
      </c>
      <c r="G1161" s="100">
        <v>12</v>
      </c>
      <c r="H1161" s="98" t="s">
        <v>4023</v>
      </c>
      <c r="I1161" s="98" t="s">
        <v>4024</v>
      </c>
      <c r="J1161" s="43" t="s">
        <v>4025</v>
      </c>
      <c r="K1161" s="43" t="s">
        <v>4026</v>
      </c>
      <c r="L1161" s="99">
        <v>13133.13</v>
      </c>
      <c r="M1161" s="98">
        <v>13133.13</v>
      </c>
      <c r="N1161" s="7" t="s">
        <v>35</v>
      </c>
      <c r="O1161" s="6" t="s">
        <v>35</v>
      </c>
      <c r="P1161" s="6" t="s">
        <v>35</v>
      </c>
      <c r="Q1161" s="6" t="s">
        <v>27</v>
      </c>
      <c r="S1161" s="6">
        <f t="shared" si="17"/>
        <v>13133.13</v>
      </c>
      <c r="W1161" s="6" t="s">
        <v>55</v>
      </c>
      <c r="X1161" s="6" t="s">
        <v>55</v>
      </c>
      <c r="Y1161" s="6" t="s">
        <v>4027</v>
      </c>
      <c r="Z1161" s="6" t="s">
        <v>235</v>
      </c>
      <c r="AA1161" s="6" t="s">
        <v>40</v>
      </c>
    </row>
    <row r="1162" spans="1:27" s="41" customFormat="1">
      <c r="A1162" s="6">
        <v>1160</v>
      </c>
      <c r="B1162" s="40"/>
      <c r="C1162" s="7">
        <v>46175</v>
      </c>
      <c r="D1162" s="41" t="s">
        <v>28</v>
      </c>
      <c r="E1162" s="6" t="s">
        <v>3911</v>
      </c>
      <c r="F1162" s="41" t="s">
        <v>30</v>
      </c>
      <c r="G1162" s="100">
        <v>12</v>
      </c>
      <c r="H1162" s="98" t="s">
        <v>4028</v>
      </c>
      <c r="I1162" s="98" t="s">
        <v>4029</v>
      </c>
      <c r="J1162" s="43" t="s">
        <v>4030</v>
      </c>
      <c r="K1162" s="43" t="s">
        <v>4031</v>
      </c>
      <c r="L1162" s="99">
        <v>7268.31</v>
      </c>
      <c r="M1162" s="98">
        <v>7268.31</v>
      </c>
      <c r="N1162" s="7" t="s">
        <v>35</v>
      </c>
      <c r="O1162" s="6" t="s">
        <v>35</v>
      </c>
      <c r="P1162" s="6" t="s">
        <v>35</v>
      </c>
      <c r="Q1162" s="6" t="s">
        <v>27</v>
      </c>
      <c r="S1162" s="6">
        <f t="shared" si="17"/>
        <v>7268.31</v>
      </c>
      <c r="W1162" s="6" t="s">
        <v>37</v>
      </c>
      <c r="X1162" s="6" t="s">
        <v>37</v>
      </c>
      <c r="Y1162" s="6" t="s">
        <v>4032</v>
      </c>
      <c r="Z1162" s="6" t="s">
        <v>1336</v>
      </c>
      <c r="AA1162" s="6" t="s">
        <v>40</v>
      </c>
    </row>
    <row r="1163" spans="1:27" s="41" customFormat="1">
      <c r="A1163" s="6">
        <v>1161</v>
      </c>
      <c r="B1163" s="40"/>
      <c r="C1163" s="7">
        <v>46175</v>
      </c>
      <c r="D1163" s="41" t="s">
        <v>28</v>
      </c>
      <c r="E1163" s="6" t="s">
        <v>3911</v>
      </c>
      <c r="F1163" s="41" t="s">
        <v>30</v>
      </c>
      <c r="G1163" s="100">
        <v>12</v>
      </c>
      <c r="H1163" s="98" t="s">
        <v>2760</v>
      </c>
      <c r="I1163" s="98" t="s">
        <v>2761</v>
      </c>
      <c r="J1163" s="43" t="s">
        <v>2762</v>
      </c>
      <c r="K1163" s="43" t="s">
        <v>2763</v>
      </c>
      <c r="L1163" s="99">
        <v>7351.55</v>
      </c>
      <c r="M1163" s="98">
        <v>7351.55</v>
      </c>
      <c r="N1163" s="7" t="s">
        <v>35</v>
      </c>
      <c r="O1163" s="6" t="s">
        <v>35</v>
      </c>
      <c r="P1163" s="6" t="s">
        <v>35</v>
      </c>
      <c r="Q1163" s="6" t="s">
        <v>27</v>
      </c>
      <c r="S1163" s="6">
        <f t="shared" si="17"/>
        <v>7351.55</v>
      </c>
      <c r="W1163" s="6" t="s">
        <v>103</v>
      </c>
      <c r="X1163" s="6" t="s">
        <v>103</v>
      </c>
      <c r="Y1163" s="6" t="s">
        <v>2764</v>
      </c>
      <c r="Z1163" s="6" t="s">
        <v>1577</v>
      </c>
      <c r="AA1163" s="6" t="s">
        <v>40</v>
      </c>
    </row>
    <row r="1164" spans="1:27" s="41" customFormat="1">
      <c r="A1164" s="6">
        <v>1162</v>
      </c>
      <c r="B1164" s="40"/>
      <c r="C1164" s="7">
        <v>46175</v>
      </c>
      <c r="D1164" s="41" t="s">
        <v>28</v>
      </c>
      <c r="E1164" s="6" t="s">
        <v>3911</v>
      </c>
      <c r="F1164" s="41" t="s">
        <v>30</v>
      </c>
      <c r="G1164" s="100">
        <v>12</v>
      </c>
      <c r="H1164" s="98" t="s">
        <v>4033</v>
      </c>
      <c r="I1164" s="98" t="s">
        <v>4034</v>
      </c>
      <c r="J1164" s="43" t="s">
        <v>4035</v>
      </c>
      <c r="K1164" s="43" t="s">
        <v>4036</v>
      </c>
      <c r="L1164" s="99">
        <v>6621.22</v>
      </c>
      <c r="M1164" s="98">
        <v>6621.22</v>
      </c>
      <c r="N1164" s="7" t="s">
        <v>35</v>
      </c>
      <c r="O1164" s="6" t="s">
        <v>35</v>
      </c>
      <c r="P1164" s="6" t="s">
        <v>35</v>
      </c>
      <c r="Q1164" s="6" t="s">
        <v>27</v>
      </c>
      <c r="S1164" s="6">
        <f t="shared" si="17"/>
        <v>6621.22</v>
      </c>
      <c r="W1164" s="6" t="s">
        <v>82</v>
      </c>
      <c r="X1164" s="6" t="s">
        <v>82</v>
      </c>
      <c r="Y1164" s="6" t="s">
        <v>4037</v>
      </c>
      <c r="Z1164" s="6" t="s">
        <v>1577</v>
      </c>
      <c r="AA1164" s="6" t="s">
        <v>40</v>
      </c>
    </row>
    <row r="1165" spans="1:27" s="41" customFormat="1">
      <c r="A1165" s="6">
        <v>1163</v>
      </c>
      <c r="B1165" s="40"/>
      <c r="C1165" s="7">
        <v>46175</v>
      </c>
      <c r="D1165" s="41" t="s">
        <v>28</v>
      </c>
      <c r="E1165" s="6" t="s">
        <v>3911</v>
      </c>
      <c r="F1165" s="41" t="s">
        <v>30</v>
      </c>
      <c r="G1165" s="100">
        <v>12</v>
      </c>
      <c r="H1165" s="98" t="s">
        <v>3991</v>
      </c>
      <c r="I1165" s="98" t="s">
        <v>3992</v>
      </c>
      <c r="J1165" s="43" t="s">
        <v>4038</v>
      </c>
      <c r="K1165" s="43"/>
      <c r="L1165" s="99">
        <v>9599.36</v>
      </c>
      <c r="M1165" s="98">
        <v>9599.36</v>
      </c>
      <c r="N1165" s="7" t="s">
        <v>35</v>
      </c>
      <c r="O1165" s="6" t="s">
        <v>35</v>
      </c>
      <c r="P1165" s="6" t="s">
        <v>35</v>
      </c>
      <c r="Q1165" s="6" t="s">
        <v>27</v>
      </c>
      <c r="S1165" s="6">
        <f t="shared" si="17"/>
        <v>9599.36</v>
      </c>
      <c r="W1165" s="6" t="s">
        <v>103</v>
      </c>
      <c r="X1165" s="6" t="s">
        <v>103</v>
      </c>
      <c r="Y1165" s="6" t="s">
        <v>3994</v>
      </c>
      <c r="Z1165" s="6" t="s">
        <v>235</v>
      </c>
      <c r="AA1165" s="6" t="s">
        <v>40</v>
      </c>
    </row>
    <row r="1166" spans="1:27" s="41" customFormat="1">
      <c r="A1166" s="6">
        <v>1164</v>
      </c>
      <c r="B1166" s="40"/>
      <c r="C1166" s="7">
        <v>46175</v>
      </c>
      <c r="D1166" s="41" t="s">
        <v>28</v>
      </c>
      <c r="E1166" s="6" t="s">
        <v>3911</v>
      </c>
      <c r="F1166" s="41" t="s">
        <v>30</v>
      </c>
      <c r="G1166" s="100">
        <v>12</v>
      </c>
      <c r="H1166" s="98" t="s">
        <v>4039</v>
      </c>
      <c r="I1166" s="98" t="s">
        <v>4040</v>
      </c>
      <c r="J1166" s="43" t="s">
        <v>4041</v>
      </c>
      <c r="K1166" s="43" t="s">
        <v>4042</v>
      </c>
      <c r="L1166" s="99">
        <v>7569.44</v>
      </c>
      <c r="M1166" s="98">
        <v>7569.44</v>
      </c>
      <c r="N1166" s="7" t="s">
        <v>35</v>
      </c>
      <c r="O1166" s="6" t="s">
        <v>35</v>
      </c>
      <c r="P1166" s="6" t="s">
        <v>35</v>
      </c>
      <c r="Q1166" s="6" t="s">
        <v>27</v>
      </c>
      <c r="S1166" s="6">
        <f t="shared" si="17"/>
        <v>7569.44</v>
      </c>
      <c r="W1166" s="6" t="s">
        <v>69</v>
      </c>
      <c r="X1166" s="6" t="s">
        <v>69</v>
      </c>
      <c r="Y1166" s="6" t="s">
        <v>4043</v>
      </c>
      <c r="Z1166" s="6" t="s">
        <v>1555</v>
      </c>
      <c r="AA1166" s="6" t="s">
        <v>40</v>
      </c>
    </row>
    <row r="1167" spans="1:27" s="41" customFormat="1">
      <c r="A1167" s="6">
        <v>1165</v>
      </c>
      <c r="B1167" s="40"/>
      <c r="C1167" s="7">
        <v>46175</v>
      </c>
      <c r="D1167" s="41" t="s">
        <v>28</v>
      </c>
      <c r="E1167" s="6" t="s">
        <v>3911</v>
      </c>
      <c r="F1167" s="41" t="s">
        <v>30</v>
      </c>
      <c r="G1167" s="100">
        <v>12</v>
      </c>
      <c r="H1167" s="98" t="s">
        <v>4044</v>
      </c>
      <c r="I1167" s="98" t="s">
        <v>4045</v>
      </c>
      <c r="J1167" s="43" t="s">
        <v>4046</v>
      </c>
      <c r="K1167" s="43" t="s">
        <v>4047</v>
      </c>
      <c r="L1167" s="99">
        <v>5615.32</v>
      </c>
      <c r="M1167" s="98">
        <v>5615.32</v>
      </c>
      <c r="N1167" s="7" t="s">
        <v>35</v>
      </c>
      <c r="O1167" s="6" t="s">
        <v>35</v>
      </c>
      <c r="P1167" s="6" t="s">
        <v>35</v>
      </c>
      <c r="Q1167" s="6" t="s">
        <v>27</v>
      </c>
      <c r="S1167" s="6">
        <f t="shared" si="17"/>
        <v>5615.32</v>
      </c>
      <c r="W1167" s="6" t="s">
        <v>103</v>
      </c>
      <c r="X1167" s="6" t="s">
        <v>103</v>
      </c>
      <c r="Y1167" s="6" t="s">
        <v>4048</v>
      </c>
      <c r="Z1167" s="6" t="s">
        <v>1555</v>
      </c>
      <c r="AA1167" s="6" t="s">
        <v>40</v>
      </c>
    </row>
    <row r="1168" spans="1:27" s="41" customFormat="1">
      <c r="A1168" s="6">
        <v>1166</v>
      </c>
      <c r="B1168" s="40"/>
      <c r="C1168" s="7">
        <v>46175</v>
      </c>
      <c r="D1168" s="41" t="s">
        <v>28</v>
      </c>
      <c r="E1168" s="6" t="s">
        <v>3911</v>
      </c>
      <c r="F1168" s="41" t="s">
        <v>30</v>
      </c>
      <c r="G1168" s="100">
        <v>12</v>
      </c>
      <c r="H1168" s="98" t="s">
        <v>1572</v>
      </c>
      <c r="I1168" s="98" t="s">
        <v>1573</v>
      </c>
      <c r="J1168" s="43" t="s">
        <v>1574</v>
      </c>
      <c r="K1168" s="43" t="s">
        <v>1575</v>
      </c>
      <c r="L1168" s="99">
        <v>5622.47</v>
      </c>
      <c r="M1168" s="98">
        <v>5622.47</v>
      </c>
      <c r="N1168" s="7" t="s">
        <v>35</v>
      </c>
      <c r="O1168" s="6" t="s">
        <v>35</v>
      </c>
      <c r="P1168" s="6" t="s">
        <v>35</v>
      </c>
      <c r="Q1168" s="6" t="s">
        <v>27</v>
      </c>
      <c r="S1168" s="6">
        <f t="shared" si="17"/>
        <v>5622.47</v>
      </c>
      <c r="W1168" s="6" t="s">
        <v>4049</v>
      </c>
      <c r="X1168" s="6" t="s">
        <v>4049</v>
      </c>
      <c r="Y1168" s="6" t="s">
        <v>2795</v>
      </c>
      <c r="Z1168" s="6" t="s">
        <v>1577</v>
      </c>
      <c r="AA1168" s="6" t="s">
        <v>40</v>
      </c>
    </row>
    <row r="1169" spans="1:27" s="41" customFormat="1">
      <c r="A1169" s="6">
        <v>1167</v>
      </c>
      <c r="B1169" s="40"/>
      <c r="C1169" s="7">
        <v>46175</v>
      </c>
      <c r="D1169" s="41" t="s">
        <v>28</v>
      </c>
      <c r="E1169" s="6" t="s">
        <v>3911</v>
      </c>
      <c r="F1169" s="41" t="s">
        <v>30</v>
      </c>
      <c r="G1169" s="100">
        <v>12</v>
      </c>
      <c r="H1169" s="98" t="s">
        <v>4050</v>
      </c>
      <c r="I1169" s="98" t="s">
        <v>4051</v>
      </c>
      <c r="J1169" s="43" t="s">
        <v>4052</v>
      </c>
      <c r="K1169" s="43" t="s">
        <v>4053</v>
      </c>
      <c r="L1169" s="99">
        <v>5202.29</v>
      </c>
      <c r="M1169" s="98">
        <v>5202.29</v>
      </c>
      <c r="N1169" s="7" t="s">
        <v>35</v>
      </c>
      <c r="O1169" s="6" t="s">
        <v>35</v>
      </c>
      <c r="P1169" s="6" t="s">
        <v>35</v>
      </c>
      <c r="Q1169" s="6" t="s">
        <v>27</v>
      </c>
      <c r="S1169" s="6">
        <f t="shared" si="17"/>
        <v>5202.29</v>
      </c>
      <c r="W1169" s="6" t="s">
        <v>4049</v>
      </c>
      <c r="X1169" s="6" t="s">
        <v>4049</v>
      </c>
      <c r="Y1169" s="6" t="s">
        <v>4054</v>
      </c>
      <c r="Z1169" s="6" t="s">
        <v>1336</v>
      </c>
      <c r="AA1169" s="6" t="s">
        <v>40</v>
      </c>
    </row>
    <row r="1170" spans="1:27" s="41" customFormat="1">
      <c r="A1170" s="6">
        <v>1168</v>
      </c>
      <c r="B1170" s="40"/>
      <c r="C1170" s="7">
        <v>46175</v>
      </c>
      <c r="D1170" s="41" t="s">
        <v>28</v>
      </c>
      <c r="E1170" s="6" t="s">
        <v>3911</v>
      </c>
      <c r="F1170" s="41" t="s">
        <v>30</v>
      </c>
      <c r="G1170" s="100">
        <v>12</v>
      </c>
      <c r="H1170" s="98" t="s">
        <v>1561</v>
      </c>
      <c r="I1170" s="98" t="s">
        <v>1562</v>
      </c>
      <c r="J1170" s="43" t="s">
        <v>1563</v>
      </c>
      <c r="K1170" s="43" t="s">
        <v>1564</v>
      </c>
      <c r="L1170" s="99">
        <v>8521.51</v>
      </c>
      <c r="M1170" s="98">
        <v>8521.51</v>
      </c>
      <c r="N1170" s="7" t="s">
        <v>35</v>
      </c>
      <c r="O1170" s="6" t="s">
        <v>35</v>
      </c>
      <c r="P1170" s="6" t="s">
        <v>35</v>
      </c>
      <c r="Q1170" s="6" t="s">
        <v>27</v>
      </c>
      <c r="S1170" s="6">
        <f t="shared" si="17"/>
        <v>8521.51</v>
      </c>
      <c r="W1170" s="6" t="s">
        <v>4000</v>
      </c>
      <c r="X1170" s="6" t="s">
        <v>4000</v>
      </c>
      <c r="Y1170" s="6" t="s">
        <v>2750</v>
      </c>
      <c r="Z1170" s="6" t="s">
        <v>235</v>
      </c>
      <c r="AA1170" s="6" t="s">
        <v>40</v>
      </c>
    </row>
    <row r="1171" spans="1:27" s="41" customFormat="1">
      <c r="A1171" s="6">
        <v>1169</v>
      </c>
      <c r="B1171" s="40"/>
      <c r="C1171" s="7">
        <v>46175</v>
      </c>
      <c r="D1171" s="41" t="s">
        <v>28</v>
      </c>
      <c r="E1171" s="6" t="s">
        <v>3911</v>
      </c>
      <c r="F1171" s="41" t="s">
        <v>30</v>
      </c>
      <c r="G1171" s="100">
        <v>12</v>
      </c>
      <c r="H1171" s="98" t="s">
        <v>4055</v>
      </c>
      <c r="I1171" s="98" t="s">
        <v>4056</v>
      </c>
      <c r="J1171" s="43" t="s">
        <v>4057</v>
      </c>
      <c r="K1171" s="43" t="s">
        <v>4058</v>
      </c>
      <c r="L1171" s="99">
        <v>7388.02</v>
      </c>
      <c r="M1171" s="98">
        <v>7388.02</v>
      </c>
      <c r="N1171" s="7" t="s">
        <v>35</v>
      </c>
      <c r="O1171" s="6" t="s">
        <v>35</v>
      </c>
      <c r="P1171" s="6" t="s">
        <v>35</v>
      </c>
      <c r="Q1171" s="6" t="s">
        <v>27</v>
      </c>
      <c r="S1171" s="6">
        <f t="shared" si="17"/>
        <v>7388.02</v>
      </c>
      <c r="W1171" s="6" t="s">
        <v>82</v>
      </c>
      <c r="X1171" s="6" t="s">
        <v>82</v>
      </c>
      <c r="Y1171" s="6" t="s">
        <v>4059</v>
      </c>
      <c r="Z1171" s="6" t="s">
        <v>235</v>
      </c>
      <c r="AA1171" s="6" t="s">
        <v>40</v>
      </c>
    </row>
    <row r="1172" spans="1:27" s="41" customFormat="1">
      <c r="A1172" s="6">
        <v>1170</v>
      </c>
      <c r="B1172" s="40"/>
      <c r="C1172" s="7">
        <v>46175</v>
      </c>
      <c r="D1172" s="41" t="s">
        <v>28</v>
      </c>
      <c r="E1172" s="6" t="s">
        <v>3911</v>
      </c>
      <c r="F1172" s="41" t="s">
        <v>30</v>
      </c>
      <c r="G1172" s="100">
        <v>12</v>
      </c>
      <c r="H1172" s="98" t="s">
        <v>2807</v>
      </c>
      <c r="I1172" s="98" t="s">
        <v>2808</v>
      </c>
      <c r="J1172" s="43" t="s">
        <v>4060</v>
      </c>
      <c r="K1172" s="43" t="s">
        <v>4061</v>
      </c>
      <c r="L1172" s="99">
        <v>3774.82</v>
      </c>
      <c r="M1172" s="98">
        <v>3774.82</v>
      </c>
      <c r="N1172" s="7" t="s">
        <v>35</v>
      </c>
      <c r="O1172" s="6" t="s">
        <v>35</v>
      </c>
      <c r="P1172" s="6" t="s">
        <v>35</v>
      </c>
      <c r="Q1172" s="6" t="s">
        <v>27</v>
      </c>
      <c r="S1172" s="6">
        <f t="shared" si="17"/>
        <v>3774.82</v>
      </c>
      <c r="W1172" s="6" t="s">
        <v>55</v>
      </c>
      <c r="X1172" s="6" t="s">
        <v>55</v>
      </c>
      <c r="Y1172" s="6" t="s">
        <v>2810</v>
      </c>
      <c r="Z1172" s="6" t="s">
        <v>1577</v>
      </c>
      <c r="AA1172" s="6" t="s">
        <v>40</v>
      </c>
    </row>
    <row r="1173" spans="1:27" s="41" customFormat="1">
      <c r="A1173" s="6">
        <v>1171</v>
      </c>
      <c r="B1173" s="40"/>
      <c r="C1173" s="7">
        <v>46175</v>
      </c>
      <c r="D1173" s="41" t="s">
        <v>28</v>
      </c>
      <c r="E1173" s="6" t="s">
        <v>3911</v>
      </c>
      <c r="F1173" s="41" t="s">
        <v>30</v>
      </c>
      <c r="G1173" s="100">
        <v>12</v>
      </c>
      <c r="H1173" s="98" t="s">
        <v>4062</v>
      </c>
      <c r="I1173" s="98" t="s">
        <v>4063</v>
      </c>
      <c r="J1173" s="43" t="s">
        <v>4064</v>
      </c>
      <c r="K1173" s="43"/>
      <c r="L1173" s="99">
        <v>4634.03</v>
      </c>
      <c r="M1173" s="98">
        <v>4634.03</v>
      </c>
      <c r="N1173" s="7" t="s">
        <v>35</v>
      </c>
      <c r="O1173" s="6" t="s">
        <v>35</v>
      </c>
      <c r="P1173" s="6" t="s">
        <v>35</v>
      </c>
      <c r="Q1173" s="6" t="s">
        <v>27</v>
      </c>
      <c r="S1173" s="6">
        <f t="shared" si="17"/>
        <v>4634.03</v>
      </c>
      <c r="W1173" s="6" t="s">
        <v>4000</v>
      </c>
      <c r="X1173" s="6" t="s">
        <v>4000</v>
      </c>
      <c r="Y1173" s="6" t="s">
        <v>4065</v>
      </c>
      <c r="Z1173" s="6" t="s">
        <v>1539</v>
      </c>
      <c r="AA1173" s="6" t="s">
        <v>40</v>
      </c>
    </row>
    <row r="1174" spans="1:27" s="41" customFormat="1">
      <c r="A1174" s="6">
        <v>1172</v>
      </c>
      <c r="B1174" s="40"/>
      <c r="C1174" s="7">
        <v>46175</v>
      </c>
      <c r="D1174" s="41" t="s">
        <v>28</v>
      </c>
      <c r="E1174" s="6" t="s">
        <v>3911</v>
      </c>
      <c r="F1174" s="41" t="s">
        <v>30</v>
      </c>
      <c r="G1174" s="100">
        <v>12</v>
      </c>
      <c r="H1174" s="98" t="s">
        <v>2807</v>
      </c>
      <c r="I1174" s="98" t="s">
        <v>2808</v>
      </c>
      <c r="J1174" s="43" t="s">
        <v>2809</v>
      </c>
      <c r="K1174" s="43"/>
      <c r="L1174" s="99">
        <v>4079.18</v>
      </c>
      <c r="M1174" s="98">
        <v>4079.18</v>
      </c>
      <c r="N1174" s="7" t="s">
        <v>35</v>
      </c>
      <c r="O1174" s="6" t="s">
        <v>35</v>
      </c>
      <c r="P1174" s="6" t="s">
        <v>35</v>
      </c>
      <c r="Q1174" s="6" t="s">
        <v>27</v>
      </c>
      <c r="S1174" s="6">
        <f t="shared" ref="S1174:S1228" si="18">M1174-R1174</f>
        <v>4079.18</v>
      </c>
      <c r="W1174" s="6" t="s">
        <v>55</v>
      </c>
      <c r="X1174" s="6" t="s">
        <v>55</v>
      </c>
      <c r="Y1174" s="6" t="s">
        <v>2810</v>
      </c>
      <c r="Z1174" s="6" t="s">
        <v>1577</v>
      </c>
      <c r="AA1174" s="6" t="s">
        <v>40</v>
      </c>
    </row>
    <row r="1175" spans="1:27" s="41" customFormat="1">
      <c r="A1175" s="6">
        <v>1173</v>
      </c>
      <c r="B1175" s="40"/>
      <c r="C1175" s="7">
        <v>46175</v>
      </c>
      <c r="D1175" s="41" t="s">
        <v>28</v>
      </c>
      <c r="E1175" s="6" t="s">
        <v>3911</v>
      </c>
      <c r="F1175" s="41" t="s">
        <v>30</v>
      </c>
      <c r="G1175" s="100">
        <v>12</v>
      </c>
      <c r="H1175" s="98" t="s">
        <v>4066</v>
      </c>
      <c r="I1175" s="98" t="s">
        <v>4067</v>
      </c>
      <c r="J1175" s="43" t="s">
        <v>4068</v>
      </c>
      <c r="K1175" s="43" t="s">
        <v>4069</v>
      </c>
      <c r="L1175" s="99">
        <v>3934.41</v>
      </c>
      <c r="M1175" s="98">
        <v>3934.41</v>
      </c>
      <c r="N1175" s="7" t="s">
        <v>35</v>
      </c>
      <c r="O1175" s="6" t="s">
        <v>35</v>
      </c>
      <c r="P1175" s="6" t="s">
        <v>35</v>
      </c>
      <c r="Q1175" s="6" t="s">
        <v>27</v>
      </c>
      <c r="S1175" s="6">
        <f t="shared" si="18"/>
        <v>3934.41</v>
      </c>
      <c r="W1175" s="6" t="s">
        <v>117</v>
      </c>
      <c r="X1175" s="6" t="s">
        <v>117</v>
      </c>
      <c r="Y1175" s="6" t="s">
        <v>4070</v>
      </c>
      <c r="Z1175" s="6" t="s">
        <v>1555</v>
      </c>
      <c r="AA1175" s="6" t="s">
        <v>40</v>
      </c>
    </row>
    <row r="1176" spans="1:27" s="41" customFormat="1">
      <c r="A1176" s="6">
        <v>1174</v>
      </c>
      <c r="B1176" s="40"/>
      <c r="C1176" s="7">
        <v>46175</v>
      </c>
      <c r="D1176" s="41" t="s">
        <v>28</v>
      </c>
      <c r="E1176" s="6" t="s">
        <v>3911</v>
      </c>
      <c r="F1176" s="41" t="s">
        <v>30</v>
      </c>
      <c r="G1176" s="100">
        <v>12</v>
      </c>
      <c r="H1176" s="98" t="s">
        <v>4071</v>
      </c>
      <c r="I1176" s="98" t="s">
        <v>4072</v>
      </c>
      <c r="J1176" s="43" t="s">
        <v>4073</v>
      </c>
      <c r="K1176" s="43" t="s">
        <v>4074</v>
      </c>
      <c r="L1176" s="99">
        <v>3226.02</v>
      </c>
      <c r="M1176" s="98">
        <v>3226.02</v>
      </c>
      <c r="N1176" s="7" t="s">
        <v>35</v>
      </c>
      <c r="O1176" s="6" t="s">
        <v>35</v>
      </c>
      <c r="P1176" s="6" t="s">
        <v>35</v>
      </c>
      <c r="Q1176" s="6" t="s">
        <v>27</v>
      </c>
      <c r="S1176" s="6">
        <f t="shared" si="18"/>
        <v>3226.02</v>
      </c>
      <c r="W1176" s="6" t="s">
        <v>4049</v>
      </c>
      <c r="X1176" s="6" t="s">
        <v>4049</v>
      </c>
      <c r="Y1176" s="6" t="s">
        <v>4075</v>
      </c>
      <c r="Z1176" s="6" t="s">
        <v>1646</v>
      </c>
      <c r="AA1176" s="6" t="s">
        <v>40</v>
      </c>
    </row>
    <row r="1177" spans="1:27" s="41" customFormat="1">
      <c r="A1177" s="6">
        <v>1175</v>
      </c>
      <c r="B1177" s="40"/>
      <c r="C1177" s="7">
        <v>46175</v>
      </c>
      <c r="D1177" s="41" t="s">
        <v>28</v>
      </c>
      <c r="E1177" s="6" t="s">
        <v>3911</v>
      </c>
      <c r="F1177" s="41" t="s">
        <v>30</v>
      </c>
      <c r="G1177" s="100">
        <v>12</v>
      </c>
      <c r="H1177" s="98" t="s">
        <v>2821</v>
      </c>
      <c r="I1177" s="98" t="s">
        <v>2822</v>
      </c>
      <c r="J1177" s="43" t="s">
        <v>2823</v>
      </c>
      <c r="K1177" s="43"/>
      <c r="L1177" s="99">
        <v>4640.58</v>
      </c>
      <c r="M1177" s="98">
        <v>4640.58</v>
      </c>
      <c r="N1177" s="7" t="s">
        <v>35</v>
      </c>
      <c r="O1177" s="6" t="s">
        <v>35</v>
      </c>
      <c r="P1177" s="6" t="s">
        <v>35</v>
      </c>
      <c r="Q1177" s="6" t="s">
        <v>27</v>
      </c>
      <c r="S1177" s="6">
        <f t="shared" si="18"/>
        <v>4640.58</v>
      </c>
      <c r="W1177" s="6" t="s">
        <v>444</v>
      </c>
      <c r="X1177" s="6" t="s">
        <v>444</v>
      </c>
      <c r="Y1177" s="6" t="s">
        <v>2824</v>
      </c>
      <c r="Z1177" s="6" t="s">
        <v>1336</v>
      </c>
      <c r="AA1177" s="6" t="s">
        <v>40</v>
      </c>
    </row>
    <row r="1178" spans="1:27" s="41" customFormat="1">
      <c r="A1178" s="6">
        <v>1176</v>
      </c>
      <c r="B1178" s="40"/>
      <c r="C1178" s="7">
        <v>46175</v>
      </c>
      <c r="D1178" s="41" t="s">
        <v>28</v>
      </c>
      <c r="E1178" s="6" t="s">
        <v>3911</v>
      </c>
      <c r="F1178" s="41" t="s">
        <v>30</v>
      </c>
      <c r="G1178" s="100">
        <v>12</v>
      </c>
      <c r="H1178" s="98" t="s">
        <v>2816</v>
      </c>
      <c r="I1178" s="98" t="s">
        <v>2817</v>
      </c>
      <c r="J1178" s="43" t="s">
        <v>2818</v>
      </c>
      <c r="K1178" s="43" t="s">
        <v>2819</v>
      </c>
      <c r="L1178" s="99">
        <v>4749.5600000000004</v>
      </c>
      <c r="M1178" s="98">
        <v>4749.5600000000004</v>
      </c>
      <c r="N1178" s="7" t="s">
        <v>35</v>
      </c>
      <c r="O1178" s="6" t="s">
        <v>35</v>
      </c>
      <c r="P1178" s="6" t="s">
        <v>35</v>
      </c>
      <c r="Q1178" s="6" t="s">
        <v>27</v>
      </c>
      <c r="S1178" s="6">
        <f t="shared" si="18"/>
        <v>4749.5600000000004</v>
      </c>
      <c r="W1178" s="6" t="s">
        <v>4000</v>
      </c>
      <c r="X1178" s="6" t="s">
        <v>4000</v>
      </c>
      <c r="Y1178" s="6" t="s">
        <v>2820</v>
      </c>
      <c r="Z1178" s="6" t="s">
        <v>1349</v>
      </c>
      <c r="AA1178" s="6" t="s">
        <v>40</v>
      </c>
    </row>
    <row r="1179" spans="1:27" s="41" customFormat="1">
      <c r="A1179" s="6">
        <v>1177</v>
      </c>
      <c r="B1179" s="40"/>
      <c r="C1179" s="7">
        <v>46175</v>
      </c>
      <c r="D1179" s="41" t="s">
        <v>28</v>
      </c>
      <c r="E1179" s="6" t="s">
        <v>3911</v>
      </c>
      <c r="F1179" s="41" t="s">
        <v>30</v>
      </c>
      <c r="G1179" s="100">
        <v>12</v>
      </c>
      <c r="H1179" s="98" t="s">
        <v>4076</v>
      </c>
      <c r="I1179" s="98" t="s">
        <v>4077</v>
      </c>
      <c r="J1179" s="43" t="s">
        <v>4078</v>
      </c>
      <c r="K1179" s="43" t="s">
        <v>4079</v>
      </c>
      <c r="L1179" s="99">
        <v>3126.45</v>
      </c>
      <c r="M1179" s="98">
        <v>3126.45</v>
      </c>
      <c r="N1179" s="7" t="s">
        <v>35</v>
      </c>
      <c r="O1179" s="6" t="s">
        <v>35</v>
      </c>
      <c r="P1179" s="6" t="s">
        <v>35</v>
      </c>
      <c r="Q1179" s="6" t="s">
        <v>27</v>
      </c>
      <c r="S1179" s="6">
        <f t="shared" si="18"/>
        <v>3126.45</v>
      </c>
      <c r="W1179" s="6" t="s">
        <v>82</v>
      </c>
      <c r="X1179" s="6" t="s">
        <v>82</v>
      </c>
      <c r="Y1179" s="6" t="s">
        <v>4080</v>
      </c>
      <c r="Z1179" s="6" t="s">
        <v>1577</v>
      </c>
      <c r="AA1179" s="6" t="s">
        <v>40</v>
      </c>
    </row>
    <row r="1180" spans="1:27" s="41" customFormat="1">
      <c r="A1180" s="6">
        <v>1178</v>
      </c>
      <c r="B1180" s="40"/>
      <c r="C1180" s="7">
        <v>46175</v>
      </c>
      <c r="D1180" s="41" t="s">
        <v>28</v>
      </c>
      <c r="E1180" s="6" t="s">
        <v>3911</v>
      </c>
      <c r="F1180" s="41" t="s">
        <v>30</v>
      </c>
      <c r="G1180" s="100">
        <v>12</v>
      </c>
      <c r="H1180" s="98" t="s">
        <v>4081</v>
      </c>
      <c r="I1180" s="98" t="s">
        <v>4082</v>
      </c>
      <c r="J1180" s="43" t="s">
        <v>4083</v>
      </c>
      <c r="K1180" s="43" t="s">
        <v>4084</v>
      </c>
      <c r="L1180" s="99">
        <v>3178.84</v>
      </c>
      <c r="M1180" s="98">
        <v>3178.84</v>
      </c>
      <c r="N1180" s="7" t="s">
        <v>35</v>
      </c>
      <c r="O1180" s="6" t="s">
        <v>35</v>
      </c>
      <c r="P1180" s="6" t="s">
        <v>35</v>
      </c>
      <c r="Q1180" s="6" t="s">
        <v>27</v>
      </c>
      <c r="S1180" s="6">
        <f t="shared" si="18"/>
        <v>3178.84</v>
      </c>
      <c r="W1180" s="6" t="s">
        <v>444</v>
      </c>
      <c r="X1180" s="6" t="s">
        <v>444</v>
      </c>
      <c r="Y1180" s="6" t="s">
        <v>4085</v>
      </c>
      <c r="Z1180" s="6" t="s">
        <v>1577</v>
      </c>
      <c r="AA1180" s="6" t="s">
        <v>40</v>
      </c>
    </row>
    <row r="1181" spans="1:27" s="41" customFormat="1">
      <c r="A1181" s="6">
        <v>1179</v>
      </c>
      <c r="B1181" s="40"/>
      <c r="C1181" s="7">
        <v>46175</v>
      </c>
      <c r="D1181" s="41" t="s">
        <v>28</v>
      </c>
      <c r="E1181" s="6" t="s">
        <v>3911</v>
      </c>
      <c r="F1181" s="41" t="s">
        <v>30</v>
      </c>
      <c r="G1181" s="100">
        <v>12</v>
      </c>
      <c r="H1181" s="98" t="s">
        <v>4086</v>
      </c>
      <c r="I1181" s="98" t="s">
        <v>4087</v>
      </c>
      <c r="J1181" s="43" t="s">
        <v>4088</v>
      </c>
      <c r="K1181" s="43" t="s">
        <v>4089</v>
      </c>
      <c r="L1181" s="99">
        <v>3223.7</v>
      </c>
      <c r="M1181" s="98">
        <v>3223.7</v>
      </c>
      <c r="N1181" s="7" t="s">
        <v>35</v>
      </c>
      <c r="O1181" s="6" t="s">
        <v>35</v>
      </c>
      <c r="P1181" s="6" t="s">
        <v>35</v>
      </c>
      <c r="Q1181" s="6" t="s">
        <v>27</v>
      </c>
      <c r="S1181" s="6">
        <f t="shared" si="18"/>
        <v>3223.7</v>
      </c>
      <c r="W1181" s="6" t="s">
        <v>3978</v>
      </c>
      <c r="X1181" s="6" t="s">
        <v>3978</v>
      </c>
      <c r="Y1181" s="6" t="s">
        <v>4090</v>
      </c>
      <c r="Z1181" s="6" t="s">
        <v>1555</v>
      </c>
      <c r="AA1181" s="6" t="s">
        <v>40</v>
      </c>
    </row>
    <row r="1182" spans="1:27" s="41" customFormat="1">
      <c r="A1182" s="6">
        <v>1180</v>
      </c>
      <c r="B1182" s="40"/>
      <c r="C1182" s="7">
        <v>46175</v>
      </c>
      <c r="D1182" s="41" t="s">
        <v>28</v>
      </c>
      <c r="E1182" s="6" t="s">
        <v>3911</v>
      </c>
      <c r="F1182" s="41" t="s">
        <v>30</v>
      </c>
      <c r="G1182" s="100">
        <v>12</v>
      </c>
      <c r="H1182" s="98" t="s">
        <v>4091</v>
      </c>
      <c r="I1182" s="98" t="s">
        <v>4092</v>
      </c>
      <c r="J1182" s="43" t="s">
        <v>4093</v>
      </c>
      <c r="K1182" s="43"/>
      <c r="L1182" s="99">
        <v>4265</v>
      </c>
      <c r="M1182" s="98">
        <v>4265</v>
      </c>
      <c r="N1182" s="7" t="s">
        <v>35</v>
      </c>
      <c r="O1182" s="6" t="s">
        <v>35</v>
      </c>
      <c r="P1182" s="6" t="s">
        <v>35</v>
      </c>
      <c r="Q1182" s="6" t="s">
        <v>27</v>
      </c>
      <c r="S1182" s="6">
        <f t="shared" si="18"/>
        <v>4265</v>
      </c>
      <c r="W1182" s="6" t="s">
        <v>444</v>
      </c>
      <c r="X1182" s="6" t="s">
        <v>444</v>
      </c>
      <c r="Y1182" s="6" t="s">
        <v>4094</v>
      </c>
      <c r="Z1182" s="6" t="s">
        <v>1483</v>
      </c>
      <c r="AA1182" s="6" t="s">
        <v>40</v>
      </c>
    </row>
    <row r="1183" spans="1:27" s="41" customFormat="1">
      <c r="A1183" s="6">
        <v>1181</v>
      </c>
      <c r="B1183" s="40"/>
      <c r="C1183" s="7">
        <v>46175</v>
      </c>
      <c r="D1183" s="41" t="s">
        <v>28</v>
      </c>
      <c r="E1183" s="6" t="s">
        <v>3911</v>
      </c>
      <c r="F1183" s="41" t="s">
        <v>30</v>
      </c>
      <c r="G1183" s="100">
        <v>12</v>
      </c>
      <c r="H1183" s="98" t="s">
        <v>4095</v>
      </c>
      <c r="I1183" s="98" t="s">
        <v>4096</v>
      </c>
      <c r="J1183" s="43" t="s">
        <v>4097</v>
      </c>
      <c r="K1183" s="43" t="s">
        <v>4036</v>
      </c>
      <c r="L1183" s="99">
        <v>6760.78</v>
      </c>
      <c r="M1183" s="98">
        <v>6760.78</v>
      </c>
      <c r="N1183" s="7" t="s">
        <v>35</v>
      </c>
      <c r="O1183" s="6" t="s">
        <v>35</v>
      </c>
      <c r="P1183" s="6" t="s">
        <v>35</v>
      </c>
      <c r="Q1183" s="6" t="s">
        <v>27</v>
      </c>
      <c r="S1183" s="6">
        <f t="shared" si="18"/>
        <v>6760.78</v>
      </c>
      <c r="W1183" s="6" t="s">
        <v>103</v>
      </c>
      <c r="X1183" s="6" t="s">
        <v>103</v>
      </c>
      <c r="Y1183" s="6" t="s">
        <v>4098</v>
      </c>
      <c r="Z1183" s="6" t="s">
        <v>234</v>
      </c>
      <c r="AA1183" s="6" t="s">
        <v>40</v>
      </c>
    </row>
    <row r="1184" spans="1:27" s="41" customFormat="1">
      <c r="A1184" s="6">
        <v>1182</v>
      </c>
      <c r="B1184" s="40"/>
      <c r="C1184" s="7">
        <v>46175</v>
      </c>
      <c r="D1184" s="41" t="s">
        <v>28</v>
      </c>
      <c r="E1184" s="6" t="s">
        <v>3911</v>
      </c>
      <c r="F1184" s="41" t="s">
        <v>30</v>
      </c>
      <c r="G1184" s="100">
        <v>12</v>
      </c>
      <c r="H1184" s="98" t="s">
        <v>4099</v>
      </c>
      <c r="I1184" s="98" t="s">
        <v>4100</v>
      </c>
      <c r="J1184" s="43" t="s">
        <v>4101</v>
      </c>
      <c r="K1184" s="43" t="s">
        <v>4102</v>
      </c>
      <c r="L1184" s="99">
        <v>2795.6</v>
      </c>
      <c r="M1184" s="98">
        <v>2795.6</v>
      </c>
      <c r="N1184" s="7" t="s">
        <v>35</v>
      </c>
      <c r="O1184" s="6" t="s">
        <v>35</v>
      </c>
      <c r="P1184" s="6" t="s">
        <v>35</v>
      </c>
      <c r="Q1184" s="6" t="s">
        <v>27</v>
      </c>
      <c r="S1184" s="6">
        <f t="shared" si="18"/>
        <v>2795.6</v>
      </c>
      <c r="W1184" s="6" t="s">
        <v>117</v>
      </c>
      <c r="X1184" s="6" t="s">
        <v>117</v>
      </c>
      <c r="Y1184" s="6" t="s">
        <v>4103</v>
      </c>
      <c r="Z1184" s="6" t="s">
        <v>1577</v>
      </c>
      <c r="AA1184" s="6" t="s">
        <v>40</v>
      </c>
    </row>
    <row r="1185" spans="1:27" s="41" customFormat="1">
      <c r="A1185" s="6">
        <v>1183</v>
      </c>
      <c r="B1185" s="40"/>
      <c r="C1185" s="7">
        <v>46175</v>
      </c>
      <c r="D1185" s="41" t="s">
        <v>28</v>
      </c>
      <c r="E1185" s="6" t="s">
        <v>3911</v>
      </c>
      <c r="F1185" s="41" t="s">
        <v>30</v>
      </c>
      <c r="G1185" s="100">
        <v>12</v>
      </c>
      <c r="H1185" s="98" t="s">
        <v>133</v>
      </c>
      <c r="I1185" s="98" t="s">
        <v>134</v>
      </c>
      <c r="J1185" s="43" t="s">
        <v>135</v>
      </c>
      <c r="K1185" s="43" t="s">
        <v>136</v>
      </c>
      <c r="L1185" s="99">
        <v>3323.56</v>
      </c>
      <c r="M1185" s="98">
        <v>3323.56</v>
      </c>
      <c r="N1185" s="7" t="s">
        <v>35</v>
      </c>
      <c r="O1185" s="6" t="s">
        <v>35</v>
      </c>
      <c r="P1185" s="6" t="s">
        <v>35</v>
      </c>
      <c r="Q1185" s="6" t="s">
        <v>27</v>
      </c>
      <c r="S1185" s="6">
        <f t="shared" si="18"/>
        <v>3323.56</v>
      </c>
      <c r="W1185" s="6" t="s">
        <v>3978</v>
      </c>
      <c r="X1185" s="6" t="s">
        <v>3978</v>
      </c>
      <c r="Y1185" s="6" t="s">
        <v>4104</v>
      </c>
      <c r="Z1185" s="6" t="s">
        <v>1500</v>
      </c>
      <c r="AA1185" s="6" t="s">
        <v>40</v>
      </c>
    </row>
    <row r="1186" spans="1:27" s="41" customFormat="1">
      <c r="A1186" s="6">
        <v>1184</v>
      </c>
      <c r="B1186" s="40"/>
      <c r="C1186" s="7">
        <v>46175</v>
      </c>
      <c r="D1186" s="41" t="s">
        <v>28</v>
      </c>
      <c r="E1186" s="6" t="s">
        <v>3911</v>
      </c>
      <c r="F1186" s="41" t="s">
        <v>30</v>
      </c>
      <c r="G1186" s="100">
        <v>12</v>
      </c>
      <c r="H1186" s="98" t="s">
        <v>4105</v>
      </c>
      <c r="I1186" s="98" t="s">
        <v>4106</v>
      </c>
      <c r="J1186" s="43" t="s">
        <v>4107</v>
      </c>
      <c r="K1186" s="43" t="s">
        <v>4108</v>
      </c>
      <c r="L1186" s="99">
        <v>3841.21</v>
      </c>
      <c r="M1186" s="98">
        <v>3841.21</v>
      </c>
      <c r="N1186" s="7" t="s">
        <v>35</v>
      </c>
      <c r="O1186" s="6" t="s">
        <v>35</v>
      </c>
      <c r="P1186" s="6" t="s">
        <v>35</v>
      </c>
      <c r="Q1186" s="6" t="s">
        <v>27</v>
      </c>
      <c r="S1186" s="6">
        <f t="shared" si="18"/>
        <v>3841.21</v>
      </c>
      <c r="W1186" s="6" t="s">
        <v>410</v>
      </c>
      <c r="X1186" s="6" t="s">
        <v>410</v>
      </c>
      <c r="Y1186" s="6" t="s">
        <v>4109</v>
      </c>
      <c r="Z1186" s="6" t="s">
        <v>1483</v>
      </c>
      <c r="AA1186" s="6" t="s">
        <v>40</v>
      </c>
    </row>
    <row r="1187" spans="1:27" s="41" customFormat="1">
      <c r="A1187" s="6">
        <v>1185</v>
      </c>
      <c r="B1187" s="40"/>
      <c r="C1187" s="7">
        <v>46175</v>
      </c>
      <c r="D1187" s="41" t="s">
        <v>28</v>
      </c>
      <c r="E1187" s="6" t="s">
        <v>3911</v>
      </c>
      <c r="F1187" s="41" t="s">
        <v>30</v>
      </c>
      <c r="G1187" s="100">
        <v>12</v>
      </c>
      <c r="H1187" s="98" t="s">
        <v>1607</v>
      </c>
      <c r="I1187" s="98" t="s">
        <v>1608</v>
      </c>
      <c r="J1187" s="43" t="s">
        <v>1609</v>
      </c>
      <c r="K1187" s="43" t="s">
        <v>1610</v>
      </c>
      <c r="L1187" s="99">
        <v>4158.3</v>
      </c>
      <c r="M1187" s="98">
        <v>4158.3</v>
      </c>
      <c r="N1187" s="7" t="s">
        <v>35</v>
      </c>
      <c r="O1187" s="6" t="s">
        <v>35</v>
      </c>
      <c r="P1187" s="6" t="s">
        <v>35</v>
      </c>
      <c r="Q1187" s="6" t="s">
        <v>27</v>
      </c>
      <c r="S1187" s="6">
        <f t="shared" si="18"/>
        <v>4158.3</v>
      </c>
      <c r="W1187" s="6" t="s">
        <v>82</v>
      </c>
      <c r="X1187" s="6" t="s">
        <v>82</v>
      </c>
      <c r="Y1187" s="6" t="s">
        <v>2856</v>
      </c>
      <c r="Z1187" s="6" t="s">
        <v>1577</v>
      </c>
      <c r="AA1187" s="6" t="s">
        <v>40</v>
      </c>
    </row>
    <row r="1188" spans="1:27" s="41" customFormat="1">
      <c r="A1188" s="6">
        <v>1186</v>
      </c>
      <c r="B1188" s="40"/>
      <c r="C1188" s="7">
        <v>46175</v>
      </c>
      <c r="D1188" s="41" t="s">
        <v>28</v>
      </c>
      <c r="E1188" s="6" t="s">
        <v>3911</v>
      </c>
      <c r="F1188" s="41" t="s">
        <v>30</v>
      </c>
      <c r="G1188" s="100">
        <v>12</v>
      </c>
      <c r="H1188" s="98" t="s">
        <v>4110</v>
      </c>
      <c r="I1188" s="98" t="s">
        <v>4111</v>
      </c>
      <c r="J1188" s="43" t="s">
        <v>4112</v>
      </c>
      <c r="K1188" s="43" t="s">
        <v>4113</v>
      </c>
      <c r="L1188" s="99">
        <v>2476.0500000000002</v>
      </c>
      <c r="M1188" s="98">
        <v>2476.0500000000002</v>
      </c>
      <c r="N1188" s="7" t="s">
        <v>35</v>
      </c>
      <c r="O1188" s="6" t="s">
        <v>35</v>
      </c>
      <c r="P1188" s="6" t="s">
        <v>35</v>
      </c>
      <c r="Q1188" s="6" t="s">
        <v>27</v>
      </c>
      <c r="S1188" s="6">
        <f t="shared" si="18"/>
        <v>2476.0500000000002</v>
      </c>
      <c r="W1188" s="6" t="s">
        <v>37</v>
      </c>
      <c r="X1188" s="6" t="s">
        <v>37</v>
      </c>
      <c r="Y1188" s="6" t="s">
        <v>4114</v>
      </c>
      <c r="Z1188" s="6" t="s">
        <v>1577</v>
      </c>
      <c r="AA1188" s="6" t="s">
        <v>40</v>
      </c>
    </row>
    <row r="1189" spans="1:27" s="41" customFormat="1">
      <c r="A1189" s="6">
        <v>1187</v>
      </c>
      <c r="B1189" s="40"/>
      <c r="C1189" s="7">
        <v>46175</v>
      </c>
      <c r="D1189" s="41" t="s">
        <v>28</v>
      </c>
      <c r="E1189" s="6" t="s">
        <v>3911</v>
      </c>
      <c r="F1189" s="41" t="s">
        <v>30</v>
      </c>
      <c r="G1189" s="100">
        <v>12</v>
      </c>
      <c r="H1189" s="98" t="s">
        <v>4115</v>
      </c>
      <c r="I1189" s="98" t="s">
        <v>4116</v>
      </c>
      <c r="J1189" s="43" t="s">
        <v>4117</v>
      </c>
      <c r="K1189" s="43"/>
      <c r="L1189" s="99">
        <v>4040.6</v>
      </c>
      <c r="M1189" s="98">
        <v>4040.6</v>
      </c>
      <c r="N1189" s="7" t="s">
        <v>35</v>
      </c>
      <c r="O1189" s="6" t="s">
        <v>35</v>
      </c>
      <c r="P1189" s="6" t="s">
        <v>35</v>
      </c>
      <c r="Q1189" s="6" t="s">
        <v>27</v>
      </c>
      <c r="S1189" s="6">
        <f t="shared" si="18"/>
        <v>4040.6</v>
      </c>
      <c r="W1189" s="6" t="s">
        <v>55</v>
      </c>
      <c r="X1189" s="6" t="s">
        <v>55</v>
      </c>
      <c r="Y1189" s="6" t="s">
        <v>4118</v>
      </c>
      <c r="Z1189" s="6" t="s">
        <v>1349</v>
      </c>
      <c r="AA1189" s="6" t="s">
        <v>40</v>
      </c>
    </row>
    <row r="1190" spans="1:27" s="41" customFormat="1">
      <c r="A1190" s="6">
        <v>1188</v>
      </c>
      <c r="B1190" s="40"/>
      <c r="C1190" s="7">
        <v>46175</v>
      </c>
      <c r="D1190" s="41" t="s">
        <v>28</v>
      </c>
      <c r="E1190" s="6" t="s">
        <v>3911</v>
      </c>
      <c r="F1190" s="41" t="s">
        <v>30</v>
      </c>
      <c r="G1190" s="100">
        <v>12</v>
      </c>
      <c r="H1190" s="98" t="s">
        <v>4119</v>
      </c>
      <c r="I1190" s="98" t="s">
        <v>4120</v>
      </c>
      <c r="J1190" s="43" t="s">
        <v>4121</v>
      </c>
      <c r="K1190" s="43"/>
      <c r="L1190" s="99">
        <v>3192.96</v>
      </c>
      <c r="M1190" s="98">
        <v>3192.96</v>
      </c>
      <c r="N1190" s="7" t="s">
        <v>35</v>
      </c>
      <c r="O1190" s="6" t="s">
        <v>35</v>
      </c>
      <c r="P1190" s="6" t="s">
        <v>35</v>
      </c>
      <c r="Q1190" s="6" t="s">
        <v>27</v>
      </c>
      <c r="S1190" s="6">
        <f t="shared" si="18"/>
        <v>3192.96</v>
      </c>
      <c r="W1190" s="6" t="s">
        <v>117</v>
      </c>
      <c r="X1190" s="6" t="s">
        <v>117</v>
      </c>
      <c r="Y1190" s="6" t="s">
        <v>4122</v>
      </c>
      <c r="Z1190" s="6" t="s">
        <v>1500</v>
      </c>
      <c r="AA1190" s="6" t="s">
        <v>40</v>
      </c>
    </row>
    <row r="1191" spans="1:27" s="41" customFormat="1">
      <c r="A1191" s="6">
        <v>1189</v>
      </c>
      <c r="B1191" s="40"/>
      <c r="C1191" s="7">
        <v>46175</v>
      </c>
      <c r="D1191" s="41" t="s">
        <v>28</v>
      </c>
      <c r="E1191" s="6" t="s">
        <v>3911</v>
      </c>
      <c r="F1191" s="41" t="s">
        <v>30</v>
      </c>
      <c r="G1191" s="100">
        <v>12</v>
      </c>
      <c r="H1191" s="98" t="s">
        <v>2882</v>
      </c>
      <c r="I1191" s="98" t="s">
        <v>2883</v>
      </c>
      <c r="J1191" s="43" t="s">
        <v>2884</v>
      </c>
      <c r="K1191" s="43" t="s">
        <v>2885</v>
      </c>
      <c r="L1191" s="99">
        <v>2935.5</v>
      </c>
      <c r="M1191" s="98">
        <v>2935.5</v>
      </c>
      <c r="N1191" s="7" t="s">
        <v>35</v>
      </c>
      <c r="O1191" s="6" t="s">
        <v>35</v>
      </c>
      <c r="P1191" s="6" t="s">
        <v>35</v>
      </c>
      <c r="Q1191" s="6" t="s">
        <v>27</v>
      </c>
      <c r="S1191" s="6">
        <f t="shared" si="18"/>
        <v>2935.5</v>
      </c>
      <c r="W1191" s="6" t="s">
        <v>4049</v>
      </c>
      <c r="X1191" s="6" t="s">
        <v>4049</v>
      </c>
      <c r="Y1191" s="6" t="s">
        <v>2886</v>
      </c>
      <c r="Z1191" s="6" t="s">
        <v>1349</v>
      </c>
      <c r="AA1191" s="6" t="s">
        <v>40</v>
      </c>
    </row>
    <row r="1192" spans="1:27" s="41" customFormat="1">
      <c r="A1192" s="6">
        <v>1190</v>
      </c>
      <c r="B1192" s="40"/>
      <c r="C1192" s="7">
        <v>46175</v>
      </c>
      <c r="D1192" s="41" t="s">
        <v>28</v>
      </c>
      <c r="E1192" s="6" t="s">
        <v>3911</v>
      </c>
      <c r="F1192" s="41" t="s">
        <v>30</v>
      </c>
      <c r="G1192" s="100">
        <v>12</v>
      </c>
      <c r="H1192" s="98" t="s">
        <v>4123</v>
      </c>
      <c r="I1192" s="98" t="s">
        <v>4124</v>
      </c>
      <c r="J1192" s="43" t="s">
        <v>4125</v>
      </c>
      <c r="K1192" s="43" t="s">
        <v>4126</v>
      </c>
      <c r="L1192" s="99">
        <v>3342.2</v>
      </c>
      <c r="M1192" s="98">
        <v>3342.2</v>
      </c>
      <c r="N1192" s="7" t="s">
        <v>35</v>
      </c>
      <c r="O1192" s="6" t="s">
        <v>35</v>
      </c>
      <c r="P1192" s="6" t="s">
        <v>35</v>
      </c>
      <c r="Q1192" s="6" t="s">
        <v>27</v>
      </c>
      <c r="S1192" s="6">
        <f t="shared" si="18"/>
        <v>3342.2</v>
      </c>
      <c r="W1192" s="6" t="s">
        <v>3978</v>
      </c>
      <c r="X1192" s="6" t="s">
        <v>3978</v>
      </c>
      <c r="Y1192" s="6" t="s">
        <v>4127</v>
      </c>
      <c r="Z1192" s="6" t="s">
        <v>1539</v>
      </c>
      <c r="AA1192" s="6" t="s">
        <v>40</v>
      </c>
    </row>
    <row r="1193" spans="1:27" s="41" customFormat="1">
      <c r="A1193" s="6">
        <v>1191</v>
      </c>
      <c r="B1193" s="40"/>
      <c r="C1193" s="7">
        <v>46175</v>
      </c>
      <c r="D1193" s="41" t="s">
        <v>28</v>
      </c>
      <c r="E1193" s="6" t="s">
        <v>3911</v>
      </c>
      <c r="F1193" s="41" t="s">
        <v>30</v>
      </c>
      <c r="G1193" s="100">
        <v>12</v>
      </c>
      <c r="H1193" s="98" t="s">
        <v>4128</v>
      </c>
      <c r="I1193" s="98" t="s">
        <v>4129</v>
      </c>
      <c r="J1193" s="43" t="s">
        <v>4130</v>
      </c>
      <c r="K1193" s="43" t="s">
        <v>4131</v>
      </c>
      <c r="L1193" s="99">
        <v>1393.86</v>
      </c>
      <c r="M1193" s="98">
        <v>1393.86</v>
      </c>
      <c r="N1193" s="7" t="s">
        <v>35</v>
      </c>
      <c r="O1193" s="6" t="s">
        <v>35</v>
      </c>
      <c r="P1193" s="6" t="s">
        <v>35</v>
      </c>
      <c r="Q1193" s="6" t="s">
        <v>27</v>
      </c>
      <c r="S1193" s="6">
        <f t="shared" si="18"/>
        <v>1393.86</v>
      </c>
      <c r="W1193" s="6" t="s">
        <v>410</v>
      </c>
      <c r="X1193" s="6" t="s">
        <v>410</v>
      </c>
      <c r="Y1193" s="6" t="s">
        <v>4132</v>
      </c>
      <c r="Z1193" s="6" t="s">
        <v>1973</v>
      </c>
      <c r="AA1193" s="6" t="s">
        <v>40</v>
      </c>
    </row>
    <row r="1194" spans="1:27" s="41" customFormat="1">
      <c r="A1194" s="6">
        <v>1192</v>
      </c>
      <c r="B1194" s="40"/>
      <c r="C1194" s="7">
        <v>46175</v>
      </c>
      <c r="D1194" s="41" t="s">
        <v>28</v>
      </c>
      <c r="E1194" s="6" t="s">
        <v>3911</v>
      </c>
      <c r="F1194" s="41" t="s">
        <v>30</v>
      </c>
      <c r="G1194" s="100">
        <v>12</v>
      </c>
      <c r="H1194" s="98" t="s">
        <v>4133</v>
      </c>
      <c r="I1194" s="98" t="s">
        <v>4134</v>
      </c>
      <c r="J1194" s="43" t="s">
        <v>4135</v>
      </c>
      <c r="K1194" s="43" t="s">
        <v>4136</v>
      </c>
      <c r="L1194" s="99">
        <v>4730.12</v>
      </c>
      <c r="M1194" s="98">
        <v>4730.12</v>
      </c>
      <c r="N1194" s="7" t="s">
        <v>35</v>
      </c>
      <c r="O1194" s="6" t="s">
        <v>35</v>
      </c>
      <c r="P1194" s="6" t="s">
        <v>35</v>
      </c>
      <c r="Q1194" s="6" t="s">
        <v>27</v>
      </c>
      <c r="S1194" s="6">
        <f t="shared" si="18"/>
        <v>4730.12</v>
      </c>
      <c r="W1194" s="6" t="s">
        <v>117</v>
      </c>
      <c r="X1194" s="6" t="s">
        <v>117</v>
      </c>
      <c r="Y1194" s="6" t="s">
        <v>4137</v>
      </c>
      <c r="Z1194" s="6" t="s">
        <v>1577</v>
      </c>
      <c r="AA1194" s="6" t="s">
        <v>40</v>
      </c>
    </row>
    <row r="1195" spans="1:27" s="41" customFormat="1">
      <c r="A1195" s="6">
        <v>1193</v>
      </c>
      <c r="B1195" s="40"/>
      <c r="C1195" s="7">
        <v>46175</v>
      </c>
      <c r="D1195" s="41" t="s">
        <v>28</v>
      </c>
      <c r="E1195" s="6" t="s">
        <v>3911</v>
      </c>
      <c r="F1195" s="41" t="s">
        <v>30</v>
      </c>
      <c r="G1195" s="100">
        <v>12</v>
      </c>
      <c r="H1195" s="98" t="s">
        <v>4138</v>
      </c>
      <c r="I1195" s="98" t="s">
        <v>4139</v>
      </c>
      <c r="J1195" s="43" t="s">
        <v>4140</v>
      </c>
      <c r="K1195" s="43" t="s">
        <v>4141</v>
      </c>
      <c r="L1195" s="99">
        <v>3272.27</v>
      </c>
      <c r="M1195" s="98">
        <v>3272.27</v>
      </c>
      <c r="N1195" s="7" t="s">
        <v>35</v>
      </c>
      <c r="O1195" s="6" t="s">
        <v>35</v>
      </c>
      <c r="P1195" s="6" t="s">
        <v>35</v>
      </c>
      <c r="Q1195" s="6" t="s">
        <v>27</v>
      </c>
      <c r="S1195" s="6">
        <f t="shared" si="18"/>
        <v>3272.27</v>
      </c>
      <c r="W1195" s="6" t="s">
        <v>37</v>
      </c>
      <c r="X1195" s="6" t="s">
        <v>37</v>
      </c>
      <c r="Y1195" s="6" t="s">
        <v>4142</v>
      </c>
      <c r="Z1195" s="6" t="s">
        <v>1336</v>
      </c>
      <c r="AA1195" s="6" t="s">
        <v>40</v>
      </c>
    </row>
    <row r="1196" spans="1:27" s="41" customFormat="1">
      <c r="A1196" s="6">
        <v>1194</v>
      </c>
      <c r="B1196" s="40"/>
      <c r="C1196" s="7">
        <v>46175</v>
      </c>
      <c r="D1196" s="41" t="s">
        <v>28</v>
      </c>
      <c r="E1196" s="6" t="s">
        <v>3911</v>
      </c>
      <c r="F1196" s="41" t="s">
        <v>30</v>
      </c>
      <c r="G1196" s="100">
        <v>12</v>
      </c>
      <c r="H1196" s="98" t="s">
        <v>4143</v>
      </c>
      <c r="I1196" s="98" t="s">
        <v>4144</v>
      </c>
      <c r="J1196" s="43" t="s">
        <v>4145</v>
      </c>
      <c r="K1196" s="43" t="s">
        <v>4146</v>
      </c>
      <c r="L1196" s="99">
        <v>2546.98</v>
      </c>
      <c r="M1196" s="98">
        <v>2546.98</v>
      </c>
      <c r="N1196" s="7" t="s">
        <v>35</v>
      </c>
      <c r="O1196" s="6" t="s">
        <v>35</v>
      </c>
      <c r="P1196" s="6" t="s">
        <v>35</v>
      </c>
      <c r="Q1196" s="6" t="s">
        <v>27</v>
      </c>
      <c r="S1196" s="6">
        <f t="shared" si="18"/>
        <v>2546.98</v>
      </c>
      <c r="W1196" s="6" t="s">
        <v>117</v>
      </c>
      <c r="X1196" s="6" t="s">
        <v>117</v>
      </c>
      <c r="Y1196" s="6" t="s">
        <v>4147</v>
      </c>
      <c r="Z1196" s="6" t="s">
        <v>1208</v>
      </c>
      <c r="AA1196" s="6" t="s">
        <v>40</v>
      </c>
    </row>
    <row r="1197" spans="1:27" s="41" customFormat="1">
      <c r="A1197" s="6">
        <v>1195</v>
      </c>
      <c r="B1197" s="40"/>
      <c r="C1197" s="7">
        <v>46175</v>
      </c>
      <c r="D1197" s="41" t="s">
        <v>28</v>
      </c>
      <c r="E1197" s="6" t="s">
        <v>3911</v>
      </c>
      <c r="F1197" s="41" t="s">
        <v>30</v>
      </c>
      <c r="G1197" s="100">
        <v>12</v>
      </c>
      <c r="H1197" s="98" t="s">
        <v>4148</v>
      </c>
      <c r="I1197" s="98" t="s">
        <v>4149</v>
      </c>
      <c r="J1197" s="43" t="s">
        <v>4150</v>
      </c>
      <c r="K1197" s="43"/>
      <c r="L1197" s="99">
        <v>3149.25</v>
      </c>
      <c r="M1197" s="98">
        <v>3149.25</v>
      </c>
      <c r="N1197" s="7" t="s">
        <v>35</v>
      </c>
      <c r="O1197" s="6" t="s">
        <v>35</v>
      </c>
      <c r="P1197" s="6" t="s">
        <v>35</v>
      </c>
      <c r="Q1197" s="6" t="s">
        <v>27</v>
      </c>
      <c r="S1197" s="6">
        <f t="shared" si="18"/>
        <v>3149.25</v>
      </c>
      <c r="W1197" s="6" t="s">
        <v>3978</v>
      </c>
      <c r="X1197" s="6" t="s">
        <v>3978</v>
      </c>
      <c r="Y1197" s="6" t="s">
        <v>4151</v>
      </c>
      <c r="Z1197" s="6" t="s">
        <v>235</v>
      </c>
      <c r="AA1197" s="6" t="s">
        <v>40</v>
      </c>
    </row>
    <row r="1198" spans="1:27" s="41" customFormat="1">
      <c r="A1198" s="6">
        <v>1196</v>
      </c>
      <c r="B1198" s="40"/>
      <c r="C1198" s="7">
        <v>46175</v>
      </c>
      <c r="D1198" s="41" t="s">
        <v>28</v>
      </c>
      <c r="E1198" s="6" t="s">
        <v>3911</v>
      </c>
      <c r="F1198" s="41" t="s">
        <v>30</v>
      </c>
      <c r="G1198" s="100">
        <v>12</v>
      </c>
      <c r="H1198" s="98" t="s">
        <v>4152</v>
      </c>
      <c r="I1198" s="98" t="s">
        <v>4153</v>
      </c>
      <c r="J1198" s="43" t="s">
        <v>4154</v>
      </c>
      <c r="K1198" s="43" t="s">
        <v>4155</v>
      </c>
      <c r="L1198" s="99">
        <v>1830.49</v>
      </c>
      <c r="M1198" s="98">
        <v>1830.49</v>
      </c>
      <c r="N1198" s="7" t="s">
        <v>35</v>
      </c>
      <c r="O1198" s="6" t="s">
        <v>35</v>
      </c>
      <c r="P1198" s="6" t="s">
        <v>35</v>
      </c>
      <c r="Q1198" s="6" t="s">
        <v>27</v>
      </c>
      <c r="S1198" s="6">
        <f t="shared" si="18"/>
        <v>1830.49</v>
      </c>
      <c r="W1198" s="6" t="s">
        <v>103</v>
      </c>
      <c r="X1198" s="6" t="s">
        <v>103</v>
      </c>
      <c r="Y1198" s="6" t="s">
        <v>4156</v>
      </c>
      <c r="Z1198" s="6" t="s">
        <v>1336</v>
      </c>
      <c r="AA1198" s="6" t="s">
        <v>40</v>
      </c>
    </row>
    <row r="1199" spans="1:27" s="41" customFormat="1">
      <c r="A1199" s="6">
        <v>1197</v>
      </c>
      <c r="B1199" s="40"/>
      <c r="C1199" s="7">
        <v>46175</v>
      </c>
      <c r="D1199" s="41" t="s">
        <v>28</v>
      </c>
      <c r="E1199" s="6" t="s">
        <v>3911</v>
      </c>
      <c r="F1199" s="41" t="s">
        <v>30</v>
      </c>
      <c r="G1199" s="100">
        <v>12</v>
      </c>
      <c r="H1199" s="98" t="s">
        <v>4157</v>
      </c>
      <c r="I1199" s="98" t="s">
        <v>4158</v>
      </c>
      <c r="J1199" s="43" t="s">
        <v>4159</v>
      </c>
      <c r="K1199" s="43" t="s">
        <v>4160</v>
      </c>
      <c r="L1199" s="99">
        <v>1302.3800000000001</v>
      </c>
      <c r="M1199" s="98">
        <v>1302.3800000000001</v>
      </c>
      <c r="N1199" s="7" t="s">
        <v>35</v>
      </c>
      <c r="O1199" s="6" t="s">
        <v>35</v>
      </c>
      <c r="P1199" s="6" t="s">
        <v>35</v>
      </c>
      <c r="Q1199" s="6" t="s">
        <v>27</v>
      </c>
      <c r="S1199" s="6">
        <f t="shared" si="18"/>
        <v>1302.3800000000001</v>
      </c>
      <c r="W1199" s="6" t="s">
        <v>4049</v>
      </c>
      <c r="X1199" s="6" t="s">
        <v>4049</v>
      </c>
      <c r="Y1199" s="6" t="s">
        <v>4161</v>
      </c>
      <c r="Z1199" s="6" t="s">
        <v>1349</v>
      </c>
      <c r="AA1199" s="6" t="s">
        <v>40</v>
      </c>
    </row>
    <row r="1200" spans="1:27" s="41" customFormat="1">
      <c r="A1200" s="6">
        <v>1198</v>
      </c>
      <c r="B1200" s="40"/>
      <c r="C1200" s="7">
        <v>46175</v>
      </c>
      <c r="D1200" s="41" t="s">
        <v>28</v>
      </c>
      <c r="E1200" s="6" t="s">
        <v>3911</v>
      </c>
      <c r="F1200" s="41" t="s">
        <v>30</v>
      </c>
      <c r="G1200" s="100">
        <v>12</v>
      </c>
      <c r="H1200" s="98" t="s">
        <v>4162</v>
      </c>
      <c r="I1200" s="98" t="s">
        <v>4163</v>
      </c>
      <c r="J1200" s="43" t="s">
        <v>4164</v>
      </c>
      <c r="K1200" s="43"/>
      <c r="L1200" s="99">
        <v>9279.0300000000007</v>
      </c>
      <c r="M1200" s="98">
        <v>9279.0300000000007</v>
      </c>
      <c r="N1200" s="7" t="s">
        <v>35</v>
      </c>
      <c r="O1200" s="6" t="s">
        <v>35</v>
      </c>
      <c r="P1200" s="6" t="s">
        <v>35</v>
      </c>
      <c r="Q1200" s="6" t="s">
        <v>27</v>
      </c>
      <c r="S1200" s="6">
        <f t="shared" si="18"/>
        <v>9279.0300000000007</v>
      </c>
      <c r="W1200" s="6" t="s">
        <v>444</v>
      </c>
      <c r="X1200" s="6" t="s">
        <v>444</v>
      </c>
      <c r="Y1200" s="6" t="s">
        <v>4165</v>
      </c>
      <c r="Z1200" s="6" t="s">
        <v>235</v>
      </c>
      <c r="AA1200" s="6" t="s">
        <v>40</v>
      </c>
    </row>
    <row r="1201" spans="1:27" s="41" customFormat="1">
      <c r="A1201" s="6">
        <v>1199</v>
      </c>
      <c r="B1201" s="40"/>
      <c r="C1201" s="7">
        <v>46175</v>
      </c>
      <c r="D1201" s="41" t="s">
        <v>28</v>
      </c>
      <c r="E1201" s="6" t="s">
        <v>3911</v>
      </c>
      <c r="F1201" s="41" t="s">
        <v>30</v>
      </c>
      <c r="G1201" s="100">
        <v>12</v>
      </c>
      <c r="H1201" s="98" t="s">
        <v>4166</v>
      </c>
      <c r="I1201" s="98" t="s">
        <v>4167</v>
      </c>
      <c r="J1201" s="43" t="s">
        <v>4168</v>
      </c>
      <c r="K1201" s="43" t="s">
        <v>4169</v>
      </c>
      <c r="L1201" s="99">
        <v>2999.44</v>
      </c>
      <c r="M1201" s="98">
        <v>2999.44</v>
      </c>
      <c r="N1201" s="7" t="s">
        <v>35</v>
      </c>
      <c r="O1201" s="6" t="s">
        <v>35</v>
      </c>
      <c r="P1201" s="6" t="s">
        <v>35</v>
      </c>
      <c r="Q1201" s="6" t="s">
        <v>27</v>
      </c>
      <c r="S1201" s="6">
        <f t="shared" si="18"/>
        <v>2999.44</v>
      </c>
      <c r="W1201" s="6" t="s">
        <v>103</v>
      </c>
      <c r="X1201" s="6" t="s">
        <v>103</v>
      </c>
      <c r="Y1201" s="6" t="s">
        <v>4170</v>
      </c>
      <c r="Z1201" s="6" t="s">
        <v>235</v>
      </c>
      <c r="AA1201" s="6" t="s">
        <v>40</v>
      </c>
    </row>
    <row r="1202" spans="1:27" s="41" customFormat="1">
      <c r="A1202" s="6">
        <v>1200</v>
      </c>
      <c r="B1202" s="40"/>
      <c r="C1202" s="7">
        <v>46175</v>
      </c>
      <c r="D1202" s="41" t="s">
        <v>28</v>
      </c>
      <c r="E1202" s="6" t="s">
        <v>3911</v>
      </c>
      <c r="F1202" s="41" t="s">
        <v>30</v>
      </c>
      <c r="G1202" s="100">
        <v>12</v>
      </c>
      <c r="H1202" s="98" t="s">
        <v>2925</v>
      </c>
      <c r="I1202" s="98" t="s">
        <v>2926</v>
      </c>
      <c r="J1202" s="43" t="s">
        <v>2927</v>
      </c>
      <c r="K1202" s="43" t="s">
        <v>2928</v>
      </c>
      <c r="L1202" s="99">
        <v>1065.76</v>
      </c>
      <c r="M1202" s="98">
        <v>1065.76</v>
      </c>
      <c r="N1202" s="7" t="s">
        <v>35</v>
      </c>
      <c r="O1202" s="6" t="s">
        <v>35</v>
      </c>
      <c r="P1202" s="6" t="s">
        <v>35</v>
      </c>
      <c r="Q1202" s="6" t="s">
        <v>27</v>
      </c>
      <c r="S1202" s="6">
        <f t="shared" si="18"/>
        <v>1065.76</v>
      </c>
      <c r="W1202" s="6" t="s">
        <v>37</v>
      </c>
      <c r="X1202" s="6" t="s">
        <v>37</v>
      </c>
      <c r="Y1202" s="6" t="s">
        <v>2929</v>
      </c>
      <c r="Z1202" s="6" t="s">
        <v>1577</v>
      </c>
      <c r="AA1202" s="6" t="s">
        <v>40</v>
      </c>
    </row>
    <row r="1203" spans="1:27" s="41" customFormat="1">
      <c r="A1203" s="6">
        <v>1201</v>
      </c>
      <c r="B1203" s="40"/>
      <c r="C1203" s="7">
        <v>46175</v>
      </c>
      <c r="D1203" s="41" t="s">
        <v>28</v>
      </c>
      <c r="E1203" s="6" t="s">
        <v>3911</v>
      </c>
      <c r="F1203" s="41" t="s">
        <v>30</v>
      </c>
      <c r="G1203" s="100">
        <v>12</v>
      </c>
      <c r="H1203" s="98" t="s">
        <v>4171</v>
      </c>
      <c r="I1203" s="98" t="s">
        <v>4172</v>
      </c>
      <c r="J1203" s="43" t="s">
        <v>4173</v>
      </c>
      <c r="K1203" s="43" t="s">
        <v>4174</v>
      </c>
      <c r="L1203" s="99">
        <v>2810.62</v>
      </c>
      <c r="M1203" s="98">
        <v>2810.62</v>
      </c>
      <c r="N1203" s="7" t="s">
        <v>35</v>
      </c>
      <c r="O1203" s="6" t="s">
        <v>35</v>
      </c>
      <c r="P1203" s="6" t="s">
        <v>35</v>
      </c>
      <c r="Q1203" s="6" t="s">
        <v>27</v>
      </c>
      <c r="S1203" s="6">
        <f t="shared" si="18"/>
        <v>2810.62</v>
      </c>
      <c r="W1203" s="6" t="s">
        <v>103</v>
      </c>
      <c r="X1203" s="6" t="s">
        <v>103</v>
      </c>
      <c r="Y1203" s="6" t="s">
        <v>4175</v>
      </c>
      <c r="Z1203" s="6" t="s">
        <v>235</v>
      </c>
      <c r="AA1203" s="6" t="s">
        <v>40</v>
      </c>
    </row>
    <row r="1204" spans="1:27" s="41" customFormat="1">
      <c r="A1204" s="6">
        <v>1202</v>
      </c>
      <c r="B1204" s="40"/>
      <c r="C1204" s="7">
        <v>46175</v>
      </c>
      <c r="D1204" s="41" t="s">
        <v>28</v>
      </c>
      <c r="E1204" s="6" t="s">
        <v>3911</v>
      </c>
      <c r="F1204" s="41" t="s">
        <v>30</v>
      </c>
      <c r="G1204" s="100">
        <v>12</v>
      </c>
      <c r="H1204" s="98" t="s">
        <v>4176</v>
      </c>
      <c r="I1204" s="98" t="s">
        <v>4177</v>
      </c>
      <c r="J1204" s="43" t="s">
        <v>4178</v>
      </c>
      <c r="K1204" s="43" t="s">
        <v>4179</v>
      </c>
      <c r="L1204" s="99">
        <v>1725.37</v>
      </c>
      <c r="M1204" s="98">
        <v>1725.37</v>
      </c>
      <c r="N1204" s="7" t="s">
        <v>35</v>
      </c>
      <c r="O1204" s="6" t="s">
        <v>35</v>
      </c>
      <c r="P1204" s="6" t="s">
        <v>35</v>
      </c>
      <c r="Q1204" s="6" t="s">
        <v>27</v>
      </c>
      <c r="S1204" s="6">
        <f t="shared" si="18"/>
        <v>1725.37</v>
      </c>
      <c r="W1204" s="6" t="s">
        <v>3978</v>
      </c>
      <c r="X1204" s="6" t="s">
        <v>3978</v>
      </c>
      <c r="Y1204" s="6" t="s">
        <v>4180</v>
      </c>
      <c r="Z1204" s="6" t="s">
        <v>1208</v>
      </c>
      <c r="AA1204" s="6" t="s">
        <v>40</v>
      </c>
    </row>
    <row r="1205" spans="1:27" s="41" customFormat="1">
      <c r="A1205" s="6">
        <v>1203</v>
      </c>
      <c r="B1205" s="40"/>
      <c r="C1205" s="7">
        <v>46175</v>
      </c>
      <c r="D1205" s="41" t="s">
        <v>28</v>
      </c>
      <c r="E1205" s="6" t="s">
        <v>3911</v>
      </c>
      <c r="F1205" s="41" t="s">
        <v>30</v>
      </c>
      <c r="G1205" s="100">
        <v>12</v>
      </c>
      <c r="H1205" s="98" t="s">
        <v>4181</v>
      </c>
      <c r="I1205" s="98" t="s">
        <v>4182</v>
      </c>
      <c r="J1205" s="43" t="s">
        <v>4183</v>
      </c>
      <c r="K1205" s="43" t="s">
        <v>4184</v>
      </c>
      <c r="L1205" s="99">
        <v>551.66</v>
      </c>
      <c r="M1205" s="98">
        <v>551.66</v>
      </c>
      <c r="N1205" s="7" t="s">
        <v>35</v>
      </c>
      <c r="O1205" s="6" t="s">
        <v>35</v>
      </c>
      <c r="P1205" s="6" t="s">
        <v>35</v>
      </c>
      <c r="Q1205" s="6" t="s">
        <v>27</v>
      </c>
      <c r="S1205" s="6">
        <f t="shared" si="18"/>
        <v>551.66</v>
      </c>
      <c r="W1205" s="6" t="s">
        <v>4049</v>
      </c>
      <c r="X1205" s="6" t="s">
        <v>4049</v>
      </c>
      <c r="Y1205" s="6" t="s">
        <v>4185</v>
      </c>
      <c r="Z1205" s="6" t="s">
        <v>1336</v>
      </c>
      <c r="AA1205" s="6" t="s">
        <v>40</v>
      </c>
    </row>
    <row r="1206" spans="1:27" s="41" customFormat="1">
      <c r="A1206" s="6">
        <v>1204</v>
      </c>
      <c r="B1206" s="40"/>
      <c r="C1206" s="7">
        <v>46175</v>
      </c>
      <c r="D1206" s="41" t="s">
        <v>28</v>
      </c>
      <c r="E1206" s="6" t="s">
        <v>3911</v>
      </c>
      <c r="F1206" s="41" t="s">
        <v>30</v>
      </c>
      <c r="G1206" s="100">
        <v>12</v>
      </c>
      <c r="H1206" s="98" t="s">
        <v>4186</v>
      </c>
      <c r="I1206" s="98" t="s">
        <v>4187</v>
      </c>
      <c r="J1206" s="43" t="s">
        <v>4188</v>
      </c>
      <c r="K1206" s="43" t="s">
        <v>4189</v>
      </c>
      <c r="L1206" s="99">
        <v>449.96</v>
      </c>
      <c r="M1206" s="98">
        <v>449.96</v>
      </c>
      <c r="N1206" s="7" t="s">
        <v>35</v>
      </c>
      <c r="O1206" s="6" t="s">
        <v>35</v>
      </c>
      <c r="P1206" s="6" t="s">
        <v>35</v>
      </c>
      <c r="Q1206" s="6" t="s">
        <v>27</v>
      </c>
      <c r="S1206" s="6">
        <f t="shared" si="18"/>
        <v>449.96</v>
      </c>
      <c r="W1206" s="6" t="s">
        <v>69</v>
      </c>
      <c r="X1206" s="6" t="s">
        <v>69</v>
      </c>
      <c r="Y1206" s="6" t="s">
        <v>4190</v>
      </c>
      <c r="Z1206" s="6" t="s">
        <v>1539</v>
      </c>
      <c r="AA1206" s="6" t="s">
        <v>40</v>
      </c>
    </row>
    <row r="1207" spans="1:27" s="41" customFormat="1">
      <c r="A1207" s="6">
        <v>1205</v>
      </c>
      <c r="B1207" s="40"/>
      <c r="C1207" s="7">
        <v>46175</v>
      </c>
      <c r="D1207" s="41" t="s">
        <v>28</v>
      </c>
      <c r="E1207" s="6" t="s">
        <v>3911</v>
      </c>
      <c r="F1207" s="41" t="s">
        <v>30</v>
      </c>
      <c r="G1207" s="100">
        <v>12</v>
      </c>
      <c r="H1207" s="98" t="s">
        <v>4191</v>
      </c>
      <c r="I1207" s="98" t="s">
        <v>4192</v>
      </c>
      <c r="J1207" s="43" t="s">
        <v>4193</v>
      </c>
      <c r="K1207" s="43" t="s">
        <v>4194</v>
      </c>
      <c r="L1207" s="99">
        <v>1775.27</v>
      </c>
      <c r="M1207" s="98">
        <v>1775.27</v>
      </c>
      <c r="N1207" s="7" t="s">
        <v>35</v>
      </c>
      <c r="O1207" s="6" t="s">
        <v>35</v>
      </c>
      <c r="P1207" s="6" t="s">
        <v>35</v>
      </c>
      <c r="Q1207" s="6" t="s">
        <v>27</v>
      </c>
      <c r="S1207" s="6">
        <f t="shared" si="18"/>
        <v>1775.27</v>
      </c>
      <c r="W1207" s="6" t="s">
        <v>117</v>
      </c>
      <c r="X1207" s="6" t="s">
        <v>117</v>
      </c>
      <c r="Y1207" s="6" t="s">
        <v>4195</v>
      </c>
      <c r="Z1207" s="6" t="s">
        <v>235</v>
      </c>
      <c r="AA1207" s="6" t="s">
        <v>40</v>
      </c>
    </row>
    <row r="1208" spans="1:27" s="41" customFormat="1">
      <c r="A1208" s="6">
        <v>1206</v>
      </c>
      <c r="B1208" s="40"/>
      <c r="C1208" s="7">
        <v>46175</v>
      </c>
      <c r="D1208" s="41" t="s">
        <v>28</v>
      </c>
      <c r="E1208" s="6" t="s">
        <v>3911</v>
      </c>
      <c r="F1208" s="41" t="s">
        <v>30</v>
      </c>
      <c r="G1208" s="100">
        <v>12</v>
      </c>
      <c r="H1208" s="98" t="s">
        <v>4196</v>
      </c>
      <c r="I1208" s="98" t="s">
        <v>4197</v>
      </c>
      <c r="J1208" s="43" t="s">
        <v>4198</v>
      </c>
      <c r="K1208" s="43" t="s">
        <v>4199</v>
      </c>
      <c r="L1208" s="99">
        <v>4395.68</v>
      </c>
      <c r="M1208" s="98">
        <v>4395.68</v>
      </c>
      <c r="N1208" s="7" t="s">
        <v>35</v>
      </c>
      <c r="O1208" s="6" t="s">
        <v>35</v>
      </c>
      <c r="P1208" s="6" t="s">
        <v>35</v>
      </c>
      <c r="Q1208" s="6" t="s">
        <v>27</v>
      </c>
      <c r="S1208" s="6">
        <f t="shared" si="18"/>
        <v>4395.68</v>
      </c>
      <c r="W1208" s="6" t="s">
        <v>37</v>
      </c>
      <c r="X1208" s="6" t="s">
        <v>37</v>
      </c>
      <c r="Y1208" s="6" t="s">
        <v>4200</v>
      </c>
      <c r="Z1208" s="6" t="s">
        <v>235</v>
      </c>
      <c r="AA1208" s="6" t="s">
        <v>40</v>
      </c>
    </row>
    <row r="1209" spans="1:27" s="41" customFormat="1">
      <c r="A1209" s="6">
        <v>1207</v>
      </c>
      <c r="B1209" s="40"/>
      <c r="C1209" s="7">
        <v>46175</v>
      </c>
      <c r="D1209" s="41" t="s">
        <v>28</v>
      </c>
      <c r="E1209" s="6" t="s">
        <v>3911</v>
      </c>
      <c r="F1209" s="41" t="s">
        <v>30</v>
      </c>
      <c r="G1209" s="100">
        <v>12</v>
      </c>
      <c r="H1209" s="98" t="s">
        <v>4201</v>
      </c>
      <c r="I1209" s="98" t="s">
        <v>4202</v>
      </c>
      <c r="J1209" s="43" t="s">
        <v>4203</v>
      </c>
      <c r="K1209" s="43" t="s">
        <v>4204</v>
      </c>
      <c r="L1209" s="99">
        <v>1743.07</v>
      </c>
      <c r="M1209" s="98">
        <v>1743.07</v>
      </c>
      <c r="N1209" s="7" t="s">
        <v>35</v>
      </c>
      <c r="O1209" s="6" t="s">
        <v>35</v>
      </c>
      <c r="P1209" s="6" t="s">
        <v>35</v>
      </c>
      <c r="Q1209" s="6" t="s">
        <v>27</v>
      </c>
      <c r="S1209" s="6">
        <f t="shared" si="18"/>
        <v>1743.07</v>
      </c>
      <c r="W1209" s="6" t="s">
        <v>37</v>
      </c>
      <c r="X1209" s="6" t="s">
        <v>37</v>
      </c>
      <c r="Y1209" s="6" t="s">
        <v>4205</v>
      </c>
      <c r="Z1209" s="6" t="s">
        <v>235</v>
      </c>
      <c r="AA1209" s="6" t="s">
        <v>40</v>
      </c>
    </row>
    <row r="1210" spans="1:27" s="41" customFormat="1">
      <c r="A1210" s="6">
        <v>1208</v>
      </c>
      <c r="B1210" s="40"/>
      <c r="C1210" s="7">
        <v>46175</v>
      </c>
      <c r="D1210" s="41" t="s">
        <v>28</v>
      </c>
      <c r="E1210" s="6" t="s">
        <v>3911</v>
      </c>
      <c r="F1210" s="41" t="s">
        <v>30</v>
      </c>
      <c r="G1210" s="100">
        <v>12</v>
      </c>
      <c r="H1210" s="98" t="s">
        <v>4206</v>
      </c>
      <c r="I1210" s="98" t="s">
        <v>4207</v>
      </c>
      <c r="J1210" s="43" t="s">
        <v>4208</v>
      </c>
      <c r="K1210" s="43" t="s">
        <v>4209</v>
      </c>
      <c r="L1210" s="99">
        <v>1382.55</v>
      </c>
      <c r="M1210" s="98">
        <v>1382.55</v>
      </c>
      <c r="N1210" s="7" t="s">
        <v>35</v>
      </c>
      <c r="O1210" s="6" t="s">
        <v>35</v>
      </c>
      <c r="P1210" s="6" t="s">
        <v>35</v>
      </c>
      <c r="Q1210" s="6" t="s">
        <v>27</v>
      </c>
      <c r="S1210" s="6">
        <f t="shared" si="18"/>
        <v>1382.55</v>
      </c>
      <c r="W1210" s="6" t="s">
        <v>4000</v>
      </c>
      <c r="X1210" s="6" t="s">
        <v>4000</v>
      </c>
      <c r="Y1210" s="6" t="s">
        <v>4210</v>
      </c>
      <c r="Z1210" s="6" t="s">
        <v>235</v>
      </c>
      <c r="AA1210" s="6" t="s">
        <v>40</v>
      </c>
    </row>
    <row r="1211" spans="1:27" s="41" customFormat="1">
      <c r="A1211" s="6">
        <v>1209</v>
      </c>
      <c r="B1211" s="40"/>
      <c r="C1211" s="7">
        <v>46175</v>
      </c>
      <c r="D1211" s="41" t="s">
        <v>28</v>
      </c>
      <c r="E1211" s="6" t="s">
        <v>3911</v>
      </c>
      <c r="F1211" s="41" t="s">
        <v>30</v>
      </c>
      <c r="G1211" s="100">
        <v>12</v>
      </c>
      <c r="H1211" s="98" t="s">
        <v>4211</v>
      </c>
      <c r="I1211" s="98" t="s">
        <v>4212</v>
      </c>
      <c r="J1211" s="43" t="s">
        <v>4213</v>
      </c>
      <c r="K1211" s="43" t="s">
        <v>4214</v>
      </c>
      <c r="L1211" s="99">
        <v>1533.41</v>
      </c>
      <c r="M1211" s="98">
        <v>1533.41</v>
      </c>
      <c r="N1211" s="7" t="s">
        <v>35</v>
      </c>
      <c r="O1211" s="6" t="s">
        <v>35</v>
      </c>
      <c r="P1211" s="6" t="s">
        <v>35</v>
      </c>
      <c r="Q1211" s="6" t="s">
        <v>27</v>
      </c>
      <c r="S1211" s="6">
        <f t="shared" si="18"/>
        <v>1533.41</v>
      </c>
      <c r="W1211" s="6" t="s">
        <v>117</v>
      </c>
      <c r="X1211" s="6" t="s">
        <v>117</v>
      </c>
      <c r="Y1211" s="6" t="s">
        <v>4215</v>
      </c>
      <c r="Z1211" s="6" t="s">
        <v>235</v>
      </c>
      <c r="AA1211" s="6" t="s">
        <v>40</v>
      </c>
    </row>
    <row r="1212" spans="1:27" s="41" customFormat="1">
      <c r="A1212" s="6">
        <v>1210</v>
      </c>
      <c r="B1212" s="40"/>
      <c r="C1212" s="7">
        <v>46175</v>
      </c>
      <c r="D1212" s="41" t="s">
        <v>28</v>
      </c>
      <c r="E1212" s="6" t="s">
        <v>3911</v>
      </c>
      <c r="F1212" s="41" t="s">
        <v>30</v>
      </c>
      <c r="G1212" s="100">
        <v>12</v>
      </c>
      <c r="H1212" s="98" t="s">
        <v>4216</v>
      </c>
      <c r="I1212" s="98" t="s">
        <v>4217</v>
      </c>
      <c r="J1212" s="43" t="s">
        <v>4218</v>
      </c>
      <c r="K1212" s="43"/>
      <c r="L1212" s="99">
        <v>10134.59</v>
      </c>
      <c r="M1212" s="98">
        <v>10134.59</v>
      </c>
      <c r="N1212" s="7" t="s">
        <v>35</v>
      </c>
      <c r="O1212" s="6" t="s">
        <v>35</v>
      </c>
      <c r="P1212" s="6" t="s">
        <v>35</v>
      </c>
      <c r="Q1212" s="6" t="s">
        <v>27</v>
      </c>
      <c r="S1212" s="6">
        <f t="shared" si="18"/>
        <v>10134.59</v>
      </c>
      <c r="W1212" s="6" t="s">
        <v>103</v>
      </c>
      <c r="X1212" s="6" t="s">
        <v>103</v>
      </c>
      <c r="Y1212" s="6" t="s">
        <v>4219</v>
      </c>
      <c r="Z1212" s="6" t="s">
        <v>1500</v>
      </c>
      <c r="AA1212" s="6" t="s">
        <v>40</v>
      </c>
    </row>
    <row r="1213" spans="1:27" s="41" customFormat="1">
      <c r="A1213" s="6">
        <v>1211</v>
      </c>
      <c r="B1213" s="40"/>
      <c r="C1213" s="7">
        <v>46175</v>
      </c>
      <c r="D1213" s="41" t="s">
        <v>28</v>
      </c>
      <c r="E1213" s="6" t="s">
        <v>3911</v>
      </c>
      <c r="F1213" s="41" t="s">
        <v>30</v>
      </c>
      <c r="G1213" s="100">
        <v>12</v>
      </c>
      <c r="H1213" s="98" t="s">
        <v>4191</v>
      </c>
      <c r="I1213" s="98" t="s">
        <v>4192</v>
      </c>
      <c r="J1213" s="43" t="s">
        <v>4220</v>
      </c>
      <c r="K1213" s="43" t="s">
        <v>4221</v>
      </c>
      <c r="L1213" s="99">
        <v>795.59</v>
      </c>
      <c r="M1213" s="98">
        <v>795.59</v>
      </c>
      <c r="N1213" s="7" t="s">
        <v>35</v>
      </c>
      <c r="O1213" s="6" t="s">
        <v>35</v>
      </c>
      <c r="P1213" s="6" t="s">
        <v>35</v>
      </c>
      <c r="Q1213" s="6" t="s">
        <v>27</v>
      </c>
      <c r="S1213" s="6">
        <f t="shared" si="18"/>
        <v>795.59</v>
      </c>
      <c r="W1213" s="6" t="s">
        <v>444</v>
      </c>
      <c r="X1213" s="6" t="s">
        <v>444</v>
      </c>
      <c r="Y1213" s="6" t="s">
        <v>4195</v>
      </c>
      <c r="Z1213" s="6" t="s">
        <v>235</v>
      </c>
      <c r="AA1213" s="6" t="s">
        <v>40</v>
      </c>
    </row>
    <row r="1214" spans="1:27" s="41" customFormat="1">
      <c r="A1214" s="6">
        <v>1212</v>
      </c>
      <c r="B1214" s="40"/>
      <c r="C1214" s="7">
        <v>46175</v>
      </c>
      <c r="D1214" s="41" t="s">
        <v>28</v>
      </c>
      <c r="E1214" s="6" t="s">
        <v>3911</v>
      </c>
      <c r="F1214" s="41" t="s">
        <v>30</v>
      </c>
      <c r="G1214" s="100">
        <v>12</v>
      </c>
      <c r="H1214" s="98" t="s">
        <v>4222</v>
      </c>
      <c r="I1214" s="98" t="s">
        <v>4223</v>
      </c>
      <c r="J1214" s="43" t="s">
        <v>4224</v>
      </c>
      <c r="K1214" s="43" t="s">
        <v>4225</v>
      </c>
      <c r="L1214" s="99">
        <v>2280.29</v>
      </c>
      <c r="M1214" s="98">
        <v>2280.29</v>
      </c>
      <c r="N1214" s="7" t="s">
        <v>35</v>
      </c>
      <c r="O1214" s="6" t="s">
        <v>35</v>
      </c>
      <c r="P1214" s="6" t="s">
        <v>35</v>
      </c>
      <c r="Q1214" s="6" t="s">
        <v>27</v>
      </c>
      <c r="S1214" s="6">
        <f t="shared" si="18"/>
        <v>2280.29</v>
      </c>
      <c r="W1214" s="6" t="s">
        <v>4000</v>
      </c>
      <c r="X1214" s="6" t="s">
        <v>4000</v>
      </c>
      <c r="Y1214" s="6" t="s">
        <v>4226</v>
      </c>
      <c r="Z1214" s="6" t="s">
        <v>235</v>
      </c>
      <c r="AA1214" s="6" t="s">
        <v>40</v>
      </c>
    </row>
    <row r="1215" spans="1:27" s="41" customFormat="1">
      <c r="A1215" s="6">
        <v>1213</v>
      </c>
      <c r="B1215" s="40"/>
      <c r="C1215" s="7">
        <v>46175</v>
      </c>
      <c r="D1215" s="41" t="s">
        <v>28</v>
      </c>
      <c r="E1215" s="6" t="s">
        <v>3911</v>
      </c>
      <c r="F1215" s="41" t="s">
        <v>30</v>
      </c>
      <c r="G1215" s="100">
        <v>12</v>
      </c>
      <c r="H1215" s="98" t="s">
        <v>4227</v>
      </c>
      <c r="I1215" s="98" t="s">
        <v>4228</v>
      </c>
      <c r="J1215" s="43" t="s">
        <v>4229</v>
      </c>
      <c r="K1215" s="43"/>
      <c r="L1215" s="99">
        <v>4596.3500000000004</v>
      </c>
      <c r="M1215" s="98">
        <v>4596.3500000000004</v>
      </c>
      <c r="N1215" s="7" t="s">
        <v>35</v>
      </c>
      <c r="O1215" s="6" t="s">
        <v>35</v>
      </c>
      <c r="P1215" s="6" t="s">
        <v>35</v>
      </c>
      <c r="Q1215" s="6" t="s">
        <v>27</v>
      </c>
      <c r="S1215" s="6">
        <f t="shared" si="18"/>
        <v>4596.3500000000004</v>
      </c>
      <c r="W1215" s="6" t="s">
        <v>444</v>
      </c>
      <c r="X1215" s="6" t="s">
        <v>444</v>
      </c>
      <c r="Y1215" s="6" t="s">
        <v>4230</v>
      </c>
      <c r="Z1215" s="6" t="s">
        <v>1500</v>
      </c>
      <c r="AA1215" s="6" t="s">
        <v>40</v>
      </c>
    </row>
    <row r="1216" spans="1:27" s="41" customFormat="1">
      <c r="A1216" s="6">
        <v>1214</v>
      </c>
      <c r="B1216" s="40"/>
      <c r="C1216" s="7">
        <v>46175</v>
      </c>
      <c r="D1216" s="41" t="s">
        <v>28</v>
      </c>
      <c r="E1216" s="6" t="s">
        <v>3911</v>
      </c>
      <c r="F1216" s="41" t="s">
        <v>30</v>
      </c>
      <c r="G1216" s="100">
        <v>12</v>
      </c>
      <c r="H1216" s="98" t="s">
        <v>4231</v>
      </c>
      <c r="I1216" s="98" t="s">
        <v>4232</v>
      </c>
      <c r="J1216" s="43" t="s">
        <v>4233</v>
      </c>
      <c r="K1216" s="43"/>
      <c r="L1216" s="99">
        <v>11448.28</v>
      </c>
      <c r="M1216" s="98">
        <v>11448.28</v>
      </c>
      <c r="N1216" s="7" t="s">
        <v>35</v>
      </c>
      <c r="O1216" s="6" t="s">
        <v>35</v>
      </c>
      <c r="P1216" s="6" t="s">
        <v>35</v>
      </c>
      <c r="Q1216" s="6" t="s">
        <v>27</v>
      </c>
      <c r="S1216" s="6">
        <f t="shared" si="18"/>
        <v>11448.28</v>
      </c>
      <c r="W1216" s="6" t="s">
        <v>37</v>
      </c>
      <c r="X1216" s="6" t="s">
        <v>37</v>
      </c>
      <c r="Y1216" s="6" t="s">
        <v>4234</v>
      </c>
      <c r="Z1216" s="6" t="s">
        <v>1500</v>
      </c>
      <c r="AA1216" s="6" t="s">
        <v>40</v>
      </c>
    </row>
    <row r="1217" spans="1:27" s="41" customFormat="1">
      <c r="A1217" s="6">
        <v>1215</v>
      </c>
      <c r="B1217" s="40"/>
      <c r="C1217" s="7">
        <v>46175</v>
      </c>
      <c r="D1217" s="41" t="s">
        <v>226</v>
      </c>
      <c r="E1217" s="6" t="s">
        <v>3911</v>
      </c>
      <c r="F1217" s="41" t="s">
        <v>336</v>
      </c>
      <c r="G1217" s="100">
        <v>2</v>
      </c>
      <c r="H1217" s="98" t="s">
        <v>3921</v>
      </c>
      <c r="I1217" s="98" t="s">
        <v>4235</v>
      </c>
      <c r="J1217" s="43" t="s">
        <v>3922</v>
      </c>
      <c r="K1217" s="43" t="s">
        <v>3922</v>
      </c>
      <c r="L1217" s="99">
        <v>15750</v>
      </c>
      <c r="M1217" s="98">
        <v>1750</v>
      </c>
      <c r="N1217" s="7">
        <v>46178</v>
      </c>
      <c r="O1217" s="6" t="s">
        <v>3314</v>
      </c>
      <c r="P1217" s="6" t="s">
        <v>52</v>
      </c>
      <c r="Q1217" s="6" t="s">
        <v>3037</v>
      </c>
      <c r="S1217" s="6">
        <f t="shared" si="18"/>
        <v>1750</v>
      </c>
      <c r="W1217" s="6" t="s">
        <v>3175</v>
      </c>
      <c r="X1217" s="6" t="s">
        <v>3314</v>
      </c>
      <c r="Y1217" s="6" t="s">
        <v>4236</v>
      </c>
      <c r="Z1217" s="6" t="s">
        <v>235</v>
      </c>
      <c r="AA1217" s="6" t="s">
        <v>235</v>
      </c>
    </row>
    <row r="1218" spans="1:27" s="41" customFormat="1">
      <c r="A1218" s="6">
        <v>1216</v>
      </c>
      <c r="B1218" s="40"/>
      <c r="C1218" s="7">
        <v>46175</v>
      </c>
      <c r="D1218" s="41" t="s">
        <v>226</v>
      </c>
      <c r="E1218" s="6" t="s">
        <v>3911</v>
      </c>
      <c r="F1218" s="41" t="s">
        <v>336</v>
      </c>
      <c r="G1218" s="100">
        <v>2</v>
      </c>
      <c r="H1218" s="98" t="s">
        <v>3923</v>
      </c>
      <c r="I1218" s="98" t="s">
        <v>4237</v>
      </c>
      <c r="J1218" s="43" t="s">
        <v>3924</v>
      </c>
      <c r="K1218" s="43" t="s">
        <v>3924</v>
      </c>
      <c r="L1218" s="99">
        <v>6870</v>
      </c>
      <c r="M1218" s="98">
        <v>6870</v>
      </c>
      <c r="N1218" s="7">
        <v>46188</v>
      </c>
      <c r="O1218" s="6" t="s">
        <v>4238</v>
      </c>
      <c r="P1218" s="6" t="s">
        <v>52</v>
      </c>
      <c r="Q1218" s="6" t="s">
        <v>3037</v>
      </c>
      <c r="S1218" s="6">
        <f t="shared" si="18"/>
        <v>6870</v>
      </c>
      <c r="W1218" s="6" t="s">
        <v>3175</v>
      </c>
      <c r="X1218" s="6" t="s">
        <v>3314</v>
      </c>
      <c r="Y1218" s="6" t="s">
        <v>4239</v>
      </c>
      <c r="Z1218" s="6" t="s">
        <v>235</v>
      </c>
      <c r="AA1218" s="6" t="s">
        <v>235</v>
      </c>
    </row>
    <row r="1219" spans="1:27" s="41" customFormat="1">
      <c r="A1219" s="6">
        <v>1217</v>
      </c>
      <c r="B1219" s="40"/>
      <c r="C1219" s="7">
        <v>46175</v>
      </c>
      <c r="D1219" s="41" t="s">
        <v>226</v>
      </c>
      <c r="E1219" s="6" t="s">
        <v>3911</v>
      </c>
      <c r="F1219" s="41" t="s">
        <v>336</v>
      </c>
      <c r="G1219" s="100">
        <v>2</v>
      </c>
      <c r="H1219" s="98" t="s">
        <v>3925</v>
      </c>
      <c r="I1219" s="98" t="s">
        <v>4240</v>
      </c>
      <c r="J1219" s="43" t="s">
        <v>3926</v>
      </c>
      <c r="K1219" s="43" t="s">
        <v>3926</v>
      </c>
      <c r="L1219" s="99">
        <v>2766</v>
      </c>
      <c r="M1219" s="98">
        <v>2766</v>
      </c>
      <c r="N1219" s="7">
        <v>46188</v>
      </c>
      <c r="O1219" s="6" t="s">
        <v>4238</v>
      </c>
      <c r="P1219" s="6" t="s">
        <v>52</v>
      </c>
      <c r="Q1219" s="6" t="s">
        <v>3037</v>
      </c>
      <c r="S1219" s="6">
        <f t="shared" si="18"/>
        <v>2766</v>
      </c>
      <c r="W1219" s="6" t="s">
        <v>342</v>
      </c>
      <c r="X1219" s="6" t="s">
        <v>343</v>
      </c>
      <c r="Y1219" s="6" t="s">
        <v>4241</v>
      </c>
      <c r="Z1219" s="6" t="s">
        <v>235</v>
      </c>
      <c r="AA1219" s="6" t="s">
        <v>235</v>
      </c>
    </row>
    <row r="1220" spans="1:27" s="41" customFormat="1">
      <c r="A1220" s="6">
        <v>1218</v>
      </c>
      <c r="B1220" s="40"/>
      <c r="C1220" s="7">
        <v>46175</v>
      </c>
      <c r="D1220" s="41" t="s">
        <v>226</v>
      </c>
      <c r="E1220" s="6" t="s">
        <v>3911</v>
      </c>
      <c r="F1220" s="41" t="s">
        <v>310</v>
      </c>
      <c r="G1220" s="100">
        <v>2</v>
      </c>
      <c r="H1220" s="98" t="s">
        <v>4242</v>
      </c>
      <c r="I1220" s="98" t="s">
        <v>4243</v>
      </c>
      <c r="J1220" s="43" t="s">
        <v>3928</v>
      </c>
      <c r="K1220" s="43" t="s">
        <v>3928</v>
      </c>
      <c r="L1220" s="99">
        <v>40670</v>
      </c>
      <c r="M1220" s="98">
        <v>20680</v>
      </c>
      <c r="N1220" s="7"/>
      <c r="O1220" s="6" t="s">
        <v>643</v>
      </c>
      <c r="P1220" s="6" t="s">
        <v>52</v>
      </c>
      <c r="Q1220" s="6" t="s">
        <v>298</v>
      </c>
      <c r="S1220" s="6">
        <f t="shared" si="18"/>
        <v>20680</v>
      </c>
      <c r="W1220" s="6" t="s">
        <v>643</v>
      </c>
      <c r="X1220" s="6" t="s">
        <v>775</v>
      </c>
      <c r="Y1220" s="6" t="s">
        <v>4244</v>
      </c>
      <c r="Z1220" s="6" t="s">
        <v>4245</v>
      </c>
      <c r="AA1220" s="6" t="s">
        <v>40</v>
      </c>
    </row>
    <row r="1221" spans="1:27" s="41" customFormat="1">
      <c r="A1221" s="6">
        <v>1219</v>
      </c>
      <c r="B1221" s="40"/>
      <c r="C1221" s="7">
        <v>46175</v>
      </c>
      <c r="D1221" s="41" t="s">
        <v>226</v>
      </c>
      <c r="E1221" s="6" t="s">
        <v>3911</v>
      </c>
      <c r="F1221" s="41" t="s">
        <v>294</v>
      </c>
      <c r="G1221" s="100">
        <v>2</v>
      </c>
      <c r="H1221" s="98" t="s">
        <v>295</v>
      </c>
      <c r="I1221" s="98" t="s">
        <v>296</v>
      </c>
      <c r="J1221" s="43" t="s">
        <v>297</v>
      </c>
      <c r="K1221" s="43" t="s">
        <v>297</v>
      </c>
      <c r="L1221" s="99">
        <v>26450</v>
      </c>
      <c r="M1221" s="98">
        <v>26451</v>
      </c>
      <c r="N1221" s="7"/>
      <c r="O1221" s="6" t="s">
        <v>298</v>
      </c>
      <c r="P1221" s="6" t="s">
        <v>52</v>
      </c>
      <c r="Q1221" s="6" t="s">
        <v>298</v>
      </c>
      <c r="S1221" s="6">
        <f t="shared" si="18"/>
        <v>26451</v>
      </c>
      <c r="W1221" s="6" t="s">
        <v>4246</v>
      </c>
      <c r="X1221" s="6" t="s">
        <v>300</v>
      </c>
      <c r="Y1221" s="6" t="s">
        <v>4247</v>
      </c>
      <c r="Z1221" s="6" t="s">
        <v>302</v>
      </c>
      <c r="AA1221" s="6" t="s">
        <v>235</v>
      </c>
    </row>
    <row r="1222" spans="1:27" s="41" customFormat="1">
      <c r="A1222" s="6">
        <v>1220</v>
      </c>
      <c r="B1222" s="40"/>
      <c r="C1222" s="7">
        <v>46175</v>
      </c>
      <c r="D1222" s="41" t="s">
        <v>226</v>
      </c>
      <c r="E1222" s="6" t="s">
        <v>3911</v>
      </c>
      <c r="F1222" s="41" t="s">
        <v>294</v>
      </c>
      <c r="G1222" s="100">
        <v>2</v>
      </c>
      <c r="H1222" s="98" t="s">
        <v>4248</v>
      </c>
      <c r="I1222" s="98" t="s">
        <v>4249</v>
      </c>
      <c r="J1222" s="43" t="s">
        <v>4250</v>
      </c>
      <c r="K1222" s="43" t="s">
        <v>4250</v>
      </c>
      <c r="L1222" s="99">
        <v>8294</v>
      </c>
      <c r="M1222" s="98">
        <v>7531</v>
      </c>
      <c r="N1222" s="7"/>
      <c r="O1222" s="6" t="s">
        <v>4251</v>
      </c>
      <c r="P1222" s="6" t="s">
        <v>52</v>
      </c>
      <c r="Q1222" s="6" t="s">
        <v>298</v>
      </c>
      <c r="S1222" s="6">
        <f t="shared" si="18"/>
        <v>7531</v>
      </c>
      <c r="W1222" s="6" t="s">
        <v>4246</v>
      </c>
      <c r="X1222" s="6" t="s">
        <v>1280</v>
      </c>
      <c r="Y1222" s="6" t="s">
        <v>4252</v>
      </c>
      <c r="Z1222" s="6" t="s">
        <v>40</v>
      </c>
      <c r="AA1222" s="6" t="s">
        <v>235</v>
      </c>
    </row>
  </sheetData>
  <mergeCells count="1">
    <mergeCell ref="U612:U615"/>
  </mergeCells>
  <conditionalFormatting sqref="H1">
    <cfRule type="duplicateValues" dxfId="139" priority="99"/>
  </conditionalFormatting>
  <conditionalFormatting sqref="H357">
    <cfRule type="duplicateValues" dxfId="138" priority="97"/>
  </conditionalFormatting>
  <conditionalFormatting sqref="H357:H358">
    <cfRule type="duplicateValues" dxfId="137" priority="96"/>
  </conditionalFormatting>
  <conditionalFormatting sqref="H358">
    <cfRule type="duplicateValues" dxfId="136" priority="94"/>
    <cfRule type="duplicateValues" dxfId="135" priority="95"/>
  </conditionalFormatting>
  <conditionalFormatting sqref="H359">
    <cfRule type="duplicateValues" dxfId="134" priority="93"/>
  </conditionalFormatting>
  <conditionalFormatting sqref="H688">
    <cfRule type="duplicateValues" dxfId="133" priority="79"/>
  </conditionalFormatting>
  <conditionalFormatting sqref="H723:H735">
    <cfRule type="duplicateValues" dxfId="132" priority="40"/>
    <cfRule type="duplicateValues" dxfId="131" priority="41"/>
  </conditionalFormatting>
  <conditionalFormatting sqref="H736">
    <cfRule type="duplicateValues" dxfId="130" priority="38"/>
    <cfRule type="duplicateValues" dxfId="129" priority="39"/>
  </conditionalFormatting>
  <conditionalFormatting sqref="H737">
    <cfRule type="duplicateValues" dxfId="128" priority="36"/>
    <cfRule type="duplicateValues" dxfId="127" priority="37"/>
  </conditionalFormatting>
  <conditionalFormatting sqref="H738">
    <cfRule type="duplicateValues" dxfId="126" priority="34"/>
    <cfRule type="duplicateValues" dxfId="125" priority="35"/>
  </conditionalFormatting>
  <conditionalFormatting sqref="H739">
    <cfRule type="duplicateValues" dxfId="124" priority="32"/>
    <cfRule type="duplicateValues" dxfId="123" priority="33"/>
  </conditionalFormatting>
  <conditionalFormatting sqref="H740">
    <cfRule type="duplicateValues" dxfId="122" priority="30"/>
    <cfRule type="duplicateValues" dxfId="121" priority="31"/>
  </conditionalFormatting>
  <conditionalFormatting sqref="H1107:H1109">
    <cfRule type="duplicateValues" dxfId="120" priority="27"/>
    <cfRule type="duplicateValues" dxfId="119" priority="28"/>
    <cfRule type="duplicateValues" dxfId="118" priority="29"/>
  </conditionalFormatting>
  <conditionalFormatting sqref="H1110">
    <cfRule type="duplicateValues" dxfId="117" priority="24"/>
    <cfRule type="duplicateValues" dxfId="116" priority="25"/>
    <cfRule type="duplicateValues" dxfId="115" priority="26"/>
  </conditionalFormatting>
  <conditionalFormatting sqref="H1111">
    <cfRule type="duplicateValues" dxfId="114" priority="21"/>
    <cfRule type="duplicateValues" dxfId="113" priority="22"/>
    <cfRule type="duplicateValues" dxfId="112" priority="23"/>
  </conditionalFormatting>
  <conditionalFormatting sqref="H1112">
    <cfRule type="duplicateValues" dxfId="111" priority="18"/>
    <cfRule type="duplicateValues" dxfId="110" priority="19"/>
    <cfRule type="duplicateValues" dxfId="109" priority="20"/>
  </conditionalFormatting>
  <conditionalFormatting sqref="H1113">
    <cfRule type="duplicateValues" dxfId="108" priority="15"/>
    <cfRule type="duplicateValues" dxfId="107" priority="16"/>
    <cfRule type="duplicateValues" dxfId="106" priority="17"/>
  </conditionalFormatting>
  <conditionalFormatting sqref="H1114">
    <cfRule type="duplicateValues" dxfId="105" priority="12"/>
    <cfRule type="duplicateValues" dxfId="104" priority="13"/>
    <cfRule type="duplicateValues" dxfId="103" priority="14"/>
  </conditionalFormatting>
  <conditionalFormatting sqref="H1115:H1222">
    <cfRule type="duplicateValues" dxfId="102" priority="9"/>
    <cfRule type="duplicateValues" dxfId="101" priority="10"/>
    <cfRule type="duplicateValues" dxfId="100" priority="11"/>
  </conditionalFormatting>
  <conditionalFormatting sqref="I1">
    <cfRule type="duplicateValues" dxfId="99" priority="100"/>
    <cfRule type="duplicateValues" dxfId="98" priority="101"/>
  </conditionalFormatting>
  <conditionalFormatting sqref="I140:I145">
    <cfRule type="duplicateValues" dxfId="97" priority="98"/>
  </conditionalFormatting>
  <conditionalFormatting sqref="I452:I455">
    <cfRule type="duplicateValues" dxfId="96" priority="92"/>
  </conditionalFormatting>
  <conditionalFormatting sqref="I580:I584">
    <cfRule type="duplicateValues" dxfId="95" priority="89"/>
    <cfRule type="duplicateValues" dxfId="94" priority="90"/>
  </conditionalFormatting>
  <conditionalFormatting sqref="I608:I609">
    <cfRule type="duplicateValues" dxfId="93" priority="87"/>
    <cfRule type="duplicateValues" dxfId="92" priority="88"/>
  </conditionalFormatting>
  <conditionalFormatting sqref="I611">
    <cfRule type="duplicateValues" dxfId="91" priority="85"/>
    <cfRule type="duplicateValues" dxfId="90" priority="86"/>
  </conditionalFormatting>
  <conditionalFormatting sqref="J642:K643">
    <cfRule type="duplicateValues" dxfId="89" priority="80"/>
    <cfRule type="duplicateValues" dxfId="88" priority="81"/>
    <cfRule type="duplicateValues" dxfId="87" priority="82"/>
    <cfRule type="duplicateValues" dxfId="86" priority="83"/>
    <cfRule type="duplicateValues" dxfId="85" priority="84"/>
  </conditionalFormatting>
  <conditionalFormatting sqref="J700:K701">
    <cfRule type="duplicateValues" dxfId="84" priority="78"/>
  </conditionalFormatting>
  <conditionalFormatting sqref="J703:K703">
    <cfRule type="duplicateValues" dxfId="83" priority="73"/>
    <cfRule type="duplicateValues" dxfId="82" priority="74"/>
    <cfRule type="duplicateValues" dxfId="81" priority="75"/>
    <cfRule type="duplicateValues" dxfId="80" priority="76"/>
    <cfRule type="duplicateValues" dxfId="79" priority="77"/>
  </conditionalFormatting>
  <conditionalFormatting sqref="J705:K705">
    <cfRule type="duplicateValues" dxfId="78" priority="67"/>
    <cfRule type="duplicateValues" dxfId="77" priority="68"/>
    <cfRule type="duplicateValues" dxfId="76" priority="69"/>
    <cfRule type="duplicateValues" dxfId="75" priority="70"/>
    <cfRule type="duplicateValues" dxfId="74" priority="71"/>
    <cfRule type="duplicateValues" dxfId="73" priority="72"/>
  </conditionalFormatting>
  <conditionalFormatting sqref="J706:K706">
    <cfRule type="duplicateValues" dxfId="72" priority="63"/>
    <cfRule type="duplicateValues" dxfId="71" priority="64"/>
    <cfRule type="duplicateValues" dxfId="70" priority="65"/>
    <cfRule type="duplicateValues" dxfId="69" priority="66"/>
  </conditionalFormatting>
  <conditionalFormatting sqref="J712:K713">
    <cfRule type="duplicateValues" dxfId="68" priority="54"/>
    <cfRule type="duplicateValues" dxfId="67" priority="55"/>
    <cfRule type="duplicateValues" dxfId="66" priority="56"/>
    <cfRule type="duplicateValues" dxfId="65" priority="57"/>
    <cfRule type="duplicateValues" dxfId="64" priority="58"/>
    <cfRule type="duplicateValues" dxfId="63" priority="59"/>
    <cfRule type="duplicateValues" dxfId="62" priority="60"/>
    <cfRule type="duplicateValues" dxfId="61" priority="61"/>
    <cfRule type="duplicateValues" dxfId="60" priority="62"/>
  </conditionalFormatting>
  <conditionalFormatting sqref="J729:K735 J723:K727">
    <cfRule type="duplicateValues" dxfId="59" priority="52"/>
    <cfRule type="duplicateValues" dxfId="58" priority="53"/>
  </conditionalFormatting>
  <conditionalFormatting sqref="J736:K736">
    <cfRule type="duplicateValues" dxfId="57" priority="50"/>
    <cfRule type="duplicateValues" dxfId="56" priority="51"/>
  </conditionalFormatting>
  <conditionalFormatting sqref="J737:K737">
    <cfRule type="duplicateValues" dxfId="55" priority="48"/>
    <cfRule type="duplicateValues" dxfId="54" priority="49"/>
  </conditionalFormatting>
  <conditionalFormatting sqref="J738:K738">
    <cfRule type="duplicateValues" dxfId="53" priority="46"/>
    <cfRule type="duplicateValues" dxfId="52" priority="47"/>
  </conditionalFormatting>
  <conditionalFormatting sqref="J739:K739">
    <cfRule type="duplicateValues" dxfId="51" priority="44"/>
    <cfRule type="duplicateValues" dxfId="50" priority="45"/>
  </conditionalFormatting>
  <conditionalFormatting sqref="J740:K740">
    <cfRule type="duplicateValues" dxfId="49" priority="42"/>
    <cfRule type="duplicateValues" dxfId="48" priority="43"/>
  </conditionalFormatting>
  <conditionalFormatting sqref="J1107:K1107">
    <cfRule type="duplicateValues" dxfId="47" priority="7"/>
    <cfRule type="duplicateValues" dxfId="46" priority="8"/>
  </conditionalFormatting>
  <conditionalFormatting sqref="J1112:K1112">
    <cfRule type="duplicateValues" dxfId="45" priority="5"/>
    <cfRule type="duplicateValues" dxfId="44" priority="6"/>
  </conditionalFormatting>
  <conditionalFormatting sqref="J1115:K1115">
    <cfRule type="duplicateValues" dxfId="43" priority="3"/>
    <cfRule type="duplicateValues" dxfId="42" priority="4"/>
  </conditionalFormatting>
  <conditionalFormatting sqref="J1116:K1222">
    <cfRule type="duplicateValues" dxfId="41" priority="1"/>
    <cfRule type="duplicateValues" dxfId="40" priority="2"/>
  </conditionalFormatting>
  <conditionalFormatting sqref="K564">
    <cfRule type="duplicateValues" dxfId="39" priority="9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 to feb''26</vt:lpstr>
      <vt:lpstr>march to may''26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📈SSD🕉️HEMALATHA💖</dc:creator>
  <cp:lastModifiedBy>📈SSD🕉️HEMALATHA💖</cp:lastModifiedBy>
  <dcterms:created xsi:type="dcterms:W3CDTF">2026-06-05T09:55:32Z</dcterms:created>
  <dcterms:modified xsi:type="dcterms:W3CDTF">2026-06-05T09:57:05Z</dcterms:modified>
</cp:coreProperties>
</file>